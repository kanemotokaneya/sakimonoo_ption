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<sst xmlns="http://schemas.openxmlformats.org/spreadsheetml/2006/main" count="528" uniqueCount="129">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</sst>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DATE(2026,06,18)</f>
        <v>46191.0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DATE(2026,06,18)</f>
        <v>46191.0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946490.0</f>
        <v>946490.0</v>
      </c>
      <c r="E12" s="18" t="n">
        <f>36406.0</f>
        <v>36406.0</v>
      </c>
      <c r="F12" s="19" t="n">
        <f>1.0</f>
        <v>1.0</v>
      </c>
      <c r="G12" s="17" t="n">
        <f>6724393755890.0</f>
        <v>6.72439375589E12</v>
      </c>
      <c r="H12" s="18" t="n">
        <f>341811120370.0</f>
        <v>3.4181112037E11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506185.0</f>
        <v>506185.0</v>
      </c>
      <c r="E13" s="22" t="n">
        <f>20660.0</f>
        <v>20660.0</v>
      </c>
      <c r="F13" s="23" t="n">
        <f>1.0</f>
        <v>1.0</v>
      </c>
      <c r="G13" s="21" t="n">
        <f>5187962003128.0</f>
        <v>5.187962003128E12</v>
      </c>
      <c r="H13" s="22" t="n">
        <f>374399797628.0</f>
        <v>3.74399797628E11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479687.0</f>
        <v>479687.0</v>
      </c>
      <c r="E14" s="22" t="n">
        <f>33610.0</f>
        <v>33610.0</v>
      </c>
      <c r="F14" s="23" t="n">
        <f>1.0</f>
        <v>1.0</v>
      </c>
      <c r="G14" s="21" t="n">
        <f>5208849873337.0</f>
        <v>5.208849873337E12</v>
      </c>
      <c r="H14" s="22" t="n">
        <f>976415306387.0</f>
        <v>9.76415306387E11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1932362.0</f>
        <v>1932362.0</v>
      </c>
      <c r="E15" s="26" t="n">
        <f>90676.0</f>
        <v>90676.0</v>
      </c>
      <c r="F15" s="27" t="n">
        <f>1.0</f>
        <v>1.0</v>
      </c>
      <c r="G15" s="25" t="n">
        <f>17121205632355.0</f>
        <v>1.7121205632355E13</v>
      </c>
      <c r="H15" s="26" t="n">
        <f>1692626224385.0</f>
        <v>1.692626224385E12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23808.0</f>
        <v>23808.0</v>
      </c>
      <c r="E16" s="18" t="n">
        <f>282.0</f>
        <v>282.0</v>
      </c>
      <c r="F16" s="19" t="n">
        <f>0.025</f>
        <v>0.025</v>
      </c>
      <c r="G16" s="17" t="n">
        <f>1901037880000.0</f>
        <v>1.90103788E12</v>
      </c>
      <c r="H16" s="18" t="n">
        <f>36149170000.0</f>
        <v>3.614917E10</v>
      </c>
      <c r="I16" s="19" t="n">
        <f>0.283</f>
        <v>0.283</v>
      </c>
    </row>
    <row r="17" spans="1:9" ht="24.9" customHeight="1">
      <c r="A17" s="41"/>
      <c r="B17" s="39"/>
      <c r="C17" s="20" t="s">
        <v>16</v>
      </c>
      <c r="D17" s="21" t="n">
        <f>16882.0</f>
        <v>16882.0</v>
      </c>
      <c r="E17" s="22" t="n">
        <f>1119.0</f>
        <v>1119.0</v>
      </c>
      <c r="F17" s="23" t="n">
        <f>0.033</f>
        <v>0.033</v>
      </c>
      <c r="G17" s="21" t="n">
        <f>1973418853750.0</f>
        <v>1.97341885375E12</v>
      </c>
      <c r="H17" s="22" t="n">
        <f>143302425000.0</f>
        <v>1.43302425E11</v>
      </c>
      <c r="I17" s="23" t="n">
        <f>0.38</f>
        <v>0.38</v>
      </c>
    </row>
    <row r="18" spans="1:9" ht="24.9" customHeight="1">
      <c r="A18" s="41"/>
      <c r="B18" s="39"/>
      <c r="C18" s="20" t="s">
        <v>17</v>
      </c>
      <c r="D18" s="21" t="n">
        <f>10575.0</f>
        <v>10575.0</v>
      </c>
      <c r="E18" s="22" t="n">
        <f>2043.0</f>
        <v>2043.0</v>
      </c>
      <c r="F18" s="23" t="n">
        <f>0.022</f>
        <v>0.022</v>
      </c>
      <c r="G18" s="21" t="n">
        <f>1308538302750.0</f>
        <v>1.30853830275E12</v>
      </c>
      <c r="H18" s="22" t="n">
        <f>261594200000.0</f>
        <v>2.615942E11</v>
      </c>
      <c r="I18" s="23" t="n">
        <f>0.251</f>
        <v>0.251</v>
      </c>
    </row>
    <row r="19" spans="1:9" ht="24.9" customHeight="1">
      <c r="A19" s="41"/>
      <c r="B19" s="39"/>
      <c r="C19" s="24" t="s">
        <v>18</v>
      </c>
      <c r="D19" s="25" t="n">
        <f>51265.0</f>
        <v>51265.0</v>
      </c>
      <c r="E19" s="26" t="n">
        <f>3444.0</f>
        <v>3444.0</v>
      </c>
      <c r="F19" s="27" t="n">
        <f>0.027</f>
        <v>0.027</v>
      </c>
      <c r="G19" s="25" t="n">
        <f>5182995036500.0</f>
        <v>5.1829950365E12</v>
      </c>
      <c r="H19" s="26" t="n">
        <f>441045795000.0</f>
        <v>4.41045795E11</v>
      </c>
      <c r="I19" s="27" t="n">
        <f>0.303</f>
        <v>0.303</v>
      </c>
    </row>
    <row r="20" spans="1:9" ht="24.9" customHeight="1">
      <c r="A20" s="41"/>
      <c r="B20" s="39" t="s">
        <v>21</v>
      </c>
      <c r="C20" s="16" t="s">
        <v>15</v>
      </c>
      <c r="D20" s="17" t="n">
        <f>897097.0</f>
        <v>897097.0</v>
      </c>
      <c r="E20" s="18" t="n">
        <f>36124.0</f>
        <v>36124.0</v>
      </c>
      <c r="F20" s="19" t="n">
        <f>0.948</f>
        <v>0.948</v>
      </c>
      <c r="G20" s="17" t="n">
        <f>4530018819790.0</f>
        <v>4.53001881979E12</v>
      </c>
      <c r="H20" s="18" t="n">
        <f>305661950370.0</f>
        <v>3.0566195037E11</v>
      </c>
      <c r="I20" s="19" t="n">
        <f>0.674</f>
        <v>0.674</v>
      </c>
    </row>
    <row r="21" spans="1:9" ht="24.9" customHeight="1">
      <c r="A21" s="41"/>
      <c r="B21" s="39"/>
      <c r="C21" s="20" t="s">
        <v>16</v>
      </c>
      <c r="D21" s="21" t="n">
        <f>482091.0</f>
        <v>482091.0</v>
      </c>
      <c r="E21" s="22" t="n">
        <f>19516.0</f>
        <v>19516.0</v>
      </c>
      <c r="F21" s="23" t="n">
        <f>0.952</f>
        <v>0.952</v>
      </c>
      <c r="G21" s="21" t="n">
        <f>3139056879178.0</f>
        <v>3.139056879178E12</v>
      </c>
      <c r="H21" s="22" t="n">
        <f>231043622628.0</f>
        <v>2.31043622628E11</v>
      </c>
      <c r="I21" s="23" t="n">
        <f>0.605</f>
        <v>0.605</v>
      </c>
    </row>
    <row r="22" spans="1:9" ht="24.9" customHeight="1">
      <c r="A22" s="41"/>
      <c r="B22" s="39"/>
      <c r="C22" s="20" t="s">
        <v>17</v>
      </c>
      <c r="D22" s="21" t="n">
        <f>461789.0</f>
        <v>461789.0</v>
      </c>
      <c r="E22" s="22" t="n">
        <f>31563.0</f>
        <v>31563.0</v>
      </c>
      <c r="F22" s="23" t="n">
        <f>0.963</f>
        <v>0.963</v>
      </c>
      <c r="G22" s="21" t="n">
        <f>3850584020037.0</f>
        <v>3.850584020037E12</v>
      </c>
      <c r="H22" s="22" t="n">
        <f>714730684387.0</f>
        <v>7.14730684387E11</v>
      </c>
      <c r="I22" s="23" t="n">
        <f>0.739</f>
        <v>0.739</v>
      </c>
    </row>
    <row r="23" spans="1:9" ht="24.9" customHeight="1">
      <c r="A23" s="41"/>
      <c r="B23" s="39"/>
      <c r="C23" s="24" t="s">
        <v>18</v>
      </c>
      <c r="D23" s="25" t="n">
        <f>1840977.0</f>
        <v>1840977.0</v>
      </c>
      <c r="E23" s="26" t="n">
        <f>87203.0</f>
        <v>87203.0</v>
      </c>
      <c r="F23" s="27" t="n">
        <f>0.953</f>
        <v>0.953</v>
      </c>
      <c r="G23" s="25" t="n">
        <f>11519659719005.0</f>
        <v>1.1519659719005E13</v>
      </c>
      <c r="H23" s="26" t="n">
        <f>1251436257385.0</f>
        <v>1.251436257385E12</v>
      </c>
      <c r="I23" s="27" t="n">
        <f>0.673</f>
        <v>0.673</v>
      </c>
    </row>
    <row r="24" spans="1:9" ht="24.9" customHeight="1">
      <c r="A24" s="41"/>
      <c r="B24" s="39" t="s">
        <v>22</v>
      </c>
      <c r="C24" s="16" t="s">
        <v>15</v>
      </c>
      <c r="D24" s="17" t="n">
        <f>24867.0</f>
        <v>24867.0</v>
      </c>
      <c r="E24" s="18" t="n">
        <f>0.0</f>
        <v>0.0</v>
      </c>
      <c r="F24" s="19" t="n">
        <f>0.026</f>
        <v>0.026</v>
      </c>
      <c r="G24" s="17" t="n">
        <f>290691864600.0</f>
        <v>2.906918646E11</v>
      </c>
      <c r="H24" s="18" t="n">
        <f>0.0</f>
        <v>0.0</v>
      </c>
      <c r="I24" s="19" t="n">
        <f>0.043</f>
        <v>0.043</v>
      </c>
    </row>
    <row r="25" spans="1:9" ht="24.9" customHeight="1">
      <c r="A25" s="41"/>
      <c r="B25" s="39"/>
      <c r="C25" s="20" t="s">
        <v>16</v>
      </c>
      <c r="D25" s="21" t="n">
        <f>6936.0</f>
        <v>6936.0</v>
      </c>
      <c r="E25" s="22" t="n">
        <f>25.0</f>
        <v>25.0</v>
      </c>
      <c r="F25" s="23" t="n">
        <f>0.014</f>
        <v>0.014</v>
      </c>
      <c r="G25" s="21" t="n">
        <f>74486268700.0</f>
        <v>7.44862687E10</v>
      </c>
      <c r="H25" s="22" t="n">
        <f>53750000.0</f>
        <v>5.375E7</v>
      </c>
      <c r="I25" s="23" t="n">
        <f>0.014</f>
        <v>0.014</v>
      </c>
    </row>
    <row r="26" spans="1:9" ht="24.9" customHeight="1">
      <c r="A26" s="41"/>
      <c r="B26" s="39"/>
      <c r="C26" s="20" t="s">
        <v>17</v>
      </c>
      <c r="D26" s="21" t="n">
        <f>6101.0</f>
        <v>6101.0</v>
      </c>
      <c r="E26" s="22" t="n">
        <f>4.0</f>
        <v>4.0</v>
      </c>
      <c r="F26" s="23" t="n">
        <f>0.013</f>
        <v>0.013</v>
      </c>
      <c r="G26" s="21" t="n">
        <f>45323266550.0</f>
        <v>4.532326655E10</v>
      </c>
      <c r="H26" s="22" t="n">
        <f>90422000.0</f>
        <v>9.0422E7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37904.0</f>
        <v>37904.0</v>
      </c>
      <c r="E27" s="26" t="n">
        <f>29.0</f>
        <v>29.0</v>
      </c>
      <c r="F27" s="27" t="n">
        <f>0.02</f>
        <v>0.02</v>
      </c>
      <c r="G27" s="25" t="n">
        <f>410501399850.0</f>
        <v>4.1050139985E11</v>
      </c>
      <c r="H27" s="26" t="n">
        <f>144172000.0</f>
        <v>1.44172E8</v>
      </c>
      <c r="I27" s="27" t="n">
        <f>0.024</f>
        <v>0.024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718.0</f>
        <v>718.0</v>
      </c>
      <c r="E28" s="18" t="n">
        <f>0.0</f>
        <v>0.0</v>
      </c>
      <c r="F28" s="19" t="n">
        <f>0.001</f>
        <v>0.001</v>
      </c>
      <c r="G28" s="17" t="n">
        <f>2645191500.0</f>
        <v>2.6451915E9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276.0</f>
        <v>276.0</v>
      </c>
      <c r="E29" s="22" t="n">
        <f>0.0</f>
        <v>0.0</v>
      </c>
      <c r="F29" s="23" t="n">
        <f>0.001</f>
        <v>0.001</v>
      </c>
      <c r="G29" s="21" t="n">
        <f>1000001500.0</f>
        <v>1.0000015E9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1222.0</f>
        <v>1222.0</v>
      </c>
      <c r="E30" s="22" t="n">
        <f>0.0</f>
        <v>0.0</v>
      </c>
      <c r="F30" s="23" t="n">
        <f>0.003</f>
        <v>0.003</v>
      </c>
      <c r="G30" s="21" t="n">
        <f>4404284000.0</f>
        <v>4.404284E9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2216.0</f>
        <v>2216.0</v>
      </c>
      <c r="E31" s="26" t="n">
        <f>0.0</f>
        <v>0.0</v>
      </c>
      <c r="F31" s="27" t="n">
        <f>0.001</f>
        <v>0.001</v>
      </c>
      <c r="G31" s="25" t="n">
        <f>8049477000.0</f>
        <v>8.049477E9</v>
      </c>
      <c r="H31" s="26" t="n">
        <f>0.0</f>
        <v>0.0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46191.0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46191.0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33712</f>
        <v>33712.0</v>
      </c>
      <c r="E11" s="18" t="n">
        <f>7452</f>
        <v>7452.0</v>
      </c>
      <c r="F11" s="19" t="n">
        <f>1</f>
        <v>1.0</v>
      </c>
      <c r="G11" s="17" t="n">
        <f>4153330160</f>
        <v>4.15333016E9</v>
      </c>
      <c r="H11" s="18" t="n">
        <f>2195610660</f>
        <v>2.19561066E9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60019</f>
        <v>60019.0</v>
      </c>
      <c r="E12" s="22" t="n">
        <f>11101</f>
        <v>11101.0</v>
      </c>
      <c r="F12" s="23" t="n">
        <f>1</f>
        <v>1.0</v>
      </c>
      <c r="G12" s="21" t="n">
        <f>22385248663</f>
        <v>2.2385248663E10</v>
      </c>
      <c r="H12" s="22" t="n">
        <f>16080657704</f>
        <v>1.6080657704E10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105973</f>
        <v>105973.0</v>
      </c>
      <c r="E13" s="22" t="n">
        <f>51055</f>
        <v>51055.0</v>
      </c>
      <c r="F13" s="23" t="n">
        <f>1</f>
        <v>1.0</v>
      </c>
      <c r="G13" s="21" t="n">
        <f>96126500913</f>
        <v>9.6126500913E10</v>
      </c>
      <c r="H13" s="22" t="n">
        <f>90136076109</f>
        <v>9.0136076109E10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199704</f>
        <v>199704.0</v>
      </c>
      <c r="E14" s="26" t="n">
        <f>69608</f>
        <v>69608.0</v>
      </c>
      <c r="F14" s="27" t="n">
        <f>1</f>
        <v>1.0</v>
      </c>
      <c r="G14" s="25" t="n">
        <f>122665079736</f>
        <v>1.22665079736E11</v>
      </c>
      <c r="H14" s="26" t="n">
        <f>108412344473</f>
        <v>1.08412344473E11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162</f>
        <v>162.0</v>
      </c>
      <c r="E16" s="22" t="n">
        <f>0</f>
        <v>0.0</v>
      </c>
      <c r="F16" s="23" t="n">
        <f>0.003</f>
        <v>0.003</v>
      </c>
      <c r="G16" s="21" t="n">
        <f>25940000</f>
        <v>2.594E7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316</f>
        <v>316.0</v>
      </c>
      <c r="E17" s="22" t="n">
        <f>200</f>
        <v>200.0</v>
      </c>
      <c r="F17" s="23" t="n">
        <f>0.003</f>
        <v>0.003</v>
      </c>
      <c r="G17" s="21" t="n">
        <f>63930000</f>
        <v>6.393E7</v>
      </c>
      <c r="H17" s="22" t="n">
        <f>48000000</f>
        <v>4.8E7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478</f>
        <v>478.0</v>
      </c>
      <c r="E18" s="26" t="n">
        <f>200</f>
        <v>200.0</v>
      </c>
      <c r="F18" s="27" t="n">
        <f>0.002</f>
        <v>0.002</v>
      </c>
      <c r="G18" s="25" t="n">
        <f>89870000</f>
        <v>8.987E7</v>
      </c>
      <c r="H18" s="26" t="n">
        <f>48000000</f>
        <v>4.8E7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33712</f>
        <v>33712.0</v>
      </c>
      <c r="E19" s="18" t="n">
        <f>7452</f>
        <v>7452.0</v>
      </c>
      <c r="F19" s="19" t="n">
        <f>1</f>
        <v>1.0</v>
      </c>
      <c r="G19" s="17" t="n">
        <f>4153330160</f>
        <v>4.15333016E9</v>
      </c>
      <c r="H19" s="18" t="n">
        <f>2195610660</f>
        <v>2.19561066E9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49209</f>
        <v>49209.0</v>
      </c>
      <c r="E20" s="22" t="n">
        <f>11101</f>
        <v>11101.0</v>
      </c>
      <c r="F20" s="23" t="n">
        <f>0.82</f>
        <v>0.82</v>
      </c>
      <c r="G20" s="21" t="n">
        <f>22331161304</f>
        <v>2.2331161304E10</v>
      </c>
      <c r="H20" s="22" t="n">
        <f>16080657704</f>
        <v>1.6080657704E10</v>
      </c>
      <c r="I20" s="23" t="n">
        <f>0.998</f>
        <v>0.998</v>
      </c>
    </row>
    <row r="21" spans="1:9" ht="24.9" customHeight="1">
      <c r="A21" s="41"/>
      <c r="B21" s="39"/>
      <c r="C21" s="20" t="s">
        <v>17</v>
      </c>
      <c r="D21" s="21" t="n">
        <f>87444</f>
        <v>87444.0</v>
      </c>
      <c r="E21" s="22" t="n">
        <f>45105</f>
        <v>45105.0</v>
      </c>
      <c r="F21" s="23" t="n">
        <f>0.825</f>
        <v>0.825</v>
      </c>
      <c r="G21" s="21" t="n">
        <f>95854448409</f>
        <v>9.5854448409E10</v>
      </c>
      <c r="H21" s="22" t="n">
        <f>89979291109</f>
        <v>8.9979291109E10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170365</f>
        <v>170365.0</v>
      </c>
      <c r="E22" s="26" t="n">
        <f>63658</f>
        <v>63658.0</v>
      </c>
      <c r="F22" s="27" t="n">
        <f>0.853</f>
        <v>0.853</v>
      </c>
      <c r="G22" s="25" t="n">
        <f>122338939873</f>
        <v>1.22338939873E11</v>
      </c>
      <c r="H22" s="26" t="n">
        <f>108255559473</f>
        <v>1.08255559473E11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10648</f>
        <v>10648.0</v>
      </c>
      <c r="E24" s="22" t="n">
        <f>0</f>
        <v>0.0</v>
      </c>
      <c r="F24" s="23" t="n">
        <f>0.177</f>
        <v>0.177</v>
      </c>
      <c r="G24" s="21" t="n">
        <f>28147359</f>
        <v>2.8147359E7</v>
      </c>
      <c r="H24" s="22" t="n">
        <f>0</f>
        <v>0.0</v>
      </c>
      <c r="I24" s="23" t="n">
        <f>0.001</f>
        <v>0.001</v>
      </c>
    </row>
    <row r="25" spans="1:9" ht="24.9" customHeight="1">
      <c r="A25" s="41"/>
      <c r="B25" s="39"/>
      <c r="C25" s="20" t="s">
        <v>17</v>
      </c>
      <c r="D25" s="21" t="n">
        <f>18213</f>
        <v>18213.0</v>
      </c>
      <c r="E25" s="22" t="n">
        <f>5750</f>
        <v>5750.0</v>
      </c>
      <c r="F25" s="23" t="n">
        <f>0.172</f>
        <v>0.172</v>
      </c>
      <c r="G25" s="21" t="n">
        <f>208122504</f>
        <v>2.08122504E8</v>
      </c>
      <c r="H25" s="22" t="n">
        <f>108785000</f>
        <v>1.08785E8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28861</f>
        <v>28861.0</v>
      </c>
      <c r="E26" s="26" t="n">
        <f>5750</f>
        <v>5750.0</v>
      </c>
      <c r="F26" s="27" t="n">
        <f>0.145</f>
        <v>0.145</v>
      </c>
      <c r="G26" s="25" t="n">
        <f>236269863</f>
        <v>2.36269863E8</v>
      </c>
      <c r="H26" s="26" t="n">
        <f>108785000</f>
        <v>1.08785E8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46191.0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46191.0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14891.0</v>
      </c>
      <c r="F12" s="18" t="n">
        <f>719</f>
        <v>719.0</v>
      </c>
      <c r="G12" s="17" t="n">
        <v>1.0475910164E12</v>
      </c>
      <c r="H12" s="18" t="n">
        <f>50528538400</f>
        <v>5.05285384E10</v>
      </c>
    </row>
    <row r="13" spans="1:8" ht="24.9" customHeight="1">
      <c r="A13" s="51"/>
      <c r="B13" s="57"/>
      <c r="C13" s="39"/>
      <c r="D13" s="20" t="s">
        <v>16</v>
      </c>
      <c r="E13" s="21" t="n">
        <v>12163.0</v>
      </c>
      <c r="F13" s="22" t="n">
        <f>1437</f>
        <v>1437.0</v>
      </c>
      <c r="G13" s="21" t="n">
        <v>8.643861709E11</v>
      </c>
      <c r="H13" s="22" t="n">
        <f>101800579900</f>
        <v>1.018005799E11</v>
      </c>
    </row>
    <row r="14" spans="1:8" ht="24.9" customHeight="1">
      <c r="A14" s="51"/>
      <c r="B14" s="57"/>
      <c r="C14" s="39"/>
      <c r="D14" s="20" t="s">
        <v>17</v>
      </c>
      <c r="E14" s="21" t="n">
        <v>20633.0</v>
      </c>
      <c r="F14" s="22" t="n">
        <f>5636</f>
        <v>5636.0</v>
      </c>
      <c r="G14" s="21" t="n">
        <v>1.469769866074E12</v>
      </c>
      <c r="H14" s="22" t="n">
        <f>401393879074</f>
        <v>4.01393879074E11</v>
      </c>
    </row>
    <row r="15" spans="1:8" ht="24.9" customHeight="1">
      <c r="A15" s="51"/>
      <c r="B15" s="57"/>
      <c r="C15" s="39"/>
      <c r="D15" s="24" t="s">
        <v>18</v>
      </c>
      <c r="E15" s="25" t="n">
        <v>47687.0</v>
      </c>
      <c r="F15" s="26" t="n">
        <f>7792</f>
        <v>7792.0</v>
      </c>
      <c r="G15" s="25" t="n">
        <v>3.381747053374E12</v>
      </c>
      <c r="H15" s="26" t="n">
        <f>553722997374</f>
        <v>5.53722997374E11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330329.0</v>
      </c>
      <c r="F16" s="18" t="n">
        <f>34243</f>
        <v>34243.0</v>
      </c>
      <c r="G16" s="17" t="n">
        <v>2.32410292026E12</v>
      </c>
      <c r="H16" s="18" t="n">
        <f>240818362260</f>
        <v>2.4081836226E11</v>
      </c>
    </row>
    <row r="17" spans="1:8" ht="24.9" customHeight="1">
      <c r="A17" s="51"/>
      <c r="B17" s="57"/>
      <c r="C17" s="39"/>
      <c r="D17" s="20" t="s">
        <v>16</v>
      </c>
      <c r="E17" s="21" t="n">
        <v>202981.0</v>
      </c>
      <c r="F17" s="22" t="n">
        <f>17119</f>
        <v>17119.0</v>
      </c>
      <c r="G17" s="21" t="n">
        <v>1.44329377664E12</v>
      </c>
      <c r="H17" s="22" t="n">
        <f>121689114640</f>
        <v>1.2168911464E11</v>
      </c>
    </row>
    <row r="18" spans="1:8" ht="24.9" customHeight="1">
      <c r="A18" s="51"/>
      <c r="B18" s="57"/>
      <c r="C18" s="39"/>
      <c r="D18" s="20" t="s">
        <v>17</v>
      </c>
      <c r="E18" s="21" t="n">
        <v>171337.0</v>
      </c>
      <c r="F18" s="22" t="n">
        <f>18774</f>
        <v>18774.0</v>
      </c>
      <c r="G18" s="21" t="n">
        <v>1.2202608638E12</v>
      </c>
      <c r="H18" s="22" t="n">
        <f>133605416300</f>
        <v>1.336054163E11</v>
      </c>
    </row>
    <row r="19" spans="1:8" ht="24.9" customHeight="1">
      <c r="A19" s="51"/>
      <c r="B19" s="57"/>
      <c r="C19" s="39"/>
      <c r="D19" s="24" t="s">
        <v>18</v>
      </c>
      <c r="E19" s="25" t="n">
        <v>704647.0</v>
      </c>
      <c r="F19" s="26" t="n">
        <f>70136</f>
        <v>70136.0</v>
      </c>
      <c r="G19" s="25" t="n">
        <v>4.9876575607E12</v>
      </c>
      <c r="H19" s="26" t="n">
        <f>496112893200</f>
        <v>4.961128932E11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523051.0</v>
      </c>
      <c r="F20" s="18" t="str">
        <f>"－"</f>
        <v>－</v>
      </c>
      <c r="G20" s="17" t="n">
        <v>3.6791705637E11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239570.0</v>
      </c>
      <c r="F21" s="22" t="str">
        <f>"－"</f>
        <v>－</v>
      </c>
      <c r="G21" s="21" t="n">
        <v>1.7034654745E11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232720.0</v>
      </c>
      <c r="F22" s="22" t="str">
        <f>"－"</f>
        <v>－</v>
      </c>
      <c r="G22" s="21" t="n">
        <v>1.657356022E11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995341.0</v>
      </c>
      <c r="F23" s="26" t="str">
        <f>"－"</f>
        <v>－</v>
      </c>
      <c r="G23" s="25" t="n">
        <v>7.0399920602E11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18619.0</v>
      </c>
      <c r="F24" s="18" t="n">
        <f>268</f>
        <v>268.0</v>
      </c>
      <c r="G24" s="17" t="n">
        <v>7.52698064E11</v>
      </c>
      <c r="H24" s="18" t="n">
        <f>10749789000</f>
        <v>1.0749789E10</v>
      </c>
    </row>
    <row r="25" spans="1:8" ht="24.9" customHeight="1">
      <c r="A25" s="51"/>
      <c r="B25" s="57"/>
      <c r="C25" s="39"/>
      <c r="D25" s="20" t="s">
        <v>16</v>
      </c>
      <c r="E25" s="21" t="n">
        <v>15132.0</v>
      </c>
      <c r="F25" s="22" t="n">
        <f>103</f>
        <v>103.0</v>
      </c>
      <c r="G25" s="21" t="n">
        <v>6.16827102508E11</v>
      </c>
      <c r="H25" s="22" t="n">
        <f>4176717508</f>
        <v>4.176717508E9</v>
      </c>
    </row>
    <row r="26" spans="1:8" ht="24.9" customHeight="1">
      <c r="A26" s="51"/>
      <c r="B26" s="57"/>
      <c r="C26" s="39"/>
      <c r="D26" s="20" t="s">
        <v>17</v>
      </c>
      <c r="E26" s="21" t="n">
        <v>23254.0</v>
      </c>
      <c r="F26" s="22" t="n">
        <f>4219</f>
        <v>4219.0</v>
      </c>
      <c r="G26" s="21" t="n">
        <v>9.477848885E11</v>
      </c>
      <c r="H26" s="22" t="n">
        <f>171949738500</f>
        <v>1.719497385E11</v>
      </c>
    </row>
    <row r="27" spans="1:8" ht="24.9" customHeight="1">
      <c r="A27" s="51"/>
      <c r="B27" s="57"/>
      <c r="C27" s="39"/>
      <c r="D27" s="24" t="s">
        <v>18</v>
      </c>
      <c r="E27" s="25" t="n">
        <v>57005.0</v>
      </c>
      <c r="F27" s="26" t="n">
        <f>4590</f>
        <v>4590.0</v>
      </c>
      <c r="G27" s="25" t="n">
        <v>2.317310055008E12</v>
      </c>
      <c r="H27" s="26" t="n">
        <f>186876245008</f>
        <v>1.86876245008E11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8210.0</v>
      </c>
      <c r="F28" s="18" t="n">
        <f>871</f>
        <v>871.0</v>
      </c>
      <c r="G28" s="17" t="n">
        <v>3.318832815E10</v>
      </c>
      <c r="H28" s="18" t="n">
        <f>3518115900</f>
        <v>3.5181159E9</v>
      </c>
    </row>
    <row r="29" spans="1:8" ht="24.9" customHeight="1">
      <c r="A29" s="51"/>
      <c r="B29" s="57"/>
      <c r="C29" s="39"/>
      <c r="D29" s="20" t="s">
        <v>16</v>
      </c>
      <c r="E29" s="21" t="n">
        <v>9311.0</v>
      </c>
      <c r="F29" s="22" t="n">
        <f>747</f>
        <v>747.0</v>
      </c>
      <c r="G29" s="21" t="n">
        <v>3.79297267E10</v>
      </c>
      <c r="H29" s="22" t="n">
        <f>3034034200</f>
        <v>3.0340342E9</v>
      </c>
    </row>
    <row r="30" spans="1:8" ht="24.9" customHeight="1">
      <c r="A30" s="51"/>
      <c r="B30" s="57"/>
      <c r="C30" s="39"/>
      <c r="D30" s="20" t="s">
        <v>17</v>
      </c>
      <c r="E30" s="21" t="n">
        <v>9991.0</v>
      </c>
      <c r="F30" s="22" t="n">
        <f>1102</f>
        <v>1102.0</v>
      </c>
      <c r="G30" s="21" t="n">
        <v>4.0723433025E10</v>
      </c>
      <c r="H30" s="22" t="n">
        <f>4490705275</f>
        <v>4.490705275E9</v>
      </c>
    </row>
    <row r="31" spans="1:8" ht="24.9" customHeight="1">
      <c r="A31" s="51"/>
      <c r="B31" s="57"/>
      <c r="C31" s="39"/>
      <c r="D31" s="24" t="s">
        <v>18</v>
      </c>
      <c r="E31" s="25" t="n">
        <v>27512.0</v>
      </c>
      <c r="F31" s="26" t="n">
        <f>2720</f>
        <v>2720.0</v>
      </c>
      <c r="G31" s="25" t="n">
        <v>1.11841487875E11</v>
      </c>
      <c r="H31" s="26" t="n">
        <f>11042855375</f>
        <v>1.1042855375E10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453.0</v>
      </c>
      <c r="F36" s="18" t="n">
        <f>0</f>
        <v>0.0</v>
      </c>
      <c r="G36" s="17" t="n">
        <v>1.6616945E9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1041.0</v>
      </c>
      <c r="F37" s="22" t="n">
        <f>1</f>
        <v>1.0</v>
      </c>
      <c r="G37" s="21" t="n">
        <v>3.85743149E9</v>
      </c>
      <c r="H37" s="22" t="n">
        <f>3702490</f>
        <v>3702490.0</v>
      </c>
    </row>
    <row r="38" spans="1:8" ht="24.9" customHeight="1">
      <c r="A38" s="51"/>
      <c r="B38" s="57"/>
      <c r="C38" s="39"/>
      <c r="D38" s="20" t="s">
        <v>17</v>
      </c>
      <c r="E38" s="21" t="n">
        <v>534.0</v>
      </c>
      <c r="F38" s="22" t="n">
        <f>98</f>
        <v>98.0</v>
      </c>
      <c r="G38" s="21" t="n">
        <v>1.976549998E9</v>
      </c>
      <c r="H38" s="22" t="n">
        <f>362658998</f>
        <v>3.62658998E8</v>
      </c>
    </row>
    <row r="39" spans="1:8" ht="24.9" customHeight="1">
      <c r="A39" s="51"/>
      <c r="B39" s="57"/>
      <c r="C39" s="39"/>
      <c r="D39" s="24" t="s">
        <v>18</v>
      </c>
      <c r="E39" s="25" t="n">
        <v>2028.0</v>
      </c>
      <c r="F39" s="26" t="n">
        <f>99</f>
        <v>99.0</v>
      </c>
      <c r="G39" s="25" t="n">
        <v>7.495675988E9</v>
      </c>
      <c r="H39" s="26" t="n">
        <f>366361488</f>
        <v>3.66361488E8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41.0</v>
      </c>
      <c r="F45" s="22" t="n">
        <f>41</f>
        <v>41.0</v>
      </c>
      <c r="G45" s="21" t="n">
        <v>2.871189E8</v>
      </c>
      <c r="H45" s="22" t="n">
        <f>287118900</f>
        <v>2.871189E8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41.0</v>
      </c>
      <c r="F47" s="26" t="n">
        <f>41</f>
        <v>41.0</v>
      </c>
      <c r="G47" s="25" t="n">
        <v>2.871189E8</v>
      </c>
      <c r="H47" s="26" t="n">
        <f>287118900</f>
        <v>2.871189E8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8.0</v>
      </c>
      <c r="F48" s="18" t="n">
        <f>8</f>
        <v>8.0</v>
      </c>
      <c r="G48" s="17" t="n">
        <v>1.4048E7</v>
      </c>
      <c r="H48" s="18" t="n">
        <f>14048000</f>
        <v>1.4048E7</v>
      </c>
    </row>
    <row r="49" spans="1:8" ht="24.9" customHeight="1">
      <c r="A49" s="51"/>
      <c r="B49" s="57"/>
      <c r="C49" s="39"/>
      <c r="D49" s="20" t="s">
        <v>16</v>
      </c>
      <c r="E49" s="21" t="n">
        <v>25.0</v>
      </c>
      <c r="F49" s="22" t="n">
        <f>0</f>
        <v>0.0</v>
      </c>
      <c r="G49" s="21" t="n">
        <v>4.3605E7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1685.0</v>
      </c>
      <c r="F50" s="22" t="n">
        <f>1641</f>
        <v>1641.0</v>
      </c>
      <c r="G50" s="21" t="n">
        <v>2.93890318E9</v>
      </c>
      <c r="H50" s="22" t="n">
        <f>2862189180</f>
        <v>2.86218918E9</v>
      </c>
    </row>
    <row r="51" spans="1:8" ht="24.9" customHeight="1">
      <c r="A51" s="51"/>
      <c r="B51" s="57"/>
      <c r="C51" s="39"/>
      <c r="D51" s="24" t="s">
        <v>18</v>
      </c>
      <c r="E51" s="25" t="n">
        <v>1718.0</v>
      </c>
      <c r="F51" s="26" t="n">
        <f>1649</f>
        <v>1649.0</v>
      </c>
      <c r="G51" s="25" t="n">
        <v>2.99655618E9</v>
      </c>
      <c r="H51" s="26" t="n">
        <f>2876237180</f>
        <v>2.87623718E9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408.0</v>
      </c>
      <c r="F56" s="18" t="n">
        <f>10</f>
        <v>10.0</v>
      </c>
      <c r="G56" s="17" t="n">
        <v>2.862111E8</v>
      </c>
      <c r="H56" s="18" t="n">
        <f>7007100</f>
        <v>7007100.0</v>
      </c>
    </row>
    <row r="57" spans="1:8" ht="24.9" customHeight="1">
      <c r="A57" s="51"/>
      <c r="B57" s="57"/>
      <c r="C57" s="39"/>
      <c r="D57" s="20" t="s">
        <v>16</v>
      </c>
      <c r="E57" s="21" t="n">
        <v>1390.0</v>
      </c>
      <c r="F57" s="22" t="n">
        <f>67</f>
        <v>67.0</v>
      </c>
      <c r="G57" s="21" t="n">
        <v>9.76907E8</v>
      </c>
      <c r="H57" s="22" t="n">
        <f>47133000</f>
        <v>4.7133E7</v>
      </c>
    </row>
    <row r="58" spans="1:8" ht="24.9" customHeight="1">
      <c r="A58" s="51"/>
      <c r="B58" s="57"/>
      <c r="C58" s="39"/>
      <c r="D58" s="20" t="s">
        <v>17</v>
      </c>
      <c r="E58" s="21" t="n">
        <v>1554.0</v>
      </c>
      <c r="F58" s="22" t="n">
        <f>93</f>
        <v>93.0</v>
      </c>
      <c r="G58" s="21" t="n">
        <v>1.08744406E9</v>
      </c>
      <c r="H58" s="22" t="n">
        <f>66097060</f>
        <v>6.609706E7</v>
      </c>
    </row>
    <row r="59" spans="1:8" ht="24.9" customHeight="1">
      <c r="A59" s="51"/>
      <c r="B59" s="57"/>
      <c r="C59" s="39"/>
      <c r="D59" s="24" t="s">
        <v>18</v>
      </c>
      <c r="E59" s="25" t="n">
        <v>3352.0</v>
      </c>
      <c r="F59" s="26" t="n">
        <f>170</f>
        <v>170.0</v>
      </c>
      <c r="G59" s="25" t="n">
        <v>2.35056216E9</v>
      </c>
      <c r="H59" s="26" t="n">
        <f>120237160</f>
        <v>1.2023716E8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149.0</v>
      </c>
      <c r="F60" s="18" t="n">
        <f>5</f>
        <v>5.0</v>
      </c>
      <c r="G60" s="17" t="n">
        <v>7.7484681E8</v>
      </c>
      <c r="H60" s="18" t="n">
        <f>26089710</f>
        <v>2.608971E7</v>
      </c>
    </row>
    <row r="61" spans="1:8" ht="24.9" customHeight="1">
      <c r="A61" s="51"/>
      <c r="B61" s="57"/>
      <c r="C61" s="39"/>
      <c r="D61" s="20" t="s">
        <v>16</v>
      </c>
      <c r="E61" s="21" t="n">
        <v>48.0</v>
      </c>
      <c r="F61" s="22" t="n">
        <f>1</f>
        <v>1.0</v>
      </c>
      <c r="G61" s="21" t="n">
        <v>2.4981869E8</v>
      </c>
      <c r="H61" s="22" t="n">
        <f>5221990</f>
        <v>5221990.0</v>
      </c>
    </row>
    <row r="62" spans="1:8" ht="24.9" customHeight="1">
      <c r="A62" s="51"/>
      <c r="B62" s="57"/>
      <c r="C62" s="39"/>
      <c r="D62" s="20" t="s">
        <v>17</v>
      </c>
      <c r="E62" s="21" t="n">
        <v>53.0</v>
      </c>
      <c r="F62" s="22" t="n">
        <f>0</f>
        <v>0.0</v>
      </c>
      <c r="G62" s="21" t="n">
        <v>2.757772E8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250.0</v>
      </c>
      <c r="F63" s="26" t="n">
        <f>6</f>
        <v>6.0</v>
      </c>
      <c r="G63" s="25" t="n">
        <v>1.3004427E9</v>
      </c>
      <c r="H63" s="26" t="n">
        <f>31311700</f>
        <v>3.13117E7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5.0</v>
      </c>
      <c r="F72" s="18" t="n">
        <f>0</f>
        <v>0.0</v>
      </c>
      <c r="G72" s="17" t="n">
        <v>6300000.0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10.0</v>
      </c>
      <c r="F74" s="22" t="n">
        <f>0</f>
        <v>0.0</v>
      </c>
      <c r="G74" s="21" t="n">
        <v>1.2325E7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15.0</v>
      </c>
      <c r="F75" s="26" t="n">
        <f>0</f>
        <v>0.0</v>
      </c>
      <c r="G75" s="25" t="n">
        <v>1.8625E7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2.0</v>
      </c>
      <c r="F76" s="18" t="n">
        <f>0</f>
        <v>0.0</v>
      </c>
      <c r="G76" s="17" t="n">
        <v>705000.0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31.0</v>
      </c>
      <c r="F77" s="22" t="n">
        <f>0</f>
        <v>0.0</v>
      </c>
      <c r="G77" s="21" t="n">
        <v>1.0646E7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12.0</v>
      </c>
      <c r="F78" s="22" t="n">
        <f>0</f>
        <v>0.0</v>
      </c>
      <c r="G78" s="21" t="n">
        <v>4135000.0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45.0</v>
      </c>
      <c r="F79" s="26" t="n">
        <f>0</f>
        <v>0.0</v>
      </c>
      <c r="G79" s="25" t="n">
        <v>1.5486E7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195.0</v>
      </c>
      <c r="F92" s="18" t="n">
        <f>0</f>
        <v>0.0</v>
      </c>
      <c r="G92" s="17" t="n">
        <v>3.104654E8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195.0</v>
      </c>
      <c r="F95" s="26" t="n">
        <f>0</f>
        <v>0.0</v>
      </c>
      <c r="G95" s="25" t="n">
        <v>3.104654E8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57.0</v>
      </c>
      <c r="F96" s="18" t="n">
        <f>0</f>
        <v>0.0</v>
      </c>
      <c r="G96" s="17" t="n">
        <v>1.350338E8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358.0</v>
      </c>
      <c r="F97" s="22" t="n">
        <f>0</f>
        <v>0.0</v>
      </c>
      <c r="G97" s="21" t="n">
        <v>8.480279E8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6.0</v>
      </c>
      <c r="F98" s="22" t="n">
        <f>0</f>
        <v>0.0</v>
      </c>
      <c r="G98" s="21" t="n">
        <v>1.4232E7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421.0</v>
      </c>
      <c r="F99" s="26" t="n">
        <f>0</f>
        <v>0.0</v>
      </c>
      <c r="G99" s="25" t="n">
        <v>9.972937E8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720.0</v>
      </c>
      <c r="F100" s="18" t="n">
        <f>0</f>
        <v>0.0</v>
      </c>
      <c r="G100" s="17" t="n">
        <v>1.33213E9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720.0</v>
      </c>
      <c r="F103" s="26" t="n">
        <f>0</f>
        <v>0.0</v>
      </c>
      <c r="G103" s="25" t="n">
        <v>1.33213E9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12691.0</v>
      </c>
      <c r="F108" s="18" t="n">
        <f>282</f>
        <v>282.0</v>
      </c>
      <c r="G108" s="17" t="n">
        <v>1.6260186E12</v>
      </c>
      <c r="H108" s="18" t="n">
        <f>36149170000</f>
        <v>3.614917E10</v>
      </c>
    </row>
    <row r="109" spans="1:8" ht="24.9" customHeight="1">
      <c r="A109" s="51"/>
      <c r="B109" s="57"/>
      <c r="C109" s="39"/>
      <c r="D109" s="20" t="s">
        <v>16</v>
      </c>
      <c r="E109" s="21" t="n">
        <v>15063.0</v>
      </c>
      <c r="F109" s="22" t="n">
        <f>1119</f>
        <v>1119.0</v>
      </c>
      <c r="G109" s="21" t="n">
        <v>1.928493105E12</v>
      </c>
      <c r="H109" s="22" t="n">
        <f>143302425000</f>
        <v>1.43302425E11</v>
      </c>
    </row>
    <row r="110" spans="1:8" ht="24.9" customHeight="1">
      <c r="A110" s="51"/>
      <c r="B110" s="57"/>
      <c r="C110" s="39"/>
      <c r="D110" s="20" t="s">
        <v>17</v>
      </c>
      <c r="E110" s="21" t="n">
        <v>10167.0</v>
      </c>
      <c r="F110" s="22" t="n">
        <f>2043</f>
        <v>2043.0</v>
      </c>
      <c r="G110" s="21" t="n">
        <v>1.3019427E12</v>
      </c>
      <c r="H110" s="22" t="n">
        <f>261594200000</f>
        <v>2.615942E11</v>
      </c>
    </row>
    <row r="111" spans="1:8" ht="24.9" customHeight="1">
      <c r="A111" s="51"/>
      <c r="B111" s="57"/>
      <c r="C111" s="39"/>
      <c r="D111" s="24" t="s">
        <v>18</v>
      </c>
      <c r="E111" s="25" t="n">
        <v>37921.0</v>
      </c>
      <c r="F111" s="26" t="n">
        <f>3444</f>
        <v>3444.0</v>
      </c>
      <c r="G111" s="25" t="n">
        <v>4.856454405E12</v>
      </c>
      <c r="H111" s="26" t="n">
        <f>441045795000</f>
        <v>4.41045795E11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0.0</v>
      </c>
      <c r="F113" s="22" t="n">
        <f>0</f>
        <v>0.0</v>
      </c>
      <c r="G113" s="21" t="n">
        <v>0.0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1.0</v>
      </c>
      <c r="F114" s="22" t="n">
        <f>0</f>
        <v>0.0</v>
      </c>
      <c r="G114" s="21" t="n">
        <v>1.2804E7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1.0</v>
      </c>
      <c r="F115" s="26" t="n">
        <f>0</f>
        <v>0.0</v>
      </c>
      <c r="G115" s="25" t="n">
        <v>1.2804E7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225.0</v>
      </c>
      <c r="F118" s="22" t="n">
        <f>0</f>
        <v>0.0</v>
      </c>
      <c r="G118" s="21" t="n">
        <v>2.0837E9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225.0</v>
      </c>
      <c r="F119" s="26" t="n">
        <f>0</f>
        <v>0.0</v>
      </c>
      <c r="G119" s="25" t="n">
        <v>2.0837E9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11117.0</v>
      </c>
      <c r="F120" s="18" t="n">
        <f>0</f>
        <v>0.0</v>
      </c>
      <c r="G120" s="17" t="n">
        <v>2.7501928E11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1819.0</v>
      </c>
      <c r="F121" s="22" t="n">
        <f>0</f>
        <v>0.0</v>
      </c>
      <c r="G121" s="21" t="n">
        <v>4.492574875E10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182.0</v>
      </c>
      <c r="F122" s="22" t="n">
        <f>0</f>
        <v>0.0</v>
      </c>
      <c r="G122" s="21" t="n">
        <v>4.49909875E9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13118.0</v>
      </c>
      <c r="F123" s="26" t="n">
        <f>0</f>
        <v>0.0</v>
      </c>
      <c r="G123" s="25" t="n">
        <v>3.244441275E11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11295.0</v>
      </c>
      <c r="F124" s="18" t="n">
        <f>0</f>
        <v>0.0</v>
      </c>
      <c r="G124" s="17" t="n">
        <v>2.57018729E11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2783.0</v>
      </c>
      <c r="F125" s="22" t="n">
        <f>0</f>
        <v>0.0</v>
      </c>
      <c r="G125" s="21" t="n">
        <v>6.3323927E10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1512.0</v>
      </c>
      <c r="F126" s="22" t="n">
        <f>4</f>
        <v>4.0</v>
      </c>
      <c r="G126" s="21" t="n">
        <v>3.4506353E10</v>
      </c>
      <c r="H126" s="22" t="n">
        <f>90422000</f>
        <v>9.0422E7</v>
      </c>
    </row>
    <row r="127" spans="1:8" ht="24.9" customHeight="1">
      <c r="A127" s="51"/>
      <c r="B127" s="57"/>
      <c r="C127" s="39"/>
      <c r="D127" s="24" t="s">
        <v>18</v>
      </c>
      <c r="E127" s="25" t="n">
        <v>15590.0</v>
      </c>
      <c r="F127" s="26" t="n">
        <f>4</f>
        <v>4.0</v>
      </c>
      <c r="G127" s="25" t="n">
        <v>3.54849009E11</v>
      </c>
      <c r="H127" s="26" t="n">
        <f>90422000</f>
        <v>9.0422E7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208.0</v>
      </c>
      <c r="F128" s="18" t="n">
        <f>0</f>
        <v>0.0</v>
      </c>
      <c r="G128" s="17" t="n">
        <v>4.755398E8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75.0</v>
      </c>
      <c r="F129" s="22" t="n">
        <f>0</f>
        <v>0.0</v>
      </c>
      <c r="G129" s="21" t="n">
        <v>1.700142E8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73.0</v>
      </c>
      <c r="F130" s="22" t="n">
        <f>0</f>
        <v>0.0</v>
      </c>
      <c r="G130" s="21" t="n">
        <v>1.662171E8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356.0</v>
      </c>
      <c r="F131" s="26" t="n">
        <f>0</f>
        <v>0.0</v>
      </c>
      <c r="G131" s="25" t="n">
        <v>8.117711E8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10894.0</v>
      </c>
      <c r="F132" s="18" t="n">
        <f>0</f>
        <v>0.0</v>
      </c>
      <c r="G132" s="17" t="n">
        <v>2.47942843E10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2551.0</v>
      </c>
      <c r="F133" s="22" t="n">
        <f>0</f>
        <v>0.0</v>
      </c>
      <c r="G133" s="21" t="n">
        <v>5.80794695E9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2221.0</v>
      </c>
      <c r="F134" s="22" t="n">
        <f>0</f>
        <v>0.0</v>
      </c>
      <c r="G134" s="21" t="n">
        <v>5.07155525E9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15666.0</v>
      </c>
      <c r="F135" s="26" t="n">
        <f>0</f>
        <v>0.0</v>
      </c>
      <c r="G135" s="25" t="n">
        <v>3.56737865E10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75.0</v>
      </c>
      <c r="F136" s="18" t="n">
        <f>0</f>
        <v>0.0</v>
      </c>
      <c r="G136" s="17" t="n">
        <v>1.698763E8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7.0</v>
      </c>
      <c r="F137" s="22" t="n">
        <f>0</f>
        <v>0.0</v>
      </c>
      <c r="G137" s="21" t="n">
        <v>1.57691E7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16.0</v>
      </c>
      <c r="F138" s="22" t="n">
        <f>0</f>
        <v>0.0</v>
      </c>
      <c r="G138" s="21" t="n">
        <v>3.62453E7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98.0</v>
      </c>
      <c r="F139" s="26" t="n">
        <f>0</f>
        <v>0.0</v>
      </c>
      <c r="G139" s="25" t="n">
        <v>2.218907E8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1642.0</v>
      </c>
      <c r="F144" s="18" t="n">
        <f>0</f>
        <v>0.0</v>
      </c>
      <c r="G144" s="17" t="n">
        <v>7.343281E9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1020.0</v>
      </c>
      <c r="F145" s="22" t="n">
        <f>0</f>
        <v>0.0</v>
      </c>
      <c r="G145" s="21" t="n">
        <v>4.549255E9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912.0</v>
      </c>
      <c r="F146" s="22" t="n">
        <f>0</f>
        <v>0.0</v>
      </c>
      <c r="G146" s="21" t="n">
        <v>4.061326E9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3574.0</v>
      </c>
      <c r="F147" s="26" t="n">
        <f>0</f>
        <v>0.0</v>
      </c>
      <c r="G147" s="25" t="n">
        <v>1.5953862E10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58.0</v>
      </c>
      <c r="F148" s="18" t="n">
        <f>0</f>
        <v>0.0</v>
      </c>
      <c r="G148" s="17" t="n">
        <v>5.33437E7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1.0</v>
      </c>
      <c r="F149" s="22" t="n">
        <f>0</f>
        <v>0.0</v>
      </c>
      <c r="G149" s="21" t="n">
        <v>900000.0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135.0</v>
      </c>
      <c r="F150" s="22" t="n">
        <f>0</f>
        <v>0.0</v>
      </c>
      <c r="G150" s="21" t="n">
        <v>1.22174E8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194.0</v>
      </c>
      <c r="F151" s="26" t="n">
        <f>0</f>
        <v>0.0</v>
      </c>
      <c r="G151" s="25" t="n">
        <v>1.764177E8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478.0</v>
      </c>
      <c r="F152" s="18" t="n">
        <f>0</f>
        <v>0.0</v>
      </c>
      <c r="G152" s="17" t="n">
        <v>4.273496E8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206.0</v>
      </c>
      <c r="F153" s="22" t="n">
        <f>0</f>
        <v>0.0</v>
      </c>
      <c r="G153" s="21" t="n">
        <v>1.8343205E8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329.0</v>
      </c>
      <c r="F154" s="22" t="n">
        <f>0</f>
        <v>0.0</v>
      </c>
      <c r="G154" s="21" t="n">
        <v>2.925371E8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1013.0</v>
      </c>
      <c r="F155" s="26" t="n">
        <f>0</f>
        <v>0.0</v>
      </c>
      <c r="G155" s="25" t="n">
        <v>9.0331875E8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47.0</v>
      </c>
      <c r="F156" s="18" t="n">
        <f>0</f>
        <v>0.0</v>
      </c>
      <c r="G156" s="17" t="n">
        <v>4.17924E7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159.0</v>
      </c>
      <c r="F157" s="22" t="n">
        <f>0</f>
        <v>0.0</v>
      </c>
      <c r="G157" s="21" t="n">
        <v>1.421634E8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701.0</v>
      </c>
      <c r="F158" s="22" t="n">
        <f>0</f>
        <v>0.0</v>
      </c>
      <c r="G158" s="21" t="n">
        <v>6.243443E8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907.0</v>
      </c>
      <c r="F159" s="26" t="n">
        <f>0</f>
        <v>0.0</v>
      </c>
      <c r="G159" s="25" t="n">
        <v>8.083001E8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170.0</v>
      </c>
      <c r="F168" s="18" t="n">
        <f>0</f>
        <v>0.0</v>
      </c>
      <c r="G168" s="17" t="n">
        <v>3.676685E8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134.0</v>
      </c>
      <c r="F169" s="22" t="n">
        <f>25</f>
        <v>25.0</v>
      </c>
      <c r="G169" s="21" t="n">
        <v>2.92861E8</v>
      </c>
      <c r="H169" s="22" t="n">
        <f>53750000</f>
        <v>5.375E7</v>
      </c>
    </row>
    <row r="170" spans="1:8" ht="24.9" customHeight="1">
      <c r="A170" s="51"/>
      <c r="B170" s="57"/>
      <c r="C170" s="39"/>
      <c r="D170" s="20" t="s">
        <v>17</v>
      </c>
      <c r="E170" s="21" t="n">
        <v>202.0</v>
      </c>
      <c r="F170" s="22" t="n">
        <f>0</f>
        <v>0.0</v>
      </c>
      <c r="G170" s="21" t="n">
        <v>4.425145E8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506.0</v>
      </c>
      <c r="F171" s="26" t="n">
        <f>25</f>
        <v>25.0</v>
      </c>
      <c r="G171" s="25" t="n">
        <v>1.103044E9</v>
      </c>
      <c r="H171" s="26" t="n">
        <f>53750000</f>
        <v>5.375E7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718.0</v>
      </c>
      <c r="F204" s="18" t="n">
        <f>0</f>
        <v>0.0</v>
      </c>
      <c r="G204" s="17" t="n">
        <v>2.6451915E9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276.0</v>
      </c>
      <c r="F205" s="22" t="n">
        <f>0</f>
        <v>0.0</v>
      </c>
      <c r="G205" s="21" t="n">
        <v>1.0000015E9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1222.0</v>
      </c>
      <c r="F206" s="22" t="n">
        <f>0</f>
        <v>0.0</v>
      </c>
      <c r="G206" s="21" t="n">
        <v>4.404284E9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2216.0</v>
      </c>
      <c r="F207" s="26" t="n">
        <f>0</f>
        <v>0.0</v>
      </c>
      <c r="G207" s="25" t="n">
        <v>8.049477E9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46191.0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46191.0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3065</f>
        <v>3065.0</v>
      </c>
      <c r="E12" s="35" t="n">
        <f>1911</f>
        <v>1911.0</v>
      </c>
      <c r="F12" s="17" t="n">
        <f>2332</f>
        <v>2332.0</v>
      </c>
      <c r="G12" s="35" t="n">
        <f>611</f>
        <v>611.0</v>
      </c>
      <c r="H12" s="17" t="n">
        <f>5397</f>
        <v>5397.0</v>
      </c>
      <c r="I12" s="35" t="n">
        <f>2522</f>
        <v>2522.0</v>
      </c>
      <c r="J12" s="17" t="n">
        <f>2333740340</f>
        <v>2.33374034E9</v>
      </c>
      <c r="K12" s="35" t="n">
        <f>1922516340</f>
        <v>1.92251634E9</v>
      </c>
      <c r="L12" s="17" t="n">
        <f>942772960</f>
        <v>9.4277296E8</v>
      </c>
      <c r="M12" s="35" t="n">
        <f>242315960</f>
        <v>2.4231596E8</v>
      </c>
      <c r="N12" s="17" t="n">
        <f>3276513300</f>
        <v>3.2765133E9</v>
      </c>
      <c r="O12" s="35" t="n">
        <f>2164832300</f>
        <v>2.1648323E9</v>
      </c>
    </row>
    <row r="13" spans="1:15" ht="24.9" customHeight="1">
      <c r="A13" s="38"/>
      <c r="B13" s="62"/>
      <c r="C13" s="20" t="s">
        <v>16</v>
      </c>
      <c r="D13" s="21" t="n">
        <f>8651</f>
        <v>8651.0</v>
      </c>
      <c r="E13" s="36" t="n">
        <f>4141</f>
        <v>4141.0</v>
      </c>
      <c r="F13" s="21" t="n">
        <f>9179</f>
        <v>9179.0</v>
      </c>
      <c r="G13" s="36" t="n">
        <f>5440</f>
        <v>5440.0</v>
      </c>
      <c r="H13" s="21" t="n">
        <f>17830</f>
        <v>17830.0</v>
      </c>
      <c r="I13" s="36" t="n">
        <f>9581</f>
        <v>9581.0</v>
      </c>
      <c r="J13" s="21" t="n">
        <f>7209432904</f>
        <v>7.209432904E9</v>
      </c>
      <c r="K13" s="36" t="n">
        <f>4718710904</f>
        <v>4.718710904E9</v>
      </c>
      <c r="L13" s="21" t="n">
        <f>13416660750</f>
        <v>1.341666075E10</v>
      </c>
      <c r="M13" s="36" t="n">
        <f>11334782750</f>
        <v>1.133478275E10</v>
      </c>
      <c r="N13" s="21" t="n">
        <f>20626093654</f>
        <v>2.0626093654E10</v>
      </c>
      <c r="O13" s="36" t="n">
        <f>16053493654</f>
        <v>1.6053493654E10</v>
      </c>
    </row>
    <row r="14" spans="1:15" ht="24.9" customHeight="1">
      <c r="A14" s="38"/>
      <c r="B14" s="62"/>
      <c r="C14" s="20" t="s">
        <v>17</v>
      </c>
      <c r="D14" s="21" t="n">
        <f>26832</f>
        <v>26832.0</v>
      </c>
      <c r="E14" s="36" t="n">
        <f>22259</f>
        <v>22259.0</v>
      </c>
      <c r="F14" s="21" t="n">
        <f>12802</f>
        <v>12802.0</v>
      </c>
      <c r="G14" s="36" t="n">
        <f>9737</f>
        <v>9737.0</v>
      </c>
      <c r="H14" s="21" t="n">
        <f>39634</f>
        <v>39634.0</v>
      </c>
      <c r="I14" s="36" t="n">
        <f>31996</f>
        <v>31996.0</v>
      </c>
      <c r="J14" s="21" t="n">
        <f>36475951949</f>
        <v>3.6475951949E10</v>
      </c>
      <c r="K14" s="36" t="n">
        <f>34524494949</f>
        <v>3.4524494949E10</v>
      </c>
      <c r="L14" s="21" t="n">
        <f>50646787470</f>
        <v>5.064678747E10</v>
      </c>
      <c r="M14" s="36" t="n">
        <f>49134982470</f>
        <v>4.913498247E10</v>
      </c>
      <c r="N14" s="21" t="n">
        <f>87122739419</f>
        <v>8.7122739419E10</v>
      </c>
      <c r="O14" s="36" t="n">
        <f>83659477419</f>
        <v>8.3659477419E10</v>
      </c>
    </row>
    <row r="15" spans="1:15" ht="24.9" customHeight="1">
      <c r="A15" s="38"/>
      <c r="B15" s="62"/>
      <c r="C15" s="24" t="s">
        <v>18</v>
      </c>
      <c r="D15" s="25" t="n">
        <f>38548</f>
        <v>38548.0</v>
      </c>
      <c r="E15" s="37" t="n">
        <f>28311</f>
        <v>28311.0</v>
      </c>
      <c r="F15" s="25" t="n">
        <f>24313</f>
        <v>24313.0</v>
      </c>
      <c r="G15" s="37" t="n">
        <f>15788</f>
        <v>15788.0</v>
      </c>
      <c r="H15" s="25" t="n">
        <f>62861</f>
        <v>62861.0</v>
      </c>
      <c r="I15" s="37" t="n">
        <f>44099</f>
        <v>44099.0</v>
      </c>
      <c r="J15" s="25" t="n">
        <f>46019125193</f>
        <v>4.6019125193E10</v>
      </c>
      <c r="K15" s="37" t="n">
        <f>41165722193</f>
        <v>4.1165722193E10</v>
      </c>
      <c r="L15" s="25" t="n">
        <f>65006221180</f>
        <v>6.500622118E10</v>
      </c>
      <c r="M15" s="37" t="n">
        <f>60712081180</f>
        <v>6.071208118E10</v>
      </c>
      <c r="N15" s="25" t="n">
        <f>111025346373</f>
        <v>1.11025346373E11</v>
      </c>
      <c r="O15" s="37" t="n">
        <f>101877803373</f>
        <v>1.01877803373E11</v>
      </c>
    </row>
    <row r="16" spans="1:15" ht="24.9" customHeight="1">
      <c r="A16" s="38"/>
      <c r="B16" s="61" t="s">
        <v>105</v>
      </c>
      <c r="C16" s="16" t="s">
        <v>15</v>
      </c>
      <c r="D16" s="17" t="n">
        <f>18070</f>
        <v>18070.0</v>
      </c>
      <c r="E16" s="35" t="n">
        <f>3270</f>
        <v>3270.0</v>
      </c>
      <c r="F16" s="17" t="n">
        <f>10245</f>
        <v>10245.0</v>
      </c>
      <c r="G16" s="35" t="n">
        <f>1660</f>
        <v>1660.0</v>
      </c>
      <c r="H16" s="17" t="n">
        <f>28315</f>
        <v>28315.0</v>
      </c>
      <c r="I16" s="35" t="n">
        <f>4930</f>
        <v>4930.0</v>
      </c>
      <c r="J16" s="17" t="n">
        <f>329153340</f>
        <v>3.2915334E8</v>
      </c>
      <c r="K16" s="35" t="n">
        <f>13286240</f>
        <v>1.328624E7</v>
      </c>
      <c r="L16" s="17" t="n">
        <f>547663520</f>
        <v>5.4766352E8</v>
      </c>
      <c r="M16" s="35" t="n">
        <f>17492120</f>
        <v>1.749212E7</v>
      </c>
      <c r="N16" s="17" t="n">
        <f>876816860</f>
        <v>8.7681686E8</v>
      </c>
      <c r="O16" s="35" t="n">
        <f>30778360</f>
        <v>3.077836E7</v>
      </c>
    </row>
    <row r="17" spans="1:15" ht="24.9" customHeight="1">
      <c r="A17" s="38"/>
      <c r="B17" s="62"/>
      <c r="C17" s="20" t="s">
        <v>16</v>
      </c>
      <c r="D17" s="21" t="n">
        <f>21540</f>
        <v>21540.0</v>
      </c>
      <c r="E17" s="36" t="n">
        <f>1210</f>
        <v>1210.0</v>
      </c>
      <c r="F17" s="21" t="n">
        <f>9839</f>
        <v>9839.0</v>
      </c>
      <c r="G17" s="36" t="n">
        <f>310</f>
        <v>310.0</v>
      </c>
      <c r="H17" s="21" t="n">
        <f>31379</f>
        <v>31379.0</v>
      </c>
      <c r="I17" s="36" t="n">
        <f>1520</f>
        <v>1520.0</v>
      </c>
      <c r="J17" s="21" t="n">
        <f>717274910</f>
        <v>7.1727491E8</v>
      </c>
      <c r="K17" s="36" t="n">
        <f>6694110</f>
        <v>6694110.0</v>
      </c>
      <c r="L17" s="21" t="n">
        <f>987792740</f>
        <v>9.8779274E8</v>
      </c>
      <c r="M17" s="36" t="n">
        <f>20469940</f>
        <v>2.046994E7</v>
      </c>
      <c r="N17" s="21" t="n">
        <f>1705067650</f>
        <v>1.70506765E9</v>
      </c>
      <c r="O17" s="36" t="n">
        <f>27164050</f>
        <v>2.716405E7</v>
      </c>
    </row>
    <row r="18" spans="1:15" ht="24.9" customHeight="1">
      <c r="A18" s="38"/>
      <c r="B18" s="62"/>
      <c r="C18" s="20" t="s">
        <v>17</v>
      </c>
      <c r="D18" s="21" t="n">
        <f>27134</f>
        <v>27134.0</v>
      </c>
      <c r="E18" s="36" t="n">
        <f>2690</f>
        <v>2690.0</v>
      </c>
      <c r="F18" s="21" t="n">
        <f>10637</f>
        <v>10637.0</v>
      </c>
      <c r="G18" s="36" t="n">
        <f>380</f>
        <v>380.0</v>
      </c>
      <c r="H18" s="21" t="n">
        <f>37771</f>
        <v>37771.0</v>
      </c>
      <c r="I18" s="36" t="n">
        <f>3070</f>
        <v>3070.0</v>
      </c>
      <c r="J18" s="21" t="n">
        <f>833314570</f>
        <v>8.3331457E8</v>
      </c>
      <c r="K18" s="36" t="n">
        <f>16459070</f>
        <v>1.645907E7</v>
      </c>
      <c r="L18" s="21" t="n">
        <f>1613576080</f>
        <v>1.61357608E9</v>
      </c>
      <c r="M18" s="36" t="n">
        <f>18536280</f>
        <v>1.853628E7</v>
      </c>
      <c r="N18" s="21" t="n">
        <f>2446890650</f>
        <v>2.44689065E9</v>
      </c>
      <c r="O18" s="36" t="n">
        <f>34995350</f>
        <v>3.499535E7</v>
      </c>
    </row>
    <row r="19" spans="1:15" ht="24.9" customHeight="1">
      <c r="A19" s="38"/>
      <c r="B19" s="62"/>
      <c r="C19" s="24" t="s">
        <v>18</v>
      </c>
      <c r="D19" s="25" t="n">
        <f>66744</f>
        <v>66744.0</v>
      </c>
      <c r="E19" s="37" t="n">
        <f>7170</f>
        <v>7170.0</v>
      </c>
      <c r="F19" s="25" t="n">
        <f>30721</f>
        <v>30721.0</v>
      </c>
      <c r="G19" s="37" t="n">
        <f>2350</f>
        <v>2350.0</v>
      </c>
      <c r="H19" s="25" t="n">
        <f>97465</f>
        <v>97465.0</v>
      </c>
      <c r="I19" s="37" t="n">
        <f>9520</f>
        <v>9520.0</v>
      </c>
      <c r="J19" s="25" t="n">
        <f>1879742820</f>
        <v>1.87974282E9</v>
      </c>
      <c r="K19" s="37" t="n">
        <f>36439420</f>
        <v>3.643942E7</v>
      </c>
      <c r="L19" s="25" t="n">
        <f>3149032340</f>
        <v>3.14903234E9</v>
      </c>
      <c r="M19" s="37" t="n">
        <f>56498340</f>
        <v>5.649834E7</v>
      </c>
      <c r="N19" s="25" t="n">
        <f>5028775160</f>
        <v>5.02877516E9</v>
      </c>
      <c r="O19" s="37" t="n">
        <f>92937760</f>
        <v>9.293776E7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9789</f>
        <v>9789.0</v>
      </c>
      <c r="E22" s="36" t="n">
        <f>9789</f>
        <v>9789.0</v>
      </c>
      <c r="F22" s="21" t="n">
        <f>250</f>
        <v>250.0</v>
      </c>
      <c r="G22" s="36" t="n">
        <f>250</f>
        <v>250.0</v>
      </c>
      <c r="H22" s="21" t="n">
        <f>10039</f>
        <v>10039.0</v>
      </c>
      <c r="I22" s="36" t="n">
        <f>10039</f>
        <v>10039.0</v>
      </c>
      <c r="J22" s="21" t="n">
        <f>6080855840</f>
        <v>6.08085584E9</v>
      </c>
      <c r="K22" s="36" t="n">
        <f>6080855840</f>
        <v>6.08085584E9</v>
      </c>
      <c r="L22" s="21" t="n">
        <f>203962500</f>
        <v>2.039625E8</v>
      </c>
      <c r="M22" s="36" t="n">
        <f>203962500</f>
        <v>2.039625E8</v>
      </c>
      <c r="N22" s="21" t="n">
        <f>6284818340</f>
        <v>6.28481834E9</v>
      </c>
      <c r="O22" s="36" t="n">
        <f>6284818340</f>
        <v>6.28481834E9</v>
      </c>
    </row>
    <row r="23" spans="1:15" ht="24.9" customHeight="1">
      <c r="A23" s="38"/>
      <c r="B23" s="62"/>
      <c r="C23" s="24" t="s">
        <v>18</v>
      </c>
      <c r="D23" s="25" t="n">
        <f>9789</f>
        <v>9789.0</v>
      </c>
      <c r="E23" s="37" t="n">
        <f>9789</f>
        <v>9789.0</v>
      </c>
      <c r="F23" s="25" t="n">
        <f>250</f>
        <v>250.0</v>
      </c>
      <c r="G23" s="37" t="n">
        <f>250</f>
        <v>250.0</v>
      </c>
      <c r="H23" s="25" t="n">
        <f>10039</f>
        <v>10039.0</v>
      </c>
      <c r="I23" s="37" t="n">
        <f>10039</f>
        <v>10039.0</v>
      </c>
      <c r="J23" s="25" t="n">
        <f>6080855840</f>
        <v>6.08085584E9</v>
      </c>
      <c r="K23" s="37" t="n">
        <f>6080855840</f>
        <v>6.08085584E9</v>
      </c>
      <c r="L23" s="25" t="n">
        <f>203962500</f>
        <v>2.039625E8</v>
      </c>
      <c r="M23" s="37" t="n">
        <f>203962500</f>
        <v>2.039625E8</v>
      </c>
      <c r="N23" s="25" t="n">
        <f>6284818340</f>
        <v>6.28481834E9</v>
      </c>
      <c r="O23" s="37" t="n">
        <f>6284818340</f>
        <v>6.28481834E9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40</f>
        <v>40.0</v>
      </c>
      <c r="E37" s="22" t="n">
        <f>0</f>
        <v>0.0</v>
      </c>
      <c r="F37" s="21" t="n">
        <f>122</f>
        <v>122.0</v>
      </c>
      <c r="G37" s="22" t="n">
        <f>0</f>
        <v>0.0</v>
      </c>
      <c r="H37" s="21" t="n">
        <f>162</f>
        <v>162.0</v>
      </c>
      <c r="I37" s="22" t="n">
        <f>0</f>
        <v>0.0</v>
      </c>
      <c r="J37" s="21" t="n">
        <f>16800000</f>
        <v>1.68E7</v>
      </c>
      <c r="K37" s="22" t="n">
        <f>0</f>
        <v>0.0</v>
      </c>
      <c r="L37" s="21" t="n">
        <f>9140000</f>
        <v>9140000.0</v>
      </c>
      <c r="M37" s="22" t="n">
        <f>0</f>
        <v>0.0</v>
      </c>
      <c r="N37" s="21" t="n">
        <f>25940000</f>
        <v>2.594E7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225</f>
        <v>225.0</v>
      </c>
      <c r="E38" s="36" t="n">
        <f>200</f>
        <v>200.0</v>
      </c>
      <c r="F38" s="21" t="n">
        <f>91</f>
        <v>91.0</v>
      </c>
      <c r="G38" s="36" t="n">
        <f>0</f>
        <v>0.0</v>
      </c>
      <c r="H38" s="21" t="n">
        <f>316</f>
        <v>316.0</v>
      </c>
      <c r="I38" s="36" t="n">
        <f>200</f>
        <v>200.0</v>
      </c>
      <c r="J38" s="21" t="n">
        <f>51250000</f>
        <v>5.125E7</v>
      </c>
      <c r="K38" s="36" t="n">
        <f>48000000</f>
        <v>4.8E7</v>
      </c>
      <c r="L38" s="21" t="n">
        <f>12680000</f>
        <v>1.268E7</v>
      </c>
      <c r="M38" s="36" t="n">
        <f>0</f>
        <v>0.0</v>
      </c>
      <c r="N38" s="21" t="n">
        <f>63930000</f>
        <v>6.393E7</v>
      </c>
      <c r="O38" s="36" t="n">
        <f>48000000</f>
        <v>4.8E7</v>
      </c>
    </row>
    <row r="39" spans="1:15" ht="24.9" customHeight="1">
      <c r="A39" s="38"/>
      <c r="B39" s="62"/>
      <c r="C39" s="24" t="s">
        <v>18</v>
      </c>
      <c r="D39" s="25" t="n">
        <f>265</f>
        <v>265.0</v>
      </c>
      <c r="E39" s="37" t="n">
        <f>200</f>
        <v>200.0</v>
      </c>
      <c r="F39" s="25" t="n">
        <f>213</f>
        <v>213.0</v>
      </c>
      <c r="G39" s="37" t="n">
        <f>0</f>
        <v>0.0</v>
      </c>
      <c r="H39" s="25" t="n">
        <f>478</f>
        <v>478.0</v>
      </c>
      <c r="I39" s="37" t="n">
        <f>200</f>
        <v>200.0</v>
      </c>
      <c r="J39" s="25" t="n">
        <f>68050000</f>
        <v>6.805E7</v>
      </c>
      <c r="K39" s="37" t="n">
        <f>48000000</f>
        <v>4.8E7</v>
      </c>
      <c r="L39" s="25" t="n">
        <f>21820000</f>
        <v>2.182E7</v>
      </c>
      <c r="M39" s="37" t="n">
        <f>0</f>
        <v>0.0</v>
      </c>
      <c r="N39" s="25" t="n">
        <f>89870000</f>
        <v>8.987E7</v>
      </c>
      <c r="O39" s="37" t="n">
        <f>48000000</f>
        <v>4.8E7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455</f>
        <v>455.0</v>
      </c>
      <c r="E41" s="36" t="n">
        <f>0</f>
        <v>0.0</v>
      </c>
      <c r="F41" s="21" t="n">
        <f>10193</f>
        <v>10193.0</v>
      </c>
      <c r="G41" s="36" t="n">
        <f>0</f>
        <v>0.0</v>
      </c>
      <c r="H41" s="21" t="n">
        <f>10648</f>
        <v>10648.0</v>
      </c>
      <c r="I41" s="36" t="n">
        <f>0</f>
        <v>0.0</v>
      </c>
      <c r="J41" s="21" t="n">
        <f>9942364</f>
        <v>9942364.0</v>
      </c>
      <c r="K41" s="36" t="n">
        <f>0</f>
        <v>0.0</v>
      </c>
      <c r="L41" s="21" t="n">
        <f>18204995</f>
        <v>1.8204995E7</v>
      </c>
      <c r="M41" s="36" t="n">
        <f>0</f>
        <v>0.0</v>
      </c>
      <c r="N41" s="21" t="n">
        <f>28147359</f>
        <v>2.8147359E7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10788</f>
        <v>10788.0</v>
      </c>
      <c r="E42" s="36" t="n">
        <f>4250</f>
        <v>4250.0</v>
      </c>
      <c r="F42" s="21" t="n">
        <f>7425</f>
        <v>7425.0</v>
      </c>
      <c r="G42" s="36" t="n">
        <f>1500</f>
        <v>1500.0</v>
      </c>
      <c r="H42" s="21" t="n">
        <f>18213</f>
        <v>18213.0</v>
      </c>
      <c r="I42" s="36" t="n">
        <f>5750</f>
        <v>5750.0</v>
      </c>
      <c r="J42" s="21" t="n">
        <f>147963874</f>
        <v>1.47963874E8</v>
      </c>
      <c r="K42" s="36" t="n">
        <f>84935000</f>
        <v>8.4935E7</v>
      </c>
      <c r="L42" s="21" t="n">
        <f>60158630</f>
        <v>6.015863E7</v>
      </c>
      <c r="M42" s="36" t="n">
        <f>23850000</f>
        <v>2.385E7</v>
      </c>
      <c r="N42" s="21" t="n">
        <f>208122504</f>
        <v>2.08122504E8</v>
      </c>
      <c r="O42" s="36" t="n">
        <f>108785000</f>
        <v>1.08785E8</v>
      </c>
    </row>
    <row r="43" spans="1:15" ht="24.9" customHeight="1">
      <c r="A43" s="38"/>
      <c r="B43" s="62"/>
      <c r="C43" s="24" t="s">
        <v>18</v>
      </c>
      <c r="D43" s="25" t="n">
        <f>11243</f>
        <v>11243.0</v>
      </c>
      <c r="E43" s="37" t="n">
        <f>4250</f>
        <v>4250.0</v>
      </c>
      <c r="F43" s="25" t="n">
        <f>17618</f>
        <v>17618.0</v>
      </c>
      <c r="G43" s="37" t="n">
        <f>1500</f>
        <v>1500.0</v>
      </c>
      <c r="H43" s="25" t="n">
        <f>28861</f>
        <v>28861.0</v>
      </c>
      <c r="I43" s="37" t="n">
        <f>5750</f>
        <v>5750.0</v>
      </c>
      <c r="J43" s="25" t="n">
        <f>157906238</f>
        <v>1.57906238E8</v>
      </c>
      <c r="K43" s="37" t="n">
        <f>84935000</f>
        <v>8.4935E7</v>
      </c>
      <c r="L43" s="25" t="n">
        <f>78363625</f>
        <v>7.8363625E7</v>
      </c>
      <c r="M43" s="37" t="n">
        <f>23850000</f>
        <v>2.385E7</v>
      </c>
      <c r="N43" s="25" t="n">
        <f>236269863</f>
        <v>2.36269863E8</v>
      </c>
      <c r="O43" s="37" t="n">
        <f>108785000</f>
        <v>1.08785E8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