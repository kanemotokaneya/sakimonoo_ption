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<sst xmlns="http://schemas.openxmlformats.org/spreadsheetml/2006/main" count="528" uniqueCount="129">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</sst>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DATE(2026,09,01)</f>
        <v>46266.0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DATE(2026,09,01)</f>
        <v>46266.0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574136.0</f>
        <v>574136.0</v>
      </c>
      <c r="E12" s="18" t="n">
        <f>27068.0</f>
        <v>27068.0</v>
      </c>
      <c r="F12" s="19" t="n">
        <f>1.0</f>
        <v>1.0</v>
      </c>
      <c r="G12" s="17" t="n">
        <f>4241070887700.0</f>
        <v>4.2410708877E12</v>
      </c>
      <c r="H12" s="18" t="n">
        <f>350472363950.0</f>
        <v>3.5047236395E11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407093.0</f>
        <v>407093.0</v>
      </c>
      <c r="E13" s="22" t="n">
        <f>21057.0</f>
        <v>21057.0</v>
      </c>
      <c r="F13" s="23" t="n">
        <f>1.0</f>
        <v>1.0</v>
      </c>
      <c r="G13" s="21" t="n">
        <f>7980793459788.0</f>
        <v>7.980793459788E12</v>
      </c>
      <c r="H13" s="22" t="n">
        <f>542279942063.0</f>
        <v>5.42279942063E11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379282.0</f>
        <v>379282.0</v>
      </c>
      <c r="E14" s="22" t="n">
        <f>35898.0</f>
        <v>35898.0</v>
      </c>
      <c r="F14" s="23" t="n">
        <f>1.0</f>
        <v>1.0</v>
      </c>
      <c r="G14" s="21" t="n">
        <f>6663152642601.0</f>
        <v>6.663152642601E12</v>
      </c>
      <c r="H14" s="22" t="n">
        <f>1260599488251.0</f>
        <v>1.260599488251E12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1360511.0</f>
        <v>1360511.0</v>
      </c>
      <c r="E15" s="26" t="n">
        <f>84023.0</f>
        <v>84023.0</v>
      </c>
      <c r="F15" s="27" t="n">
        <f>1.0</f>
        <v>1.0</v>
      </c>
      <c r="G15" s="25" t="n">
        <f>18885016990089.0</f>
        <v>1.8885016990089E13</v>
      </c>
      <c r="H15" s="26" t="n">
        <f>2153351794264.0</f>
        <v>2.153351794264E12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12834.0</f>
        <v>12834.0</v>
      </c>
      <c r="E16" s="18" t="n">
        <f>657.0</f>
        <v>657.0</v>
      </c>
      <c r="F16" s="19" t="n">
        <f>0.022</f>
        <v>0.022</v>
      </c>
      <c r="G16" s="17" t="n">
        <f>1398890102500.0</f>
        <v>1.3988901025E12</v>
      </c>
      <c r="H16" s="18" t="n">
        <f>82776485000.0</f>
        <v>8.2776485E10</v>
      </c>
      <c r="I16" s="19" t="n">
        <f>0.33</f>
        <v>0.33</v>
      </c>
    </row>
    <row r="17" spans="1:9" ht="24.9" customHeight="1">
      <c r="A17" s="41"/>
      <c r="B17" s="39"/>
      <c r="C17" s="20" t="s">
        <v>16</v>
      </c>
      <c r="D17" s="21" t="n">
        <f>45680.0</f>
        <v>45680.0</v>
      </c>
      <c r="E17" s="22" t="n">
        <f>2713.0</f>
        <v>2713.0</v>
      </c>
      <c r="F17" s="23" t="n">
        <f>0.112</f>
        <v>0.112</v>
      </c>
      <c r="G17" s="21" t="n">
        <f>5578414293625.0</f>
        <v>5.578414293625E12</v>
      </c>
      <c r="H17" s="22" t="n">
        <f>340785840000.0</f>
        <v>3.4078584E11</v>
      </c>
      <c r="I17" s="23" t="n">
        <f>0.699</f>
        <v>0.699</v>
      </c>
    </row>
    <row r="18" spans="1:9" ht="24.9" customHeight="1">
      <c r="A18" s="41"/>
      <c r="B18" s="39"/>
      <c r="C18" s="20" t="s">
        <v>17</v>
      </c>
      <c r="D18" s="21" t="n">
        <f>28697.0</f>
        <v>28697.0</v>
      </c>
      <c r="E18" s="22" t="n">
        <f>3267.0</f>
        <v>3267.0</v>
      </c>
      <c r="F18" s="23" t="n">
        <f>0.076</f>
        <v>0.076</v>
      </c>
      <c r="G18" s="21" t="n">
        <f>3422199846000.0</f>
        <v>3.422199846E12</v>
      </c>
      <c r="H18" s="22" t="n">
        <f>409927255000.0</f>
        <v>4.09927255E11</v>
      </c>
      <c r="I18" s="23" t="n">
        <f>0.514</f>
        <v>0.514</v>
      </c>
    </row>
    <row r="19" spans="1:9" ht="24.9" customHeight="1">
      <c r="A19" s="41"/>
      <c r="B19" s="39"/>
      <c r="C19" s="24" t="s">
        <v>18</v>
      </c>
      <c r="D19" s="25" t="n">
        <f>87211.0</f>
        <v>87211.0</v>
      </c>
      <c r="E19" s="26" t="n">
        <f>6637.0</f>
        <v>6637.0</v>
      </c>
      <c r="F19" s="27" t="n">
        <f>0.064</f>
        <v>0.064</v>
      </c>
      <c r="G19" s="25" t="n">
        <f>10399504242125.0</f>
        <v>1.0399504242125E13</v>
      </c>
      <c r="H19" s="26" t="n">
        <f>833489580000.0</f>
        <v>8.3348958E11</v>
      </c>
      <c r="I19" s="27" t="n">
        <f>0.551</f>
        <v>0.551</v>
      </c>
    </row>
    <row r="20" spans="1:9" ht="24.9" customHeight="1">
      <c r="A20" s="41"/>
      <c r="B20" s="39" t="s">
        <v>21</v>
      </c>
      <c r="C20" s="16" t="s">
        <v>15</v>
      </c>
      <c r="D20" s="17" t="n">
        <f>548010.0</f>
        <v>548010.0</v>
      </c>
      <c r="E20" s="18" t="n">
        <f>26411.0</f>
        <v>26411.0</v>
      </c>
      <c r="F20" s="19" t="n">
        <f>0.954</f>
        <v>0.954</v>
      </c>
      <c r="G20" s="17" t="n">
        <f>2720489733450.0</f>
        <v>2.72048973345E12</v>
      </c>
      <c r="H20" s="18" t="n">
        <f>267695878950.0</f>
        <v>2.6769587895E11</v>
      </c>
      <c r="I20" s="19" t="n">
        <f>0.641</f>
        <v>0.641</v>
      </c>
    </row>
    <row r="21" spans="1:9" ht="24.9" customHeight="1">
      <c r="A21" s="41"/>
      <c r="B21" s="39"/>
      <c r="C21" s="20" t="s">
        <v>16</v>
      </c>
      <c r="D21" s="21" t="n">
        <f>352777.0</f>
        <v>352777.0</v>
      </c>
      <c r="E21" s="22" t="n">
        <f>18344.0</f>
        <v>18344.0</v>
      </c>
      <c r="F21" s="23" t="n">
        <f>0.867</f>
        <v>0.867</v>
      </c>
      <c r="G21" s="21" t="n">
        <f>2311563381963.0</f>
        <v>2.311563381963E12</v>
      </c>
      <c r="H21" s="22" t="n">
        <f>201494102063.0</f>
        <v>2.01494102063E11</v>
      </c>
      <c r="I21" s="23" t="n">
        <f>0.29</f>
        <v>0.29</v>
      </c>
    </row>
    <row r="22" spans="1:9" ht="24.9" customHeight="1">
      <c r="A22" s="41"/>
      <c r="B22" s="39"/>
      <c r="C22" s="20" t="s">
        <v>17</v>
      </c>
      <c r="D22" s="21" t="n">
        <f>339951.0</f>
        <v>339951.0</v>
      </c>
      <c r="E22" s="22" t="n">
        <f>32631.0</f>
        <v>32631.0</v>
      </c>
      <c r="F22" s="23" t="n">
        <f>0.896</f>
        <v>0.896</v>
      </c>
      <c r="G22" s="21" t="n">
        <f>3149265421151.0</f>
        <v>3.149265421151E12</v>
      </c>
      <c r="H22" s="22" t="n">
        <f>850672233251.0</f>
        <v>8.50672233251E11</v>
      </c>
      <c r="I22" s="23" t="n">
        <f>0.473</f>
        <v>0.473</v>
      </c>
    </row>
    <row r="23" spans="1:9" ht="24.9" customHeight="1">
      <c r="A23" s="41"/>
      <c r="B23" s="39"/>
      <c r="C23" s="24" t="s">
        <v>18</v>
      </c>
      <c r="D23" s="25" t="n">
        <f>1240738.0</f>
        <v>1240738.0</v>
      </c>
      <c r="E23" s="26" t="n">
        <f>77386.0</f>
        <v>77386.0</v>
      </c>
      <c r="F23" s="27" t="n">
        <f>0.912</f>
        <v>0.912</v>
      </c>
      <c r="G23" s="25" t="n">
        <f>8181318536564.0</f>
        <v>8.181318536564E12</v>
      </c>
      <c r="H23" s="26" t="n">
        <f>1319862214264.0</f>
        <v>1.319862214264E12</v>
      </c>
      <c r="I23" s="27" t="n">
        <f>0.433</f>
        <v>0.433</v>
      </c>
    </row>
    <row r="24" spans="1:9" ht="24.9" customHeight="1">
      <c r="A24" s="41"/>
      <c r="B24" s="39" t="s">
        <v>22</v>
      </c>
      <c r="C24" s="16" t="s">
        <v>15</v>
      </c>
      <c r="D24" s="17" t="n">
        <f>13185.0</f>
        <v>13185.0</v>
      </c>
      <c r="E24" s="18" t="n">
        <f>0.0</f>
        <v>0.0</v>
      </c>
      <c r="F24" s="19" t="n">
        <f>0.023</f>
        <v>0.023</v>
      </c>
      <c r="G24" s="17" t="n">
        <f>121261951250.0</f>
        <v>1.2126195125E11</v>
      </c>
      <c r="H24" s="18" t="n">
        <f>0.0</f>
        <v>0.0</v>
      </c>
      <c r="I24" s="19" t="n">
        <f>0.029</f>
        <v>0.029</v>
      </c>
    </row>
    <row r="25" spans="1:9" ht="24.9" customHeight="1">
      <c r="A25" s="41"/>
      <c r="B25" s="39"/>
      <c r="C25" s="20" t="s">
        <v>16</v>
      </c>
      <c r="D25" s="21" t="n">
        <f>8545.0</f>
        <v>8545.0</v>
      </c>
      <c r="E25" s="22" t="n">
        <f>0.0</f>
        <v>0.0</v>
      </c>
      <c r="F25" s="23" t="n">
        <f>0.021</f>
        <v>0.021</v>
      </c>
      <c r="G25" s="21" t="n">
        <f>90460288700.0</f>
        <v>9.04602887E10</v>
      </c>
      <c r="H25" s="22" t="n">
        <f>0.0</f>
        <v>0.0</v>
      </c>
      <c r="I25" s="23" t="n">
        <f>0.011</f>
        <v>0.011</v>
      </c>
    </row>
    <row r="26" spans="1:9" ht="24.9" customHeight="1">
      <c r="A26" s="41"/>
      <c r="B26" s="39"/>
      <c r="C26" s="20" t="s">
        <v>17</v>
      </c>
      <c r="D26" s="21" t="n">
        <f>9766.0</f>
        <v>9766.0</v>
      </c>
      <c r="E26" s="22" t="n">
        <f>0.0</f>
        <v>0.0</v>
      </c>
      <c r="F26" s="23" t="n">
        <f>0.026</f>
        <v>0.026</v>
      </c>
      <c r="G26" s="21" t="n">
        <f>88238382950.0</f>
        <v>8.823838295E10</v>
      </c>
      <c r="H26" s="22" t="n">
        <f>0.0</f>
        <v>0.0</v>
      </c>
      <c r="I26" s="23" t="n">
        <f>0.013</f>
        <v>0.013</v>
      </c>
    </row>
    <row r="27" spans="1:9" ht="24.9" customHeight="1">
      <c r="A27" s="42"/>
      <c r="B27" s="39"/>
      <c r="C27" s="24" t="s">
        <v>18</v>
      </c>
      <c r="D27" s="25" t="n">
        <f>31496.0</f>
        <v>31496.0</v>
      </c>
      <c r="E27" s="26" t="n">
        <f>0.0</f>
        <v>0.0</v>
      </c>
      <c r="F27" s="27" t="n">
        <f>0.023</f>
        <v>0.023</v>
      </c>
      <c r="G27" s="25" t="n">
        <f>299960622900.0</f>
        <v>2.999606229E11</v>
      </c>
      <c r="H27" s="26" t="n">
        <f>0.0</f>
        <v>0.0</v>
      </c>
      <c r="I27" s="27" t="n">
        <f>0.016</f>
        <v>0.016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107.0</f>
        <v>107.0</v>
      </c>
      <c r="E28" s="18" t="n">
        <f>0.0</f>
        <v>0.0</v>
      </c>
      <c r="F28" s="19" t="n">
        <f>0.0</f>
        <v>0.0</v>
      </c>
      <c r="G28" s="17" t="n">
        <f>429100500.0</f>
        <v>4.291005E8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91.0</f>
        <v>91.0</v>
      </c>
      <c r="E29" s="22" t="n">
        <f>0.0</f>
        <v>0.0</v>
      </c>
      <c r="F29" s="23" t="n">
        <f>0.0</f>
        <v>0.0</v>
      </c>
      <c r="G29" s="21" t="n">
        <f>355495500.0</f>
        <v>3.554955E8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868.0</f>
        <v>868.0</v>
      </c>
      <c r="E30" s="22" t="n">
        <f>0.0</f>
        <v>0.0</v>
      </c>
      <c r="F30" s="23" t="n">
        <f>0.002</f>
        <v>0.002</v>
      </c>
      <c r="G30" s="21" t="n">
        <f>3448992500.0</f>
        <v>3.4489925E9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1066.0</f>
        <v>1066.0</v>
      </c>
      <c r="E31" s="26" t="n">
        <f>0.0</f>
        <v>0.0</v>
      </c>
      <c r="F31" s="27" t="n">
        <f>0.001</f>
        <v>0.001</v>
      </c>
      <c r="G31" s="25" t="n">
        <f>4233588500.0</f>
        <v>4.2335885E9</v>
      </c>
      <c r="H31" s="26" t="n">
        <f>0.0</f>
        <v>0.0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46266.0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46266.0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19073</f>
        <v>19073.0</v>
      </c>
      <c r="E11" s="18" t="n">
        <f>5550</f>
        <v>5550.0</v>
      </c>
      <c r="F11" s="19" t="n">
        <f>1</f>
        <v>1.0</v>
      </c>
      <c r="G11" s="17" t="n">
        <f>4989011080</f>
        <v>4.98901108E9</v>
      </c>
      <c r="H11" s="18" t="n">
        <f>4024811980</f>
        <v>4.02481198E9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30206</f>
        <v>30206.0</v>
      </c>
      <c r="E12" s="22" t="n">
        <f>6571</f>
        <v>6571.0</v>
      </c>
      <c r="F12" s="23" t="n">
        <f>1</f>
        <v>1.0</v>
      </c>
      <c r="G12" s="21" t="n">
        <f>4986200550</f>
        <v>4.98620055E9</v>
      </c>
      <c r="H12" s="22" t="n">
        <f>3602542790</f>
        <v>3.60254279E9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45115</f>
        <v>45115.0</v>
      </c>
      <c r="E13" s="22" t="n">
        <f>17299</f>
        <v>17299.0</v>
      </c>
      <c r="F13" s="23" t="n">
        <f>1</f>
        <v>1.0</v>
      </c>
      <c r="G13" s="21" t="n">
        <f>15283626808</f>
        <v>1.5283626808E10</v>
      </c>
      <c r="H13" s="22" t="n">
        <f>13172766500</f>
        <v>1.31727665E10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94394</f>
        <v>94394.0</v>
      </c>
      <c r="E14" s="26" t="n">
        <f>29420</f>
        <v>29420.0</v>
      </c>
      <c r="F14" s="27" t="n">
        <f>1</f>
        <v>1.0</v>
      </c>
      <c r="G14" s="25" t="n">
        <f>25258838438</f>
        <v>2.5258838438E10</v>
      </c>
      <c r="H14" s="26" t="n">
        <f>20800121270</f>
        <v>2.080012127E10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18</f>
        <v>18.0</v>
      </c>
      <c r="E15" s="18" t="n">
        <f>0</f>
        <v>0.0</v>
      </c>
      <c r="F15" s="19" t="n">
        <f>0.001</f>
        <v>0.001</v>
      </c>
      <c r="G15" s="17" t="n">
        <f>930000</f>
        <v>930000.0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267</f>
        <v>267.0</v>
      </c>
      <c r="E16" s="22" t="n">
        <f>125</f>
        <v>125.0</v>
      </c>
      <c r="F16" s="23" t="n">
        <f>0.009</f>
        <v>0.009</v>
      </c>
      <c r="G16" s="21" t="n">
        <f>80810000</f>
        <v>8.081E7</v>
      </c>
      <c r="H16" s="22" t="n">
        <f>61500000</f>
        <v>6.15E7</v>
      </c>
      <c r="I16" s="23" t="n">
        <f>0.016</f>
        <v>0.016</v>
      </c>
    </row>
    <row r="17" spans="1:9" ht="24.9" customHeight="1">
      <c r="A17" s="41"/>
      <c r="B17" s="39"/>
      <c r="C17" s="20" t="s">
        <v>17</v>
      </c>
      <c r="D17" s="21" t="n">
        <f>100</f>
        <v>100.0</v>
      </c>
      <c r="E17" s="22" t="n">
        <f>0</f>
        <v>0.0</v>
      </c>
      <c r="F17" s="23" t="n">
        <f>0.002</f>
        <v>0.002</v>
      </c>
      <c r="G17" s="21" t="n">
        <f>33210000</f>
        <v>3.321E7</v>
      </c>
      <c r="H17" s="22" t="n">
        <f>0</f>
        <v>0.0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385</f>
        <v>385.0</v>
      </c>
      <c r="E18" s="26" t="n">
        <f>125</f>
        <v>125.0</v>
      </c>
      <c r="F18" s="27" t="n">
        <f>0.004</f>
        <v>0.004</v>
      </c>
      <c r="G18" s="25" t="n">
        <f>114950000</f>
        <v>1.1495E8</v>
      </c>
      <c r="H18" s="26" t="n">
        <f>61500000</f>
        <v>6.15E7</v>
      </c>
      <c r="I18" s="27" t="n">
        <f>0.005</f>
        <v>0.005</v>
      </c>
    </row>
    <row r="19" spans="1:9" ht="24.9" customHeight="1">
      <c r="A19" s="41"/>
      <c r="B19" s="39" t="s">
        <v>31</v>
      </c>
      <c r="C19" s="16" t="s">
        <v>15</v>
      </c>
      <c r="D19" s="17" t="n">
        <f>19055</f>
        <v>19055.0</v>
      </c>
      <c r="E19" s="18" t="n">
        <f>5550</f>
        <v>5550.0</v>
      </c>
      <c r="F19" s="19" t="n">
        <f>0.999</f>
        <v>0.999</v>
      </c>
      <c r="G19" s="17" t="n">
        <f>4988081080</f>
        <v>4.98808108E9</v>
      </c>
      <c r="H19" s="18" t="n">
        <f>4024811980</f>
        <v>4.02481198E9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20477</f>
        <v>20477.0</v>
      </c>
      <c r="E20" s="22" t="n">
        <f>6446</f>
        <v>6446.0</v>
      </c>
      <c r="F20" s="23" t="n">
        <f>0.678</f>
        <v>0.678</v>
      </c>
      <c r="G20" s="21" t="n">
        <f>4874118290</f>
        <v>4.87411829E9</v>
      </c>
      <c r="H20" s="22" t="n">
        <f>3541042790</f>
        <v>3.54104279E9</v>
      </c>
      <c r="I20" s="23" t="n">
        <f>0.978</f>
        <v>0.978</v>
      </c>
    </row>
    <row r="21" spans="1:9" ht="24.9" customHeight="1">
      <c r="A21" s="41"/>
      <c r="B21" s="39"/>
      <c r="C21" s="20" t="s">
        <v>17</v>
      </c>
      <c r="D21" s="21" t="n">
        <f>36119</f>
        <v>36119.0</v>
      </c>
      <c r="E21" s="22" t="n">
        <f>15399</f>
        <v>15399.0</v>
      </c>
      <c r="F21" s="23" t="n">
        <f>0.801</f>
        <v>0.801</v>
      </c>
      <c r="G21" s="21" t="n">
        <f>15120074800</f>
        <v>1.51200748E10</v>
      </c>
      <c r="H21" s="22" t="n">
        <f>13055096500</f>
        <v>1.30550965E10</v>
      </c>
      <c r="I21" s="23" t="n">
        <f>0.989</f>
        <v>0.989</v>
      </c>
    </row>
    <row r="22" spans="1:9" ht="24.9" customHeight="1">
      <c r="A22" s="41"/>
      <c r="B22" s="39"/>
      <c r="C22" s="24" t="s">
        <v>18</v>
      </c>
      <c r="D22" s="25" t="n">
        <f>75651</f>
        <v>75651.0</v>
      </c>
      <c r="E22" s="26" t="n">
        <f>27395</f>
        <v>27395.0</v>
      </c>
      <c r="F22" s="27" t="n">
        <f>0.801</f>
        <v>0.801</v>
      </c>
      <c r="G22" s="25" t="n">
        <f>24982274170</f>
        <v>2.498227417E10</v>
      </c>
      <c r="H22" s="26" t="n">
        <f>20620951270</f>
        <v>2.062095127E10</v>
      </c>
      <c r="I22" s="27" t="n">
        <f>0.989</f>
        <v>0.989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9462</f>
        <v>9462.0</v>
      </c>
      <c r="E24" s="22" t="n">
        <f>0</f>
        <v>0.0</v>
      </c>
      <c r="F24" s="23" t="n">
        <f>0.313</f>
        <v>0.313</v>
      </c>
      <c r="G24" s="21" t="n">
        <f>31272260</f>
        <v>3.127226E7</v>
      </c>
      <c r="H24" s="22" t="n">
        <f>0</f>
        <v>0.0</v>
      </c>
      <c r="I24" s="23" t="n">
        <f>0.006</f>
        <v>0.006</v>
      </c>
    </row>
    <row r="25" spans="1:9" ht="24.9" customHeight="1">
      <c r="A25" s="41"/>
      <c r="B25" s="39"/>
      <c r="C25" s="20" t="s">
        <v>17</v>
      </c>
      <c r="D25" s="21" t="n">
        <f>8896</f>
        <v>8896.0</v>
      </c>
      <c r="E25" s="22" t="n">
        <f>1900</f>
        <v>1900.0</v>
      </c>
      <c r="F25" s="23" t="n">
        <f>0.197</f>
        <v>0.197</v>
      </c>
      <c r="G25" s="21" t="n">
        <f>130342008</f>
        <v>1.30342008E8</v>
      </c>
      <c r="H25" s="22" t="n">
        <f>117670000</f>
        <v>1.1767E8</v>
      </c>
      <c r="I25" s="23" t="n">
        <f>0.009</f>
        <v>0.009</v>
      </c>
    </row>
    <row r="26" spans="1:9" ht="24.9" customHeight="1">
      <c r="A26" s="41"/>
      <c r="B26" s="39"/>
      <c r="C26" s="24" t="s">
        <v>18</v>
      </c>
      <c r="D26" s="25" t="n">
        <f>18358</f>
        <v>18358.0</v>
      </c>
      <c r="E26" s="26" t="n">
        <f>1900</f>
        <v>1900.0</v>
      </c>
      <c r="F26" s="27" t="n">
        <f>0.194</f>
        <v>0.194</v>
      </c>
      <c r="G26" s="25" t="n">
        <f>161614268</f>
        <v>1.61614268E8</v>
      </c>
      <c r="H26" s="26" t="n">
        <f>117670000</f>
        <v>1.1767E8</v>
      </c>
      <c r="I26" s="27" t="n">
        <f>0.006</f>
        <v>0.006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46266.0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46266.0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6463.0</v>
      </c>
      <c r="F12" s="18" t="n">
        <f>701</f>
        <v>701.0</v>
      </c>
      <c r="G12" s="17" t="n">
        <v>4.2767518414E11</v>
      </c>
      <c r="H12" s="18" t="n">
        <f>46424426140</f>
        <v>4.642442614E10</v>
      </c>
    </row>
    <row r="13" spans="1:8" ht="24.9" customHeight="1">
      <c r="A13" s="51"/>
      <c r="B13" s="57"/>
      <c r="C13" s="39"/>
      <c r="D13" s="20" t="s">
        <v>16</v>
      </c>
      <c r="E13" s="21" t="n">
        <v>7461.0</v>
      </c>
      <c r="F13" s="22" t="n">
        <f>468</f>
        <v>468.0</v>
      </c>
      <c r="G13" s="21" t="n">
        <v>4.921619957E11</v>
      </c>
      <c r="H13" s="22" t="n">
        <f>30893610700</f>
        <v>3.08936107E10</v>
      </c>
    </row>
    <row r="14" spans="1:8" ht="24.9" customHeight="1">
      <c r="A14" s="51"/>
      <c r="B14" s="57"/>
      <c r="C14" s="39"/>
      <c r="D14" s="20" t="s">
        <v>17</v>
      </c>
      <c r="E14" s="21" t="n">
        <v>8235.0</v>
      </c>
      <c r="F14" s="22" t="n">
        <f>1392</f>
        <v>1392.0</v>
      </c>
      <c r="G14" s="21" t="n">
        <v>5.4568231986E11</v>
      </c>
      <c r="H14" s="22" t="n">
        <f>92242747860</f>
        <v>9.224274786E10</v>
      </c>
    </row>
    <row r="15" spans="1:8" ht="24.9" customHeight="1">
      <c r="A15" s="51"/>
      <c r="B15" s="57"/>
      <c r="C15" s="39"/>
      <c r="D15" s="24" t="s">
        <v>18</v>
      </c>
      <c r="E15" s="25" t="n">
        <v>22159.0</v>
      </c>
      <c r="F15" s="26" t="n">
        <f>2561</f>
        <v>2561.0</v>
      </c>
      <c r="G15" s="25" t="n">
        <v>1.4655194997E12</v>
      </c>
      <c r="H15" s="26" t="n">
        <f>169560784700</f>
        <v>1.695607847E11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202455.0</v>
      </c>
      <c r="F16" s="18" t="n">
        <f>23812</f>
        <v>23812.0</v>
      </c>
      <c r="G16" s="17" t="n">
        <v>1.33947547745E12</v>
      </c>
      <c r="H16" s="18" t="n">
        <f>157582415950</f>
        <v>1.5758241595E11</v>
      </c>
    </row>
    <row r="17" spans="1:8" ht="24.9" customHeight="1">
      <c r="A17" s="51"/>
      <c r="B17" s="57"/>
      <c r="C17" s="39"/>
      <c r="D17" s="20" t="s">
        <v>16</v>
      </c>
      <c r="E17" s="21" t="n">
        <v>140054.0</v>
      </c>
      <c r="F17" s="22" t="n">
        <f>16017</f>
        <v>16017.0</v>
      </c>
      <c r="G17" s="21" t="n">
        <v>9.2366359556E11</v>
      </c>
      <c r="H17" s="22" t="n">
        <f>105673972560</f>
        <v>1.0567397256E11</v>
      </c>
    </row>
    <row r="18" spans="1:8" ht="24.9" customHeight="1">
      <c r="A18" s="51"/>
      <c r="B18" s="57"/>
      <c r="C18" s="39"/>
      <c r="D18" s="20" t="s">
        <v>17</v>
      </c>
      <c r="E18" s="21" t="n">
        <v>130469.0</v>
      </c>
      <c r="F18" s="22" t="n">
        <f>13383</f>
        <v>13383.0</v>
      </c>
      <c r="G18" s="21" t="n">
        <v>8.6466006848E11</v>
      </c>
      <c r="H18" s="22" t="n">
        <f>88689509280</f>
        <v>8.868950928E10</v>
      </c>
    </row>
    <row r="19" spans="1:8" ht="24.9" customHeight="1">
      <c r="A19" s="51"/>
      <c r="B19" s="57"/>
      <c r="C19" s="39"/>
      <c r="D19" s="24" t="s">
        <v>18</v>
      </c>
      <c r="E19" s="25" t="n">
        <v>472978.0</v>
      </c>
      <c r="F19" s="26" t="n">
        <f>53212</f>
        <v>53212.0</v>
      </c>
      <c r="G19" s="25" t="n">
        <v>3.12779914149E12</v>
      </c>
      <c r="H19" s="26" t="n">
        <f>351945897790</f>
        <v>3.5194589779E11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315233.0</v>
      </c>
      <c r="F20" s="18" t="str">
        <f>"－"</f>
        <v>－</v>
      </c>
      <c r="G20" s="17" t="n">
        <v>2.086015299E11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178885.0</v>
      </c>
      <c r="F21" s="22" t="str">
        <f>"－"</f>
        <v>－</v>
      </c>
      <c r="G21" s="21" t="n">
        <v>1.1796809E11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151973.0</v>
      </c>
      <c r="F22" s="22" t="str">
        <f>"－"</f>
        <v>－</v>
      </c>
      <c r="G22" s="21" t="n">
        <v>1.006937762E11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646091.0</v>
      </c>
      <c r="F23" s="26" t="str">
        <f>"－"</f>
        <v>－</v>
      </c>
      <c r="G23" s="25" t="n">
        <v>4.272633961E11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17365.0</v>
      </c>
      <c r="F24" s="18" t="n">
        <f>1495</f>
        <v>1495.0</v>
      </c>
      <c r="G24" s="17" t="n">
        <v>7.194372972E11</v>
      </c>
      <c r="H24" s="18" t="n">
        <f>62083079200</f>
        <v>6.20830792E10</v>
      </c>
    </row>
    <row r="25" spans="1:8" ht="24.9" customHeight="1">
      <c r="A25" s="51"/>
      <c r="B25" s="57"/>
      <c r="C25" s="39"/>
      <c r="D25" s="20" t="s">
        <v>16</v>
      </c>
      <c r="E25" s="21" t="n">
        <v>17949.0</v>
      </c>
      <c r="F25" s="22" t="n">
        <f>1531</f>
        <v>1531.0</v>
      </c>
      <c r="G25" s="21" t="n">
        <v>7.47075316403E11</v>
      </c>
      <c r="H25" s="22" t="n">
        <f>63656266403</f>
        <v>6.3656266403E10</v>
      </c>
    </row>
    <row r="26" spans="1:8" ht="24.9" customHeight="1">
      <c r="A26" s="51"/>
      <c r="B26" s="57"/>
      <c r="C26" s="39"/>
      <c r="D26" s="20" t="s">
        <v>17</v>
      </c>
      <c r="E26" s="21" t="n">
        <v>38292.0</v>
      </c>
      <c r="F26" s="22" t="n">
        <f>15920</f>
        <v>15920.0</v>
      </c>
      <c r="G26" s="21" t="n">
        <v>1.60139046005E12</v>
      </c>
      <c r="H26" s="22" t="n">
        <f>665139287050</f>
        <v>6.6513928705E11</v>
      </c>
    </row>
    <row r="27" spans="1:8" ht="24.9" customHeight="1">
      <c r="A27" s="51"/>
      <c r="B27" s="57"/>
      <c r="C27" s="39"/>
      <c r="D27" s="24" t="s">
        <v>18</v>
      </c>
      <c r="E27" s="25" t="n">
        <v>73606.0</v>
      </c>
      <c r="F27" s="26" t="n">
        <f>18946</f>
        <v>18946.0</v>
      </c>
      <c r="G27" s="25" t="n">
        <v>3.067903073653E12</v>
      </c>
      <c r="H27" s="26" t="n">
        <f>790878632653</f>
        <v>7.90878632653E11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5607.0</v>
      </c>
      <c r="F28" s="18" t="n">
        <f>378</f>
        <v>378.0</v>
      </c>
      <c r="G28" s="17" t="n">
        <v>2.324433296E10</v>
      </c>
      <c r="H28" s="18" t="n">
        <f>1567923260</f>
        <v>1.56792326E9</v>
      </c>
    </row>
    <row r="29" spans="1:8" ht="24.9" customHeight="1">
      <c r="A29" s="51"/>
      <c r="B29" s="57"/>
      <c r="C29" s="39"/>
      <c r="D29" s="20" t="s">
        <v>16</v>
      </c>
      <c r="E29" s="21" t="n">
        <v>6068.0</v>
      </c>
      <c r="F29" s="22" t="n">
        <f>293</f>
        <v>293.0</v>
      </c>
      <c r="G29" s="21" t="n">
        <v>2.52377481E10</v>
      </c>
      <c r="H29" s="22" t="n">
        <f>1219976100</f>
        <v>1.2199761E9</v>
      </c>
    </row>
    <row r="30" spans="1:8" ht="24.9" customHeight="1">
      <c r="A30" s="51"/>
      <c r="B30" s="57"/>
      <c r="C30" s="39"/>
      <c r="D30" s="20" t="s">
        <v>17</v>
      </c>
      <c r="E30" s="21" t="n">
        <v>6223.0</v>
      </c>
      <c r="F30" s="22" t="n">
        <f>179</f>
        <v>179.0</v>
      </c>
      <c r="G30" s="21" t="n">
        <v>2.6043235035E10</v>
      </c>
      <c r="H30" s="22" t="n">
        <f>749081035</f>
        <v>7.49081035E8</v>
      </c>
    </row>
    <row r="31" spans="1:8" ht="24.9" customHeight="1">
      <c r="A31" s="51"/>
      <c r="B31" s="57"/>
      <c r="C31" s="39"/>
      <c r="D31" s="24" t="s">
        <v>18</v>
      </c>
      <c r="E31" s="25" t="n">
        <v>17898.0</v>
      </c>
      <c r="F31" s="26" t="n">
        <f>850</f>
        <v>850.0</v>
      </c>
      <c r="G31" s="25" t="n">
        <v>7.4525316095E10</v>
      </c>
      <c r="H31" s="26" t="n">
        <f>3536980395</f>
        <v>3.536980395E9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200.0</v>
      </c>
      <c r="F36" s="18" t="n">
        <f>0</f>
        <v>0.0</v>
      </c>
      <c r="G36" s="17" t="n">
        <v>7.468175E8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1133.0</v>
      </c>
      <c r="F37" s="22" t="n">
        <f>6</f>
        <v>6.0</v>
      </c>
      <c r="G37" s="21" t="n">
        <v>4.25250701E9</v>
      </c>
      <c r="H37" s="22" t="n">
        <f>22517010</f>
        <v>2.251701E7</v>
      </c>
    </row>
    <row r="38" spans="1:8" ht="24.9" customHeight="1">
      <c r="A38" s="51"/>
      <c r="B38" s="57"/>
      <c r="C38" s="39"/>
      <c r="D38" s="20" t="s">
        <v>17</v>
      </c>
      <c r="E38" s="21" t="n">
        <v>1501.0</v>
      </c>
      <c r="F38" s="22" t="n">
        <f>202</f>
        <v>202.0</v>
      </c>
      <c r="G38" s="21" t="n">
        <v>5.656391436E9</v>
      </c>
      <c r="H38" s="22" t="n">
        <f>760887436</f>
        <v>7.60887436E8</v>
      </c>
    </row>
    <row r="39" spans="1:8" ht="24.9" customHeight="1">
      <c r="A39" s="51"/>
      <c r="B39" s="57"/>
      <c r="C39" s="39"/>
      <c r="D39" s="24" t="s">
        <v>18</v>
      </c>
      <c r="E39" s="25" t="n">
        <v>2834.0</v>
      </c>
      <c r="F39" s="26" t="n">
        <f>208</f>
        <v>208.0</v>
      </c>
      <c r="G39" s="25" t="n">
        <v>1.0655715946E10</v>
      </c>
      <c r="H39" s="26" t="n">
        <f>783404446</f>
        <v>7.83404446E8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61.0</v>
      </c>
      <c r="F46" s="22" t="n">
        <f>61</f>
        <v>61.0</v>
      </c>
      <c r="G46" s="21" t="n">
        <v>4.719389E8</v>
      </c>
      <c r="H46" s="22" t="n">
        <f>471938900</f>
        <v>4.719389E8</v>
      </c>
    </row>
    <row r="47" spans="1:8" ht="24.9" customHeight="1">
      <c r="A47" s="51"/>
      <c r="B47" s="57"/>
      <c r="C47" s="39"/>
      <c r="D47" s="24" t="s">
        <v>18</v>
      </c>
      <c r="E47" s="25" t="n">
        <v>61.0</v>
      </c>
      <c r="F47" s="26" t="n">
        <f>61</f>
        <v>61.0</v>
      </c>
      <c r="G47" s="25" t="n">
        <v>4.719389E8</v>
      </c>
      <c r="H47" s="26" t="n">
        <f>471938900</f>
        <v>4.719389E8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9.0</v>
      </c>
      <c r="F48" s="18" t="n">
        <f>9</f>
        <v>9.0</v>
      </c>
      <c r="G48" s="17" t="n">
        <v>1.6083E7</v>
      </c>
      <c r="H48" s="18" t="n">
        <f>16083000</f>
        <v>1.6083E7</v>
      </c>
    </row>
    <row r="49" spans="1:8" ht="24.9" customHeight="1">
      <c r="A49" s="51"/>
      <c r="B49" s="57"/>
      <c r="C49" s="39"/>
      <c r="D49" s="20" t="s">
        <v>16</v>
      </c>
      <c r="E49" s="21" t="n">
        <v>153.0</v>
      </c>
      <c r="F49" s="22" t="n">
        <f>0</f>
        <v>0.0</v>
      </c>
      <c r="G49" s="21" t="n">
        <v>2.73773E8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1918.0</v>
      </c>
      <c r="F50" s="22" t="n">
        <f>1431</f>
        <v>1431.0</v>
      </c>
      <c r="G50" s="21" t="n">
        <v>3.44044269E9</v>
      </c>
      <c r="H50" s="22" t="n">
        <f>2568631690</f>
        <v>2.56863169E9</v>
      </c>
    </row>
    <row r="51" spans="1:8" ht="24.9" customHeight="1">
      <c r="A51" s="51"/>
      <c r="B51" s="57"/>
      <c r="C51" s="39"/>
      <c r="D51" s="24" t="s">
        <v>18</v>
      </c>
      <c r="E51" s="25" t="n">
        <v>2080.0</v>
      </c>
      <c r="F51" s="26" t="n">
        <f>1440</f>
        <v>1440.0</v>
      </c>
      <c r="G51" s="25" t="n">
        <v>3.73029869E9</v>
      </c>
      <c r="H51" s="26" t="n">
        <f>2584714690</f>
        <v>2.58471469E9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481.0</v>
      </c>
      <c r="F56" s="18" t="n">
        <f>14</f>
        <v>14.0</v>
      </c>
      <c r="G56" s="17" t="n">
        <v>3.887884E8</v>
      </c>
      <c r="H56" s="18" t="n">
        <f>11319400</f>
        <v>1.13194E7</v>
      </c>
    </row>
    <row r="57" spans="1:8" ht="24.9" customHeight="1">
      <c r="A57" s="51"/>
      <c r="B57" s="57"/>
      <c r="C57" s="39"/>
      <c r="D57" s="20" t="s">
        <v>16</v>
      </c>
      <c r="E57" s="21" t="n">
        <v>1037.0</v>
      </c>
      <c r="F57" s="22" t="n">
        <f>28</f>
        <v>28.0</v>
      </c>
      <c r="G57" s="21" t="n">
        <v>8.315648E8</v>
      </c>
      <c r="H57" s="22" t="n">
        <f>22424800</f>
        <v>2.24248E7</v>
      </c>
    </row>
    <row r="58" spans="1:8" ht="24.9" customHeight="1">
      <c r="A58" s="51"/>
      <c r="B58" s="57"/>
      <c r="C58" s="39"/>
      <c r="D58" s="20" t="s">
        <v>17</v>
      </c>
      <c r="E58" s="21" t="n">
        <v>1208.0</v>
      </c>
      <c r="F58" s="22" t="n">
        <f>63</f>
        <v>63.0</v>
      </c>
      <c r="G58" s="21" t="n">
        <v>9.59691E8</v>
      </c>
      <c r="H58" s="22" t="n">
        <f>50150000</f>
        <v>5.015E7</v>
      </c>
    </row>
    <row r="59" spans="1:8" ht="24.9" customHeight="1">
      <c r="A59" s="51"/>
      <c r="B59" s="57"/>
      <c r="C59" s="39"/>
      <c r="D59" s="24" t="s">
        <v>18</v>
      </c>
      <c r="E59" s="25" t="n">
        <v>2726.0</v>
      </c>
      <c r="F59" s="26" t="n">
        <f>105</f>
        <v>105.0</v>
      </c>
      <c r="G59" s="25" t="n">
        <v>2.1800442E9</v>
      </c>
      <c r="H59" s="26" t="n">
        <f>83894200</f>
        <v>8.38942E7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157.0</v>
      </c>
      <c r="F60" s="18" t="n">
        <f>2</f>
        <v>2.0</v>
      </c>
      <c r="G60" s="17" t="n">
        <v>8.383605E8</v>
      </c>
      <c r="H60" s="18" t="n">
        <f>10632000</f>
        <v>1.0632E7</v>
      </c>
    </row>
    <row r="61" spans="1:8" ht="24.9" customHeight="1">
      <c r="A61" s="51"/>
      <c r="B61" s="57"/>
      <c r="C61" s="39"/>
      <c r="D61" s="20" t="s">
        <v>16</v>
      </c>
      <c r="E61" s="21" t="n">
        <v>17.0</v>
      </c>
      <c r="F61" s="22" t="n">
        <f>1</f>
        <v>1.0</v>
      </c>
      <c r="G61" s="21" t="n">
        <v>9.063809E7</v>
      </c>
      <c r="H61" s="22" t="n">
        <f>5334490</f>
        <v>5334490.0</v>
      </c>
    </row>
    <row r="62" spans="1:8" ht="24.9" customHeight="1">
      <c r="A62" s="51"/>
      <c r="B62" s="57"/>
      <c r="C62" s="39"/>
      <c r="D62" s="20" t="s">
        <v>17</v>
      </c>
      <c r="E62" s="21" t="n">
        <v>49.0</v>
      </c>
      <c r="F62" s="22" t="n">
        <f>0</f>
        <v>0.0</v>
      </c>
      <c r="G62" s="21" t="n">
        <v>2.61041E8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223.0</v>
      </c>
      <c r="F63" s="26" t="n">
        <f>3</f>
        <v>3.0</v>
      </c>
      <c r="G63" s="25" t="n">
        <v>1.19003959E9</v>
      </c>
      <c r="H63" s="26" t="n">
        <f>15966490</f>
        <v>1.596649E7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2.0</v>
      </c>
      <c r="F76" s="18" t="n">
        <f>0</f>
        <v>0.0</v>
      </c>
      <c r="G76" s="17" t="n">
        <v>539000.0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18.0</v>
      </c>
      <c r="F77" s="22" t="n">
        <f>0</f>
        <v>0.0</v>
      </c>
      <c r="G77" s="21" t="n">
        <v>4963500.0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22.0</v>
      </c>
      <c r="F78" s="22" t="n">
        <f>0</f>
        <v>0.0</v>
      </c>
      <c r="G78" s="21" t="n">
        <v>6056500.0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42.0</v>
      </c>
      <c r="F79" s="26" t="n">
        <f>0</f>
        <v>0.0</v>
      </c>
      <c r="G79" s="25" t="n">
        <v>1.1559E7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32.0</v>
      </c>
      <c r="F92" s="18" t="n">
        <f>0</f>
        <v>0.0</v>
      </c>
      <c r="G92" s="17" t="n">
        <v>5.10606E7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2.0</v>
      </c>
      <c r="F93" s="22" t="n">
        <f>0</f>
        <v>0.0</v>
      </c>
      <c r="G93" s="21" t="n">
        <v>3189800.0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34.0</v>
      </c>
      <c r="F95" s="26" t="n">
        <f>0</f>
        <v>0.0</v>
      </c>
      <c r="G95" s="25" t="n">
        <v>5.42504E7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6.0</v>
      </c>
      <c r="F96" s="18" t="n">
        <f>0</f>
        <v>0.0</v>
      </c>
      <c r="G96" s="17" t="n">
        <v>1.42628E7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6.0</v>
      </c>
      <c r="F99" s="26" t="n">
        <f>0</f>
        <v>0.0</v>
      </c>
      <c r="G99" s="25" t="n">
        <v>1.42628E7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10688.0</v>
      </c>
      <c r="F108" s="18" t="n">
        <f>657</f>
        <v>657.0</v>
      </c>
      <c r="G108" s="17" t="n">
        <v>1.345962915E12</v>
      </c>
      <c r="H108" s="18" t="n">
        <f>82776485000</f>
        <v>8.2776485E10</v>
      </c>
    </row>
    <row r="109" spans="1:8" ht="24.9" customHeight="1">
      <c r="A109" s="51"/>
      <c r="B109" s="57"/>
      <c r="C109" s="39"/>
      <c r="D109" s="20" t="s">
        <v>16</v>
      </c>
      <c r="E109" s="21" t="n">
        <v>44166.0</v>
      </c>
      <c r="F109" s="22" t="n">
        <f>2713</f>
        <v>2713.0</v>
      </c>
      <c r="G109" s="21" t="n">
        <v>5.54470246E12</v>
      </c>
      <c r="H109" s="22" t="n">
        <f>340785840000</f>
        <v>3.4078584E11</v>
      </c>
    </row>
    <row r="110" spans="1:8" ht="24.9" customHeight="1">
      <c r="A110" s="51"/>
      <c r="B110" s="57"/>
      <c r="C110" s="39"/>
      <c r="D110" s="20" t="s">
        <v>17</v>
      </c>
      <c r="E110" s="21" t="n">
        <v>26936.0</v>
      </c>
      <c r="F110" s="22" t="n">
        <f>3267</f>
        <v>3267.0</v>
      </c>
      <c r="G110" s="21" t="n">
        <v>3.380425615E12</v>
      </c>
      <c r="H110" s="22" t="n">
        <f>409927255000</f>
        <v>4.09927255E11</v>
      </c>
    </row>
    <row r="111" spans="1:8" ht="24.9" customHeight="1">
      <c r="A111" s="51"/>
      <c r="B111" s="57"/>
      <c r="C111" s="39"/>
      <c r="D111" s="24" t="s">
        <v>18</v>
      </c>
      <c r="E111" s="25" t="n">
        <v>81790.0</v>
      </c>
      <c r="F111" s="26" t="n">
        <f>6637</f>
        <v>6637.0</v>
      </c>
      <c r="G111" s="25" t="n">
        <v>1.027109099E13</v>
      </c>
      <c r="H111" s="26" t="n">
        <f>833489580000</f>
        <v>8.3348958E11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296.0</v>
      </c>
      <c r="F113" s="22" t="n">
        <f>0</f>
        <v>0.0</v>
      </c>
      <c r="G113" s="21" t="n">
        <v>3.724223E9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2.0</v>
      </c>
      <c r="F114" s="22" t="n">
        <f>0</f>
        <v>0.0</v>
      </c>
      <c r="G114" s="21" t="n">
        <v>2.5096E7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298.0</v>
      </c>
      <c r="F115" s="26" t="n">
        <f>0</f>
        <v>0.0</v>
      </c>
      <c r="G115" s="25" t="n">
        <v>3.749319E9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100.0</v>
      </c>
      <c r="F118" s="22" t="n">
        <f>0</f>
        <v>0.0</v>
      </c>
      <c r="G118" s="21" t="n">
        <v>8.864E8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100.0</v>
      </c>
      <c r="F119" s="26" t="n">
        <f>0</f>
        <v>0.0</v>
      </c>
      <c r="G119" s="25" t="n">
        <v>8.864E8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2146.0</v>
      </c>
      <c r="F120" s="18" t="n">
        <f>0</f>
        <v>0.0</v>
      </c>
      <c r="G120" s="17" t="n">
        <v>5.29271875E10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1218.0</v>
      </c>
      <c r="F121" s="22" t="n">
        <f>0</f>
        <v>0.0</v>
      </c>
      <c r="G121" s="21" t="n">
        <v>2.9987610625E10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1659.0</v>
      </c>
      <c r="F122" s="22" t="n">
        <f>0</f>
        <v>0.0</v>
      </c>
      <c r="G122" s="21" t="n">
        <v>4.0862735E10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5023.0</v>
      </c>
      <c r="F123" s="26" t="n">
        <f>0</f>
        <v>0.0</v>
      </c>
      <c r="G123" s="25" t="n">
        <v>1.23777533125E11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4232.0</v>
      </c>
      <c r="F124" s="18" t="n">
        <f>0</f>
        <v>0.0</v>
      </c>
      <c r="G124" s="17" t="n">
        <v>9.9471771E10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3244.0</v>
      </c>
      <c r="F125" s="22" t="n">
        <f>0</f>
        <v>0.0</v>
      </c>
      <c r="G125" s="21" t="n">
        <v>7.6361848E10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3032.0</v>
      </c>
      <c r="F126" s="22" t="n">
        <f>0</f>
        <v>0.0</v>
      </c>
      <c r="G126" s="21" t="n">
        <v>7.1144763E10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10508.0</v>
      </c>
      <c r="F127" s="26" t="n">
        <f>0</f>
        <v>0.0</v>
      </c>
      <c r="G127" s="25" t="n">
        <v>2.46978382E11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53.0</v>
      </c>
      <c r="F128" s="18" t="n">
        <f>0</f>
        <v>0.0</v>
      </c>
      <c r="G128" s="17" t="n">
        <v>1.230436E8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256.0</v>
      </c>
      <c r="F129" s="22" t="n">
        <f>0</f>
        <v>0.0</v>
      </c>
      <c r="G129" s="21" t="n">
        <v>5.948328E8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82.0</v>
      </c>
      <c r="F130" s="22" t="n">
        <f>0</f>
        <v>0.0</v>
      </c>
      <c r="G130" s="21" t="n">
        <v>1.89956E8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391.0</v>
      </c>
      <c r="F131" s="26" t="n">
        <f>0</f>
        <v>0.0</v>
      </c>
      <c r="G131" s="25" t="n">
        <v>9.078324E8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6256.0</v>
      </c>
      <c r="F132" s="18" t="n">
        <f>0</f>
        <v>0.0</v>
      </c>
      <c r="G132" s="17" t="n">
        <v>1.474794505E10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3089.0</v>
      </c>
      <c r="F133" s="22" t="n">
        <f>0</f>
        <v>0.0</v>
      </c>
      <c r="G133" s="21" t="n">
        <v>7.2920039E9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3492.0</v>
      </c>
      <c r="F134" s="22" t="n">
        <f>0</f>
        <v>0.0</v>
      </c>
      <c r="G134" s="21" t="n">
        <v>8.22355765E9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12837.0</v>
      </c>
      <c r="F135" s="26" t="n">
        <f>0</f>
        <v>0.0</v>
      </c>
      <c r="G135" s="25" t="n">
        <v>3.02635066E10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60.0</v>
      </c>
      <c r="F136" s="18" t="n">
        <f>0</f>
        <v>0.0</v>
      </c>
      <c r="G136" s="17" t="n">
        <v>1.379425E8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40.0</v>
      </c>
      <c r="F137" s="22" t="n">
        <f>0</f>
        <v>0.0</v>
      </c>
      <c r="G137" s="21" t="n">
        <v>9.22624E7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25.0</v>
      </c>
      <c r="F138" s="22" t="n">
        <f>0</f>
        <v>0.0</v>
      </c>
      <c r="G138" s="21" t="n">
        <v>5.7413E7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125.0</v>
      </c>
      <c r="F139" s="26" t="n">
        <f>0</f>
        <v>0.0</v>
      </c>
      <c r="G139" s="25" t="n">
        <v>2.876179E8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1197.0</v>
      </c>
      <c r="F144" s="18" t="n">
        <f>0</f>
        <v>0.0</v>
      </c>
      <c r="G144" s="17" t="n">
        <v>5.455554E9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1021.0</v>
      </c>
      <c r="F145" s="22" t="n">
        <f>0</f>
        <v>0.0</v>
      </c>
      <c r="G145" s="21" t="n">
        <v>4.6587305E9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1166.0</v>
      </c>
      <c r="F146" s="22" t="n">
        <f>0</f>
        <v>0.0</v>
      </c>
      <c r="G146" s="21" t="n">
        <v>5.3152365E9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3384.0</v>
      </c>
      <c r="F147" s="26" t="n">
        <f>0</f>
        <v>0.0</v>
      </c>
      <c r="G147" s="25" t="n">
        <v>1.5429521E10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54.0</v>
      </c>
      <c r="F148" s="18" t="n">
        <f>0</f>
        <v>0.0</v>
      </c>
      <c r="G148" s="17" t="n">
        <v>5.04473E7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158.0</v>
      </c>
      <c r="F149" s="22" t="n">
        <f>0</f>
        <v>0.0</v>
      </c>
      <c r="G149" s="21" t="n">
        <v>1.472401E8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172.0</v>
      </c>
      <c r="F150" s="22" t="n">
        <f>0</f>
        <v>0.0</v>
      </c>
      <c r="G150" s="21" t="n">
        <v>1.598248E8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384.0</v>
      </c>
      <c r="F151" s="26" t="n">
        <f>0</f>
        <v>0.0</v>
      </c>
      <c r="G151" s="25" t="n">
        <v>3.575122E8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451.0</v>
      </c>
      <c r="F152" s="18" t="n">
        <f>0</f>
        <v>0.0</v>
      </c>
      <c r="G152" s="17" t="n">
        <v>4.119637E8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164.0</v>
      </c>
      <c r="F153" s="22" t="n">
        <f>0</f>
        <v>0.0</v>
      </c>
      <c r="G153" s="21" t="n">
        <v>1.501304E8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292.0</v>
      </c>
      <c r="F154" s="22" t="n">
        <f>0</f>
        <v>0.0</v>
      </c>
      <c r="G154" s="21" t="n">
        <v>2.670933E8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907.0</v>
      </c>
      <c r="F155" s="26" t="n">
        <f>0</f>
        <v>0.0</v>
      </c>
      <c r="G155" s="25" t="n">
        <v>8.291874E8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842.0</v>
      </c>
      <c r="F156" s="18" t="n">
        <f>0</f>
        <v>0.0</v>
      </c>
      <c r="G156" s="17" t="n">
        <v>7.751241E8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77.0</v>
      </c>
      <c r="F157" s="22" t="n">
        <f>0</f>
        <v>0.0</v>
      </c>
      <c r="G157" s="21" t="n">
        <v>7.02911E7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329.0</v>
      </c>
      <c r="F158" s="22" t="n">
        <f>0</f>
        <v>0.0</v>
      </c>
      <c r="G158" s="21" t="n">
        <v>3.008207E8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1248.0</v>
      </c>
      <c r="F159" s="26" t="n">
        <f>0</f>
        <v>0.0</v>
      </c>
      <c r="G159" s="25" t="n">
        <v>1.1462359E9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40.0</v>
      </c>
      <c r="F168" s="18" t="n">
        <f>0</f>
        <v>0.0</v>
      </c>
      <c r="G168" s="17" t="n">
        <v>8.816E7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488.0</v>
      </c>
      <c r="F169" s="22" t="n">
        <f>0</f>
        <v>0.0</v>
      </c>
      <c r="G169" s="21" t="n">
        <v>1.0780695E9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1172.0</v>
      </c>
      <c r="F170" s="22" t="n">
        <f>0</f>
        <v>0.0</v>
      </c>
      <c r="G170" s="21" t="n">
        <v>2.57211E9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1700.0</v>
      </c>
      <c r="F171" s="26" t="n">
        <f>0</f>
        <v>0.0</v>
      </c>
      <c r="G171" s="25" t="n">
        <v>3.7383395E9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8.0</v>
      </c>
      <c r="F177" s="22" t="n">
        <f>0</f>
        <v>0.0</v>
      </c>
      <c r="G177" s="21" t="n">
        <v>1.488E7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4.0</v>
      </c>
      <c r="F178" s="22" t="n">
        <f>0</f>
        <v>0.0</v>
      </c>
      <c r="G178" s="21" t="n">
        <v>7608000.0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12.0</v>
      </c>
      <c r="F179" s="26" t="n">
        <f>0</f>
        <v>0.0</v>
      </c>
      <c r="G179" s="25" t="n">
        <v>2.2488E7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107.0</v>
      </c>
      <c r="F204" s="18" t="n">
        <f>0</f>
        <v>0.0</v>
      </c>
      <c r="G204" s="17" t="n">
        <v>4.291005E8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91.0</v>
      </c>
      <c r="F205" s="22" t="n">
        <f>0</f>
        <v>0.0</v>
      </c>
      <c r="G205" s="21" t="n">
        <v>3.554955E8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868.0</v>
      </c>
      <c r="F206" s="22" t="n">
        <f>0</f>
        <v>0.0</v>
      </c>
      <c r="G206" s="21" t="n">
        <v>3.4489925E9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1066.0</v>
      </c>
      <c r="F207" s="26" t="n">
        <f>0</f>
        <v>0.0</v>
      </c>
      <c r="G207" s="25" t="n">
        <v>4.2335885E9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46266.0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46266.0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5575</f>
        <v>5575.0</v>
      </c>
      <c r="E12" s="35" t="n">
        <f>4001</f>
        <v>4001.0</v>
      </c>
      <c r="F12" s="17" t="n">
        <f>1705</f>
        <v>1705.0</v>
      </c>
      <c r="G12" s="35" t="n">
        <f>709</f>
        <v>709.0</v>
      </c>
      <c r="H12" s="17" t="n">
        <f>7280</f>
        <v>7280.0</v>
      </c>
      <c r="I12" s="35" t="n">
        <f>4710</f>
        <v>4710.0</v>
      </c>
      <c r="J12" s="17" t="n">
        <f>2295206610</f>
        <v>2.29520661E9</v>
      </c>
      <c r="K12" s="35" t="n">
        <f>2005992610</f>
        <v>2.00599261E9</v>
      </c>
      <c r="L12" s="17" t="n">
        <f>1736127070</f>
        <v>1.73612707E9</v>
      </c>
      <c r="M12" s="35" t="n">
        <f>1465801070</f>
        <v>1.46580107E9</v>
      </c>
      <c r="N12" s="17" t="n">
        <f>4031333680</f>
        <v>4.03133368E9</v>
      </c>
      <c r="O12" s="35" t="n">
        <f>3471793680</f>
        <v>3.47179368E9</v>
      </c>
    </row>
    <row r="13" spans="1:15" ht="24.9" customHeight="1">
      <c r="A13" s="38"/>
      <c r="B13" s="62"/>
      <c r="C13" s="20" t="s">
        <v>16</v>
      </c>
      <c r="D13" s="21" t="n">
        <f>7482</f>
        <v>7482.0</v>
      </c>
      <c r="E13" s="36" t="n">
        <f>4760</f>
        <v>4760.0</v>
      </c>
      <c r="F13" s="21" t="n">
        <f>2294</f>
        <v>2294.0</v>
      </c>
      <c r="G13" s="36" t="n">
        <f>836</f>
        <v>836.0</v>
      </c>
      <c r="H13" s="21" t="n">
        <f>9776</f>
        <v>9776.0</v>
      </c>
      <c r="I13" s="36" t="n">
        <f>5596</f>
        <v>5596.0</v>
      </c>
      <c r="J13" s="21" t="n">
        <f>3219992460</f>
        <v>3.21999246E9</v>
      </c>
      <c r="K13" s="36" t="n">
        <f>2632917460</f>
        <v>2.63291746E9</v>
      </c>
      <c r="L13" s="21" t="n">
        <f>1388601040</f>
        <v>1.38860104E9</v>
      </c>
      <c r="M13" s="36" t="n">
        <f>826659040</f>
        <v>8.2665904E8</v>
      </c>
      <c r="N13" s="21" t="n">
        <f>4608593500</f>
        <v>4.6085935E9</v>
      </c>
      <c r="O13" s="36" t="n">
        <f>3459576500</f>
        <v>3.4595765E9</v>
      </c>
    </row>
    <row r="14" spans="1:15" ht="24.9" customHeight="1">
      <c r="A14" s="38"/>
      <c r="B14" s="62"/>
      <c r="C14" s="20" t="s">
        <v>17</v>
      </c>
      <c r="D14" s="21" t="n">
        <f>12624</f>
        <v>12624.0</v>
      </c>
      <c r="E14" s="36" t="n">
        <f>6841</f>
        <v>6841.0</v>
      </c>
      <c r="F14" s="21" t="n">
        <f>4666</f>
        <v>4666.0</v>
      </c>
      <c r="G14" s="36" t="n">
        <f>2708</f>
        <v>2708.0</v>
      </c>
      <c r="H14" s="21" t="n">
        <f>17290</f>
        <v>17290.0</v>
      </c>
      <c r="I14" s="36" t="n">
        <f>9549</f>
        <v>9549.0</v>
      </c>
      <c r="J14" s="21" t="n">
        <f>7464447270</f>
        <v>7.46444727E9</v>
      </c>
      <c r="K14" s="36" t="n">
        <f>6150499270</f>
        <v>6.15049927E9</v>
      </c>
      <c r="L14" s="21" t="n">
        <f>2952488860</f>
        <v>2.95248886E9</v>
      </c>
      <c r="M14" s="36" t="n">
        <f>2454231860</f>
        <v>2.45423186E9</v>
      </c>
      <c r="N14" s="21" t="n">
        <f>10416936130</f>
        <v>1.041693613E10</v>
      </c>
      <c r="O14" s="36" t="n">
        <f>8604731130</f>
        <v>8.60473113E9</v>
      </c>
    </row>
    <row r="15" spans="1:15" ht="24.9" customHeight="1">
      <c r="A15" s="38"/>
      <c r="B15" s="62"/>
      <c r="C15" s="24" t="s">
        <v>18</v>
      </c>
      <c r="D15" s="25" t="n">
        <f>25681</f>
        <v>25681.0</v>
      </c>
      <c r="E15" s="37" t="n">
        <f>15602</f>
        <v>15602.0</v>
      </c>
      <c r="F15" s="25" t="n">
        <f>8665</f>
        <v>8665.0</v>
      </c>
      <c r="G15" s="37" t="n">
        <f>4253</f>
        <v>4253.0</v>
      </c>
      <c r="H15" s="25" t="n">
        <f>34346</f>
        <v>34346.0</v>
      </c>
      <c r="I15" s="37" t="n">
        <f>19855</f>
        <v>19855.0</v>
      </c>
      <c r="J15" s="25" t="n">
        <f>12979646340</f>
        <v>1.297964634E10</v>
      </c>
      <c r="K15" s="37" t="n">
        <f>10789409340</f>
        <v>1.078940934E10</v>
      </c>
      <c r="L15" s="25" t="n">
        <f>6077216970</f>
        <v>6.07721697E9</v>
      </c>
      <c r="M15" s="37" t="n">
        <f>4746691970</f>
        <v>4.74669197E9</v>
      </c>
      <c r="N15" s="25" t="n">
        <f>19056863310</f>
        <v>1.905686331E10</v>
      </c>
      <c r="O15" s="37" t="n">
        <f>15536101310</f>
        <v>1.553610131E10</v>
      </c>
    </row>
    <row r="16" spans="1:15" ht="24.9" customHeight="1">
      <c r="A16" s="38"/>
      <c r="B16" s="61" t="s">
        <v>105</v>
      </c>
      <c r="C16" s="16" t="s">
        <v>15</v>
      </c>
      <c r="D16" s="17" t="n">
        <f>6190</f>
        <v>6190.0</v>
      </c>
      <c r="E16" s="35" t="n">
        <f>360</f>
        <v>360.0</v>
      </c>
      <c r="F16" s="17" t="n">
        <f>5185</f>
        <v>5185.0</v>
      </c>
      <c r="G16" s="35" t="n">
        <f>80</f>
        <v>80.0</v>
      </c>
      <c r="H16" s="17" t="n">
        <f>11375</f>
        <v>11375.0</v>
      </c>
      <c r="I16" s="35" t="n">
        <f>440</f>
        <v>440.0</v>
      </c>
      <c r="J16" s="17" t="n">
        <f>194209970</f>
        <v>1.9420997E8</v>
      </c>
      <c r="K16" s="35" t="n">
        <f>1343570</f>
        <v>1343570.0</v>
      </c>
      <c r="L16" s="17" t="n">
        <f>211737430</f>
        <v>2.1173743E8</v>
      </c>
      <c r="M16" s="35" t="n">
        <f>874730</f>
        <v>874730.0</v>
      </c>
      <c r="N16" s="17" t="n">
        <f>405947400</f>
        <v>4.059474E8</v>
      </c>
      <c r="O16" s="35" t="n">
        <f>2218300</f>
        <v>2218300.0</v>
      </c>
    </row>
    <row r="17" spans="1:15" ht="24.9" customHeight="1">
      <c r="A17" s="38"/>
      <c r="B17" s="62"/>
      <c r="C17" s="20" t="s">
        <v>16</v>
      </c>
      <c r="D17" s="21" t="n">
        <f>5774</f>
        <v>5774.0</v>
      </c>
      <c r="E17" s="36" t="n">
        <f>550</f>
        <v>550.0</v>
      </c>
      <c r="F17" s="21" t="n">
        <f>4727</f>
        <v>4727.0</v>
      </c>
      <c r="G17" s="36" t="n">
        <f>100</f>
        <v>100.0</v>
      </c>
      <c r="H17" s="21" t="n">
        <f>10501</f>
        <v>10501.0</v>
      </c>
      <c r="I17" s="36" t="n">
        <f>650</f>
        <v>650.0</v>
      </c>
      <c r="J17" s="21" t="n">
        <f>94042160</f>
        <v>9.404216E7</v>
      </c>
      <c r="K17" s="36" t="n">
        <f>2584360</f>
        <v>2584360.0</v>
      </c>
      <c r="L17" s="21" t="n">
        <f>95582630</f>
        <v>9.558263E7</v>
      </c>
      <c r="M17" s="36" t="n">
        <f>2981930</f>
        <v>2981930.0</v>
      </c>
      <c r="N17" s="21" t="n">
        <f>189624790</f>
        <v>1.8962479E8</v>
      </c>
      <c r="O17" s="36" t="n">
        <f>5566290</f>
        <v>5566290.0</v>
      </c>
    </row>
    <row r="18" spans="1:15" ht="24.9" customHeight="1">
      <c r="A18" s="38"/>
      <c r="B18" s="62"/>
      <c r="C18" s="20" t="s">
        <v>17</v>
      </c>
      <c r="D18" s="21" t="n">
        <f>8583</f>
        <v>8583.0</v>
      </c>
      <c r="E18" s="36" t="n">
        <f>240</f>
        <v>240.0</v>
      </c>
      <c r="F18" s="21" t="n">
        <f>4776</f>
        <v>4776.0</v>
      </c>
      <c r="G18" s="36" t="n">
        <f>170</f>
        <v>170.0</v>
      </c>
      <c r="H18" s="21" t="n">
        <f>13359</f>
        <v>13359.0</v>
      </c>
      <c r="I18" s="36" t="n">
        <f>410</f>
        <v>410.0</v>
      </c>
      <c r="J18" s="21" t="n">
        <f>148766050</f>
        <v>1.4876605E8</v>
      </c>
      <c r="K18" s="36" t="n">
        <f>713950</f>
        <v>713950.0</v>
      </c>
      <c r="L18" s="21" t="n">
        <f>92383470</f>
        <v>9.238347E7</v>
      </c>
      <c r="M18" s="36" t="n">
        <f>1912270</f>
        <v>1912270.0</v>
      </c>
      <c r="N18" s="21" t="n">
        <f>241149520</f>
        <v>2.4114952E8</v>
      </c>
      <c r="O18" s="36" t="n">
        <f>2626220</f>
        <v>2626220.0</v>
      </c>
    </row>
    <row r="19" spans="1:15" ht="24.9" customHeight="1">
      <c r="A19" s="38"/>
      <c r="B19" s="62"/>
      <c r="C19" s="24" t="s">
        <v>18</v>
      </c>
      <c r="D19" s="25" t="n">
        <f>20547</f>
        <v>20547.0</v>
      </c>
      <c r="E19" s="37" t="n">
        <f>1150</f>
        <v>1150.0</v>
      </c>
      <c r="F19" s="25" t="n">
        <f>14688</f>
        <v>14688.0</v>
      </c>
      <c r="G19" s="37" t="n">
        <f>350</f>
        <v>350.0</v>
      </c>
      <c r="H19" s="25" t="n">
        <f>35235</f>
        <v>35235.0</v>
      </c>
      <c r="I19" s="37" t="n">
        <f>1500</f>
        <v>1500.0</v>
      </c>
      <c r="J19" s="25" t="n">
        <f>437018180</f>
        <v>4.3701818E8</v>
      </c>
      <c r="K19" s="37" t="n">
        <f>4641880</f>
        <v>4641880.0</v>
      </c>
      <c r="L19" s="25" t="n">
        <f>399703530</f>
        <v>3.9970353E8</v>
      </c>
      <c r="M19" s="37" t="n">
        <f>5768930</f>
        <v>5768930.0</v>
      </c>
      <c r="N19" s="25" t="n">
        <f>836721710</f>
        <v>8.3672171E8</v>
      </c>
      <c r="O19" s="37" t="n">
        <f>10410810</f>
        <v>1.041081E7</v>
      </c>
    </row>
    <row r="20" spans="1:15" ht="24.9" customHeight="1">
      <c r="A20" s="38"/>
      <c r="B20" s="61" t="s">
        <v>106</v>
      </c>
      <c r="C20" s="16" t="s">
        <v>15</v>
      </c>
      <c r="D20" s="17" t="n">
        <f>300</f>
        <v>300.0</v>
      </c>
      <c r="E20" s="35" t="n">
        <f>300</f>
        <v>300.0</v>
      </c>
      <c r="F20" s="17" t="n">
        <f>100</f>
        <v>100.0</v>
      </c>
      <c r="G20" s="35" t="n">
        <f>100</f>
        <v>100.0</v>
      </c>
      <c r="H20" s="17" t="n">
        <f>400</f>
        <v>400.0</v>
      </c>
      <c r="I20" s="35" t="n">
        <f>400</f>
        <v>400.0</v>
      </c>
      <c r="J20" s="17" t="n">
        <f>286800000</f>
        <v>2.868E8</v>
      </c>
      <c r="K20" s="35" t="n">
        <f>286800000</f>
        <v>2.868E8</v>
      </c>
      <c r="L20" s="17" t="n">
        <f>264000000</f>
        <v>2.64E8</v>
      </c>
      <c r="M20" s="35" t="n">
        <f>264000000</f>
        <v>2.64E8</v>
      </c>
      <c r="N20" s="17" t="n">
        <f>550800000</f>
        <v>5.508E8</v>
      </c>
      <c r="O20" s="35" t="n">
        <f>550800000</f>
        <v>5.508E8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200</f>
        <v>200.0</v>
      </c>
      <c r="G21" s="36" t="n">
        <f>200</f>
        <v>200.0</v>
      </c>
      <c r="H21" s="21" t="n">
        <f>200</f>
        <v>200.0</v>
      </c>
      <c r="I21" s="36" t="n">
        <f>200</f>
        <v>200.0</v>
      </c>
      <c r="J21" s="21" t="n">
        <f>0</f>
        <v>0.0</v>
      </c>
      <c r="K21" s="36" t="n">
        <f>0</f>
        <v>0.0</v>
      </c>
      <c r="L21" s="21" t="n">
        <f>75900000</f>
        <v>7.59E7</v>
      </c>
      <c r="M21" s="36" t="n">
        <f>75900000</f>
        <v>7.59E7</v>
      </c>
      <c r="N21" s="21" t="n">
        <f>75900000</f>
        <v>7.59E7</v>
      </c>
      <c r="O21" s="36" t="n">
        <f>75900000</f>
        <v>7.59E7</v>
      </c>
    </row>
    <row r="22" spans="1:15" ht="24.9" customHeight="1">
      <c r="A22" s="38"/>
      <c r="B22" s="62"/>
      <c r="C22" s="20" t="s">
        <v>17</v>
      </c>
      <c r="D22" s="21" t="n">
        <f>4160</f>
        <v>4160.0</v>
      </c>
      <c r="E22" s="36" t="n">
        <f>4160</f>
        <v>4160.0</v>
      </c>
      <c r="F22" s="21" t="n">
        <f>1310</f>
        <v>1310.0</v>
      </c>
      <c r="G22" s="36" t="n">
        <f>1280</f>
        <v>1280.0</v>
      </c>
      <c r="H22" s="21" t="n">
        <f>5470</f>
        <v>5470.0</v>
      </c>
      <c r="I22" s="36" t="n">
        <f>5440</f>
        <v>5440.0</v>
      </c>
      <c r="J22" s="21" t="n">
        <f>3426379150</f>
        <v>3.42637915E9</v>
      </c>
      <c r="K22" s="36" t="n">
        <f>3426379150</f>
        <v>3.42637915E9</v>
      </c>
      <c r="L22" s="21" t="n">
        <f>1035610000</f>
        <v>1.03561E9</v>
      </c>
      <c r="M22" s="36" t="n">
        <f>1021360000</f>
        <v>1.02136E9</v>
      </c>
      <c r="N22" s="21" t="n">
        <f>4461989150</f>
        <v>4.46198915E9</v>
      </c>
      <c r="O22" s="36" t="n">
        <f>4447739150</f>
        <v>4.44773915E9</v>
      </c>
    </row>
    <row r="23" spans="1:15" ht="24.9" customHeight="1">
      <c r="A23" s="38"/>
      <c r="B23" s="62"/>
      <c r="C23" s="24" t="s">
        <v>18</v>
      </c>
      <c r="D23" s="25" t="n">
        <f>4460</f>
        <v>4460.0</v>
      </c>
      <c r="E23" s="37" t="n">
        <f>4460</f>
        <v>4460.0</v>
      </c>
      <c r="F23" s="25" t="n">
        <f>1610</f>
        <v>1610.0</v>
      </c>
      <c r="G23" s="37" t="n">
        <f>1580</f>
        <v>1580.0</v>
      </c>
      <c r="H23" s="25" t="n">
        <f>6070</f>
        <v>6070.0</v>
      </c>
      <c r="I23" s="37" t="n">
        <f>6040</f>
        <v>6040.0</v>
      </c>
      <c r="J23" s="25" t="n">
        <f>3713179150</f>
        <v>3.71317915E9</v>
      </c>
      <c r="K23" s="37" t="n">
        <f>3713179150</f>
        <v>3.71317915E9</v>
      </c>
      <c r="L23" s="25" t="n">
        <f>1375510000</f>
        <v>1.37551E9</v>
      </c>
      <c r="M23" s="37" t="n">
        <f>1361260000</f>
        <v>1.36126E9</v>
      </c>
      <c r="N23" s="25" t="n">
        <f>5088689150</f>
        <v>5.08868915E9</v>
      </c>
      <c r="O23" s="37" t="n">
        <f>5074439150</f>
        <v>5.07443915E9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15</f>
        <v>15.0</v>
      </c>
      <c r="E36" s="18" t="n">
        <f>0</f>
        <v>0.0</v>
      </c>
      <c r="F36" s="17" t="n">
        <f>3</f>
        <v>3.0</v>
      </c>
      <c r="G36" s="18" t="n">
        <f>0</f>
        <v>0.0</v>
      </c>
      <c r="H36" s="17" t="n">
        <f>18</f>
        <v>18.0</v>
      </c>
      <c r="I36" s="18" t="n">
        <f>0</f>
        <v>0.0</v>
      </c>
      <c r="J36" s="17" t="n">
        <f>450000</f>
        <v>450000.0</v>
      </c>
      <c r="K36" s="18" t="n">
        <f>0</f>
        <v>0.0</v>
      </c>
      <c r="L36" s="17" t="n">
        <f>480000</f>
        <v>480000.0</v>
      </c>
      <c r="M36" s="18" t="n">
        <f>0</f>
        <v>0.0</v>
      </c>
      <c r="N36" s="17" t="n">
        <f>930000</f>
        <v>930000.0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184</f>
        <v>184.0</v>
      </c>
      <c r="E37" s="22" t="n">
        <f>125</f>
        <v>125.0</v>
      </c>
      <c r="F37" s="21" t="n">
        <f>83</f>
        <v>83.0</v>
      </c>
      <c r="G37" s="22" t="n">
        <f>0</f>
        <v>0.0</v>
      </c>
      <c r="H37" s="21" t="n">
        <f>267</f>
        <v>267.0</v>
      </c>
      <c r="I37" s="22" t="n">
        <f>125</f>
        <v>125.0</v>
      </c>
      <c r="J37" s="21" t="n">
        <f>68790000</f>
        <v>6.879E7</v>
      </c>
      <c r="K37" s="22" t="n">
        <f>61500000</f>
        <v>6.15E7</v>
      </c>
      <c r="L37" s="21" t="n">
        <f>12020000</f>
        <v>1.202E7</v>
      </c>
      <c r="M37" s="22" t="n">
        <f>0</f>
        <v>0.0</v>
      </c>
      <c r="N37" s="21" t="n">
        <f>80810000</f>
        <v>8.081E7</v>
      </c>
      <c r="O37" s="22" t="n">
        <f>61500000</f>
        <v>6.15E7</v>
      </c>
    </row>
    <row r="38" spans="1:15" ht="24.9" customHeight="1">
      <c r="A38" s="38"/>
      <c r="B38" s="62"/>
      <c r="C38" s="20" t="s">
        <v>17</v>
      </c>
      <c r="D38" s="21" t="n">
        <f>48</f>
        <v>48.0</v>
      </c>
      <c r="E38" s="36" t="n">
        <f>0</f>
        <v>0.0</v>
      </c>
      <c r="F38" s="21" t="n">
        <f>52</f>
        <v>52.0</v>
      </c>
      <c r="G38" s="36" t="n">
        <f>0</f>
        <v>0.0</v>
      </c>
      <c r="H38" s="21" t="n">
        <f>100</f>
        <v>100.0</v>
      </c>
      <c r="I38" s="36" t="n">
        <f>0</f>
        <v>0.0</v>
      </c>
      <c r="J38" s="21" t="n">
        <f>16670000</f>
        <v>1.667E7</v>
      </c>
      <c r="K38" s="36" t="n">
        <f>0</f>
        <v>0.0</v>
      </c>
      <c r="L38" s="21" t="n">
        <f>16540000</f>
        <v>1.654E7</v>
      </c>
      <c r="M38" s="36" t="n">
        <f>0</f>
        <v>0.0</v>
      </c>
      <c r="N38" s="21" t="n">
        <f>33210000</f>
        <v>3.321E7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247</f>
        <v>247.0</v>
      </c>
      <c r="E39" s="37" t="n">
        <f>125</f>
        <v>125.0</v>
      </c>
      <c r="F39" s="25" t="n">
        <f>138</f>
        <v>138.0</v>
      </c>
      <c r="G39" s="37" t="n">
        <f>0</f>
        <v>0.0</v>
      </c>
      <c r="H39" s="25" t="n">
        <f>385</f>
        <v>385.0</v>
      </c>
      <c r="I39" s="37" t="n">
        <f>125</f>
        <v>125.0</v>
      </c>
      <c r="J39" s="25" t="n">
        <f>85910000</f>
        <v>8.591E7</v>
      </c>
      <c r="K39" s="37" t="n">
        <f>61500000</f>
        <v>6.15E7</v>
      </c>
      <c r="L39" s="25" t="n">
        <f>29040000</f>
        <v>2.904E7</v>
      </c>
      <c r="M39" s="37" t="n">
        <f>0</f>
        <v>0.0</v>
      </c>
      <c r="N39" s="25" t="n">
        <f>114950000</f>
        <v>1.1495E8</v>
      </c>
      <c r="O39" s="37" t="n">
        <f>61500000</f>
        <v>6.15E7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1991</f>
        <v>1991.0</v>
      </c>
      <c r="E41" s="36" t="n">
        <f>0</f>
        <v>0.0</v>
      </c>
      <c r="F41" s="21" t="n">
        <f>7471</f>
        <v>7471.0</v>
      </c>
      <c r="G41" s="36" t="n">
        <f>0</f>
        <v>0.0</v>
      </c>
      <c r="H41" s="21" t="n">
        <f>9462</f>
        <v>9462.0</v>
      </c>
      <c r="I41" s="36" t="n">
        <f>0</f>
        <v>0.0</v>
      </c>
      <c r="J41" s="21" t="n">
        <f>18974850</f>
        <v>1.897485E7</v>
      </c>
      <c r="K41" s="36" t="n">
        <f>0</f>
        <v>0.0</v>
      </c>
      <c r="L41" s="21" t="n">
        <f>12297410</f>
        <v>1.229741E7</v>
      </c>
      <c r="M41" s="36" t="n">
        <f>0</f>
        <v>0.0</v>
      </c>
      <c r="N41" s="21" t="n">
        <f>31272260</f>
        <v>3.127226E7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1926</f>
        <v>1926.0</v>
      </c>
      <c r="E42" s="36" t="n">
        <f>1200</f>
        <v>1200.0</v>
      </c>
      <c r="F42" s="21" t="n">
        <f>6970</f>
        <v>6970.0</v>
      </c>
      <c r="G42" s="36" t="n">
        <f>700</f>
        <v>700.0</v>
      </c>
      <c r="H42" s="21" t="n">
        <f>8896</f>
        <v>8896.0</v>
      </c>
      <c r="I42" s="36" t="n">
        <f>1900</f>
        <v>1900.0</v>
      </c>
      <c r="J42" s="21" t="n">
        <f>83266528</f>
        <v>8.3266528E7</v>
      </c>
      <c r="K42" s="36" t="n">
        <f>78320000</f>
        <v>7.832E7</v>
      </c>
      <c r="L42" s="21" t="n">
        <f>47075480</f>
        <v>4.707548E7</v>
      </c>
      <c r="M42" s="36" t="n">
        <f>39350000</f>
        <v>3.935E7</v>
      </c>
      <c r="N42" s="21" t="n">
        <f>130342008</f>
        <v>1.30342008E8</v>
      </c>
      <c r="O42" s="36" t="n">
        <f>117670000</f>
        <v>1.1767E8</v>
      </c>
    </row>
    <row r="43" spans="1:15" ht="24.9" customHeight="1">
      <c r="A43" s="38"/>
      <c r="B43" s="62"/>
      <c r="C43" s="24" t="s">
        <v>18</v>
      </c>
      <c r="D43" s="25" t="n">
        <f>3917</f>
        <v>3917.0</v>
      </c>
      <c r="E43" s="37" t="n">
        <f>1200</f>
        <v>1200.0</v>
      </c>
      <c r="F43" s="25" t="n">
        <f>14441</f>
        <v>14441.0</v>
      </c>
      <c r="G43" s="37" t="n">
        <f>700</f>
        <v>700.0</v>
      </c>
      <c r="H43" s="25" t="n">
        <f>18358</f>
        <v>18358.0</v>
      </c>
      <c r="I43" s="37" t="n">
        <f>1900</f>
        <v>1900.0</v>
      </c>
      <c r="J43" s="25" t="n">
        <f>102241378</f>
        <v>1.02241378E8</v>
      </c>
      <c r="K43" s="37" t="n">
        <f>78320000</f>
        <v>7.832E7</v>
      </c>
      <c r="L43" s="25" t="n">
        <f>59372890</f>
        <v>5.937289E7</v>
      </c>
      <c r="M43" s="37" t="n">
        <f>39350000</f>
        <v>3.935E7</v>
      </c>
      <c r="N43" s="25" t="n">
        <f>161614268</f>
        <v>1.61614268E8</v>
      </c>
      <c r="O43" s="37" t="n">
        <f>117670000</f>
        <v>1.1767E8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