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<sst xmlns="http://schemas.openxmlformats.org/spreadsheetml/2006/main" count="528" uniqueCount="129">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</sst>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DATE(2026,06,17)</f>
        <v>46190.0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DATE(2026,06,17)</f>
        <v>46190.0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676694.0</f>
        <v>676694.0</v>
      </c>
      <c r="E12" s="18" t="n">
        <f>37817.0</f>
        <v>37817.0</v>
      </c>
      <c r="F12" s="19" t="n">
        <f>1.0</f>
        <v>1.0</v>
      </c>
      <c r="G12" s="17" t="n">
        <f>5518153746780.0</f>
        <v>5.51815374678E12</v>
      </c>
      <c r="H12" s="18" t="n">
        <f>658274499130.0</f>
        <v>6.5827449913E11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379808.0</f>
        <v>379808.0</v>
      </c>
      <c r="E13" s="22" t="n">
        <f>20359.0</f>
        <v>20359.0</v>
      </c>
      <c r="F13" s="23" t="n">
        <f>1.0</f>
        <v>1.0</v>
      </c>
      <c r="G13" s="21" t="n">
        <f>4100455601323.0</f>
        <v>4.100455601323E12</v>
      </c>
      <c r="H13" s="22" t="n">
        <f>410619715698.0</f>
        <v>4.10619715698E11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406729.0</f>
        <v>406729.0</v>
      </c>
      <c r="E14" s="22" t="n">
        <f>48966.0</f>
        <v>48966.0</v>
      </c>
      <c r="F14" s="23" t="n">
        <f>1.0</f>
        <v>1.0</v>
      </c>
      <c r="G14" s="21" t="n">
        <f>5380267077014.0</f>
        <v>5.380267077014E12</v>
      </c>
      <c r="H14" s="22" t="n">
        <f>1540081168889.0</f>
        <v>1.540081168889E12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1463231.0</f>
        <v>1463231.0</v>
      </c>
      <c r="E15" s="26" t="n">
        <f>107142.0</f>
        <v>107142.0</v>
      </c>
      <c r="F15" s="27" t="n">
        <f>1.0</f>
        <v>1.0</v>
      </c>
      <c r="G15" s="25" t="n">
        <f>14998876425117.0</f>
        <v>1.4998876425117E13</v>
      </c>
      <c r="H15" s="26" t="n">
        <f>2608975383717.0</f>
        <v>2.608975383717E12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15133.0</f>
        <v>15133.0</v>
      </c>
      <c r="E16" s="18" t="n">
        <f>770.0</f>
        <v>770.0</v>
      </c>
      <c r="F16" s="19" t="n">
        <f>0.022</f>
        <v>0.022</v>
      </c>
      <c r="G16" s="17" t="n">
        <f>1812683703750.0</f>
        <v>1.81268370375E12</v>
      </c>
      <c r="H16" s="18" t="n">
        <f>98396840000.0</f>
        <v>9.839684E10</v>
      </c>
      <c r="I16" s="19" t="n">
        <f>0.328</f>
        <v>0.328</v>
      </c>
    </row>
    <row r="17" spans="1:9" ht="24.9" customHeight="1">
      <c r="A17" s="41"/>
      <c r="B17" s="39"/>
      <c r="C17" s="20" t="s">
        <v>16</v>
      </c>
      <c r="D17" s="21" t="n">
        <f>14582.0</f>
        <v>14582.0</v>
      </c>
      <c r="E17" s="22" t="n">
        <f>1905.0</f>
        <v>1905.0</v>
      </c>
      <c r="F17" s="23" t="n">
        <f>0.038</f>
        <v>0.038</v>
      </c>
      <c r="G17" s="21" t="n">
        <f>1843391807625.0</f>
        <v>1.843391807625E12</v>
      </c>
      <c r="H17" s="22" t="n">
        <f>243837650000.0</f>
        <v>2.4383765E11</v>
      </c>
      <c r="I17" s="23" t="n">
        <f>0.45</f>
        <v>0.45</v>
      </c>
    </row>
    <row r="18" spans="1:9" ht="24.9" customHeight="1">
      <c r="A18" s="41"/>
      <c r="B18" s="39"/>
      <c r="C18" s="20" t="s">
        <v>17</v>
      </c>
      <c r="D18" s="21" t="n">
        <f>13856.0</f>
        <v>13856.0</v>
      </c>
      <c r="E18" s="22" t="n">
        <f>1520.0</f>
        <v>1520.0</v>
      </c>
      <c r="F18" s="23" t="n">
        <f>0.034</f>
        <v>0.034</v>
      </c>
      <c r="G18" s="21" t="n">
        <f>1643172462375.0</f>
        <v>1.643172462375E12</v>
      </c>
      <c r="H18" s="22" t="n">
        <f>194733755000.0</f>
        <v>1.94733755E11</v>
      </c>
      <c r="I18" s="23" t="n">
        <f>0.305</f>
        <v>0.305</v>
      </c>
    </row>
    <row r="19" spans="1:9" ht="24.9" customHeight="1">
      <c r="A19" s="41"/>
      <c r="B19" s="39"/>
      <c r="C19" s="24" t="s">
        <v>18</v>
      </c>
      <c r="D19" s="25" t="n">
        <f>43571.0</f>
        <v>43571.0</v>
      </c>
      <c r="E19" s="26" t="n">
        <f>4195.0</f>
        <v>4195.0</v>
      </c>
      <c r="F19" s="27" t="n">
        <f>0.03</f>
        <v>0.03</v>
      </c>
      <c r="G19" s="25" t="n">
        <f>5299247973750.0</f>
        <v>5.29924797375E12</v>
      </c>
      <c r="H19" s="26" t="n">
        <f>536968245000.0</f>
        <v>5.36968245E11</v>
      </c>
      <c r="I19" s="27" t="n">
        <f>0.353</f>
        <v>0.353</v>
      </c>
    </row>
    <row r="20" spans="1:9" ht="24.9" customHeight="1">
      <c r="A20" s="41"/>
      <c r="B20" s="39" t="s">
        <v>21</v>
      </c>
      <c r="C20" s="16" t="s">
        <v>15</v>
      </c>
      <c r="D20" s="17" t="n">
        <f>651973.0</f>
        <v>651973.0</v>
      </c>
      <c r="E20" s="18" t="n">
        <f>37047.0</f>
        <v>37047.0</v>
      </c>
      <c r="F20" s="19" t="n">
        <f>0.963</f>
        <v>0.963</v>
      </c>
      <c r="G20" s="17" t="n">
        <f>3601976636080.0</f>
        <v>3.60197663608E12</v>
      </c>
      <c r="H20" s="18" t="n">
        <f>559877659130.0</f>
        <v>5.5987765913E11</v>
      </c>
      <c r="I20" s="19" t="n">
        <f>0.653</f>
        <v>0.653</v>
      </c>
    </row>
    <row r="21" spans="1:9" ht="24.9" customHeight="1">
      <c r="A21" s="41"/>
      <c r="B21" s="39"/>
      <c r="C21" s="20" t="s">
        <v>16</v>
      </c>
      <c r="D21" s="21" t="n">
        <f>361736.0</f>
        <v>361736.0</v>
      </c>
      <c r="E21" s="22" t="n">
        <f>18454.0</f>
        <v>18454.0</v>
      </c>
      <c r="F21" s="23" t="n">
        <f>0.952</f>
        <v>0.952</v>
      </c>
      <c r="G21" s="21" t="n">
        <f>2229759991448.0</f>
        <v>2.229759991448E12</v>
      </c>
      <c r="H21" s="22" t="n">
        <f>166782065698.0</f>
        <v>1.66782065698E11</v>
      </c>
      <c r="I21" s="23" t="n">
        <f>0.544</f>
        <v>0.544</v>
      </c>
    </row>
    <row r="22" spans="1:9" ht="24.9" customHeight="1">
      <c r="A22" s="41"/>
      <c r="B22" s="39"/>
      <c r="C22" s="20" t="s">
        <v>17</v>
      </c>
      <c r="D22" s="21" t="n">
        <f>386280.0</f>
        <v>386280.0</v>
      </c>
      <c r="E22" s="22" t="n">
        <f>47365.0</f>
        <v>47365.0</v>
      </c>
      <c r="F22" s="23" t="n">
        <f>0.95</f>
        <v>0.95</v>
      </c>
      <c r="G22" s="21" t="n">
        <f>3697774230639.0</f>
        <v>3.697774230639E12</v>
      </c>
      <c r="H22" s="22" t="n">
        <f>1345198808289.0</f>
        <v>1.345198808289E12</v>
      </c>
      <c r="I22" s="23" t="n">
        <f>0.687</f>
        <v>0.687</v>
      </c>
    </row>
    <row r="23" spans="1:9" ht="24.9" customHeight="1">
      <c r="A23" s="41"/>
      <c r="B23" s="39"/>
      <c r="C23" s="24" t="s">
        <v>18</v>
      </c>
      <c r="D23" s="25" t="n">
        <f>1399989.0</f>
        <v>1399989.0</v>
      </c>
      <c r="E23" s="26" t="n">
        <f>102866.0</f>
        <v>102866.0</v>
      </c>
      <c r="F23" s="27" t="n">
        <f>0.957</f>
        <v>0.957</v>
      </c>
      <c r="G23" s="25" t="n">
        <f>9529510858167.0</f>
        <v>9.529510858167E12</v>
      </c>
      <c r="H23" s="26" t="n">
        <f>2071858533117.0</f>
        <v>2.071858533117E12</v>
      </c>
      <c r="I23" s="27" t="n">
        <f>0.635</f>
        <v>0.635</v>
      </c>
    </row>
    <row r="24" spans="1:9" ht="24.9" customHeight="1">
      <c r="A24" s="41"/>
      <c r="B24" s="39" t="s">
        <v>22</v>
      </c>
      <c r="C24" s="16" t="s">
        <v>15</v>
      </c>
      <c r="D24" s="17" t="n">
        <f>8962.0</f>
        <v>8962.0</v>
      </c>
      <c r="E24" s="18" t="n">
        <f>0.0</f>
        <v>0.0</v>
      </c>
      <c r="F24" s="19" t="n">
        <f>0.013</f>
        <v>0.013</v>
      </c>
      <c r="G24" s="17" t="n">
        <f>101191657950.0</f>
        <v>1.0119165795E11</v>
      </c>
      <c r="H24" s="18" t="n">
        <f>0.0</f>
        <v>0.0</v>
      </c>
      <c r="I24" s="19" t="n">
        <f>0.018</f>
        <v>0.018</v>
      </c>
    </row>
    <row r="25" spans="1:9" ht="24.9" customHeight="1">
      <c r="A25" s="41"/>
      <c r="B25" s="39"/>
      <c r="C25" s="20" t="s">
        <v>16</v>
      </c>
      <c r="D25" s="21" t="n">
        <f>3356.0</f>
        <v>3356.0</v>
      </c>
      <c r="E25" s="22" t="n">
        <f>0.0</f>
        <v>0.0</v>
      </c>
      <c r="F25" s="23" t="n">
        <f>0.009</f>
        <v>0.009</v>
      </c>
      <c r="G25" s="21" t="n">
        <f>26816880250.0</f>
        <v>2.681688025E10</v>
      </c>
      <c r="H25" s="22" t="n">
        <f>0.0</f>
        <v>0.0</v>
      </c>
      <c r="I25" s="23" t="n">
        <f>0.007</f>
        <v>0.007</v>
      </c>
    </row>
    <row r="26" spans="1:9" ht="24.9" customHeight="1">
      <c r="A26" s="41"/>
      <c r="B26" s="39"/>
      <c r="C26" s="20" t="s">
        <v>17</v>
      </c>
      <c r="D26" s="21" t="n">
        <f>4775.0</f>
        <v>4775.0</v>
      </c>
      <c r="E26" s="22" t="n">
        <f>37.0</f>
        <v>37.0</v>
      </c>
      <c r="F26" s="23" t="n">
        <f>0.012</f>
        <v>0.012</v>
      </c>
      <c r="G26" s="21" t="n">
        <f>32849674300.0</f>
        <v>3.28496743E10</v>
      </c>
      <c r="H26" s="22" t="n">
        <f>80252000.0</f>
        <v>8.0252E7</v>
      </c>
      <c r="I26" s="23" t="n">
        <f>0.006</f>
        <v>0.006</v>
      </c>
    </row>
    <row r="27" spans="1:9" ht="24.9" customHeight="1">
      <c r="A27" s="42"/>
      <c r="B27" s="39"/>
      <c r="C27" s="24" t="s">
        <v>18</v>
      </c>
      <c r="D27" s="25" t="n">
        <f>17093.0</f>
        <v>17093.0</v>
      </c>
      <c r="E27" s="26" t="n">
        <f>37.0</f>
        <v>37.0</v>
      </c>
      <c r="F27" s="27" t="n">
        <f>0.012</f>
        <v>0.012</v>
      </c>
      <c r="G27" s="25" t="n">
        <f>160858212500.0</f>
        <v>1.608582125E11</v>
      </c>
      <c r="H27" s="26" t="n">
        <f>80252000.0</f>
        <v>8.0252E7</v>
      </c>
      <c r="I27" s="27" t="n">
        <f>0.011</f>
        <v>0.011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626.0</f>
        <v>626.0</v>
      </c>
      <c r="E28" s="18" t="n">
        <f>0.0</f>
        <v>0.0</v>
      </c>
      <c r="F28" s="19" t="n">
        <f>0.001</f>
        <v>0.001</v>
      </c>
      <c r="G28" s="17" t="n">
        <f>2301749000.0</f>
        <v>2.301749E9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134.0</f>
        <v>134.0</v>
      </c>
      <c r="E29" s="22" t="n">
        <f>0.0</f>
        <v>0.0</v>
      </c>
      <c r="F29" s="23" t="n">
        <f>0.0</f>
        <v>0.0</v>
      </c>
      <c r="G29" s="21" t="n">
        <f>486922000.0</f>
        <v>4.86922E8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1818.0</f>
        <v>1818.0</v>
      </c>
      <c r="E30" s="22" t="n">
        <f>44.0</f>
        <v>44.0</v>
      </c>
      <c r="F30" s="23" t="n">
        <f>0.004</f>
        <v>0.004</v>
      </c>
      <c r="G30" s="21" t="n">
        <f>6470709700.0</f>
        <v>6.4707097E9</v>
      </c>
      <c r="H30" s="22" t="n">
        <f>68353600.0</f>
        <v>6.83536E7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2578.0</f>
        <v>2578.0</v>
      </c>
      <c r="E31" s="26" t="n">
        <f>44.0</f>
        <v>44.0</v>
      </c>
      <c r="F31" s="27" t="n">
        <f>0.002</f>
        <v>0.002</v>
      </c>
      <c r="G31" s="25" t="n">
        <f>9259380700.0</f>
        <v>9.2593807E9</v>
      </c>
      <c r="H31" s="26" t="n">
        <f>68353600.0</f>
        <v>6.83536E7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46190.0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46190.0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20205</f>
        <v>20205.0</v>
      </c>
      <c r="E11" s="18" t="n">
        <f>3614</f>
        <v>3614.0</v>
      </c>
      <c r="F11" s="19" t="n">
        <f>1</f>
        <v>1.0</v>
      </c>
      <c r="G11" s="17" t="n">
        <f>1955444940</f>
        <v>1.95544494E9</v>
      </c>
      <c r="H11" s="18" t="n">
        <f>665437840</f>
        <v>6.6543784E8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38528</f>
        <v>38528.0</v>
      </c>
      <c r="E12" s="22" t="n">
        <f>7891</f>
        <v>7891.0</v>
      </c>
      <c r="F12" s="23" t="n">
        <f>1</f>
        <v>1.0</v>
      </c>
      <c r="G12" s="21" t="n">
        <f>9794070295</f>
        <v>9.794070295E9</v>
      </c>
      <c r="H12" s="22" t="n">
        <f>7728945803</f>
        <v>7.728945803E9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66632</f>
        <v>66632.0</v>
      </c>
      <c r="E13" s="22" t="n">
        <f>34738</f>
        <v>34738.0</v>
      </c>
      <c r="F13" s="23" t="n">
        <f>1</f>
        <v>1.0</v>
      </c>
      <c r="G13" s="21" t="n">
        <f>86773882078</f>
        <v>8.6773882078E10</v>
      </c>
      <c r="H13" s="22" t="n">
        <f>83830198000</f>
        <v>8.3830198E10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125365</f>
        <v>125365.0</v>
      </c>
      <c r="E14" s="26" t="n">
        <f>46243</f>
        <v>46243.0</v>
      </c>
      <c r="F14" s="27" t="n">
        <f>1</f>
        <v>1.0</v>
      </c>
      <c r="G14" s="25" t="n">
        <f>98523397313</f>
        <v>9.8523397313E10</v>
      </c>
      <c r="H14" s="26" t="n">
        <f>92224581643</f>
        <v>9.2224581643E10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17</f>
        <v>17.0</v>
      </c>
      <c r="E15" s="18" t="n">
        <f>0</f>
        <v>0.0</v>
      </c>
      <c r="F15" s="19" t="n">
        <f>0.001</f>
        <v>0.001</v>
      </c>
      <c r="G15" s="17" t="n">
        <f>2200000</f>
        <v>2200000.0</v>
      </c>
      <c r="H15" s="18" t="n">
        <f>0</f>
        <v>0.0</v>
      </c>
      <c r="I15" s="19" t="n">
        <f>0.001</f>
        <v>0.001</v>
      </c>
    </row>
    <row r="16" spans="1:9" ht="24.9" customHeight="1">
      <c r="A16" s="41"/>
      <c r="B16" s="39"/>
      <c r="C16" s="20" t="s">
        <v>16</v>
      </c>
      <c r="D16" s="21" t="n">
        <f>152</f>
        <v>152.0</v>
      </c>
      <c r="E16" s="22" t="n">
        <f>100</f>
        <v>100.0</v>
      </c>
      <c r="F16" s="23" t="n">
        <f>0.004</f>
        <v>0.004</v>
      </c>
      <c r="G16" s="21" t="n">
        <f>28085000</f>
        <v>2.8085E7</v>
      </c>
      <c r="H16" s="22" t="n">
        <f>15375000</f>
        <v>1.5375E7</v>
      </c>
      <c r="I16" s="23" t="n">
        <f>0.003</f>
        <v>0.003</v>
      </c>
    </row>
    <row r="17" spans="1:9" ht="24.9" customHeight="1">
      <c r="A17" s="41"/>
      <c r="B17" s="39"/>
      <c r="C17" s="20" t="s">
        <v>17</v>
      </c>
      <c r="D17" s="21" t="n">
        <f>479</f>
        <v>479.0</v>
      </c>
      <c r="E17" s="22" t="n">
        <f>100</f>
        <v>100.0</v>
      </c>
      <c r="F17" s="23" t="n">
        <f>0.007</f>
        <v>0.007</v>
      </c>
      <c r="G17" s="21" t="n">
        <f>46780000</f>
        <v>4.678E7</v>
      </c>
      <c r="H17" s="22" t="n">
        <f>15000000</f>
        <v>1.5E7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648</f>
        <v>648.0</v>
      </c>
      <c r="E18" s="26" t="n">
        <f>200</f>
        <v>200.0</v>
      </c>
      <c r="F18" s="27" t="n">
        <f>0.005</f>
        <v>0.005</v>
      </c>
      <c r="G18" s="25" t="n">
        <f>77065000</f>
        <v>7.7065E7</v>
      </c>
      <c r="H18" s="26" t="n">
        <f>30375000</f>
        <v>3.0375E7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20188</f>
        <v>20188.0</v>
      </c>
      <c r="E19" s="18" t="n">
        <f>3614</f>
        <v>3614.0</v>
      </c>
      <c r="F19" s="19" t="n">
        <f>0.999</f>
        <v>0.999</v>
      </c>
      <c r="G19" s="17" t="n">
        <f>1953244940</f>
        <v>1.95324494E9</v>
      </c>
      <c r="H19" s="18" t="n">
        <f>665437840</f>
        <v>6.6543784E8</v>
      </c>
      <c r="I19" s="19" t="n">
        <f>0.999</f>
        <v>0.999</v>
      </c>
    </row>
    <row r="20" spans="1:9" ht="24.9" customHeight="1">
      <c r="A20" s="41"/>
      <c r="B20" s="39"/>
      <c r="C20" s="20" t="s">
        <v>16</v>
      </c>
      <c r="D20" s="21" t="n">
        <f>31816</f>
        <v>31816.0</v>
      </c>
      <c r="E20" s="22" t="n">
        <f>7791</f>
        <v>7791.0</v>
      </c>
      <c r="F20" s="23" t="n">
        <f>0.826</f>
        <v>0.826</v>
      </c>
      <c r="G20" s="21" t="n">
        <f>9726831103</f>
        <v>9.726831103E9</v>
      </c>
      <c r="H20" s="22" t="n">
        <f>7713570803</f>
        <v>7.713570803E9</v>
      </c>
      <c r="I20" s="23" t="n">
        <f>0.993</f>
        <v>0.993</v>
      </c>
    </row>
    <row r="21" spans="1:9" ht="24.9" customHeight="1">
      <c r="A21" s="41"/>
      <c r="B21" s="39"/>
      <c r="C21" s="20" t="s">
        <v>17</v>
      </c>
      <c r="D21" s="21" t="n">
        <f>47056</f>
        <v>47056.0</v>
      </c>
      <c r="E21" s="22" t="n">
        <f>25138</f>
        <v>25138.0</v>
      </c>
      <c r="F21" s="23" t="n">
        <f>0.706</f>
        <v>0.706</v>
      </c>
      <c r="G21" s="21" t="n">
        <f>86562440800</f>
        <v>8.65624408E10</v>
      </c>
      <c r="H21" s="22" t="n">
        <f>83745583000</f>
        <v>8.3745583E10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99060</f>
        <v>99060.0</v>
      </c>
      <c r="E22" s="26" t="n">
        <f>36543</f>
        <v>36543.0</v>
      </c>
      <c r="F22" s="27" t="n">
        <f>0.79</f>
        <v>0.79</v>
      </c>
      <c r="G22" s="25" t="n">
        <f>98242516843</f>
        <v>9.8242516843E10</v>
      </c>
      <c r="H22" s="26" t="n">
        <f>92124591643</f>
        <v>9.2124591643E10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6560</f>
        <v>6560.0</v>
      </c>
      <c r="E24" s="22" t="n">
        <f>0</f>
        <v>0.0</v>
      </c>
      <c r="F24" s="23" t="n">
        <f>0.17</f>
        <v>0.17</v>
      </c>
      <c r="G24" s="21" t="n">
        <f>39154192</f>
        <v>3.9154192E7</v>
      </c>
      <c r="H24" s="22" t="n">
        <f>0</f>
        <v>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19097</f>
        <v>19097.0</v>
      </c>
      <c r="E25" s="22" t="n">
        <f>9500</f>
        <v>9500.0</v>
      </c>
      <c r="F25" s="23" t="n">
        <f>0.287</f>
        <v>0.287</v>
      </c>
      <c r="G25" s="21" t="n">
        <f>164661278</f>
        <v>1.64661278E8</v>
      </c>
      <c r="H25" s="22" t="n">
        <f>69615000</f>
        <v>6.9615E7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25657</f>
        <v>25657.0</v>
      </c>
      <c r="E26" s="26" t="n">
        <f>9500</f>
        <v>9500.0</v>
      </c>
      <c r="F26" s="27" t="n">
        <f>0.205</f>
        <v>0.205</v>
      </c>
      <c r="G26" s="25" t="n">
        <f>203815470</f>
        <v>2.0381547E8</v>
      </c>
      <c r="H26" s="26" t="n">
        <f>69615000</f>
        <v>6.9615E7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46190.0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46190.0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11943.0</v>
      </c>
      <c r="F12" s="18" t="n">
        <f>976</f>
        <v>976.0</v>
      </c>
      <c r="G12" s="17" t="n">
        <v>8.318939025E11</v>
      </c>
      <c r="H12" s="18" t="n">
        <f>67896542500</f>
        <v>6.78965425E10</v>
      </c>
    </row>
    <row r="13" spans="1:8" ht="24.9" customHeight="1">
      <c r="A13" s="51"/>
      <c r="B13" s="57"/>
      <c r="C13" s="39"/>
      <c r="D13" s="20" t="s">
        <v>16</v>
      </c>
      <c r="E13" s="21" t="n">
        <v>8346.0</v>
      </c>
      <c r="F13" s="22" t="n">
        <f>612</f>
        <v>612.0</v>
      </c>
      <c r="G13" s="21" t="n">
        <v>5.80043940498E11</v>
      </c>
      <c r="H13" s="22" t="n">
        <f>42522020498</f>
        <v>4.2522020498E10</v>
      </c>
    </row>
    <row r="14" spans="1:8" ht="24.9" customHeight="1">
      <c r="A14" s="51"/>
      <c r="B14" s="57"/>
      <c r="C14" s="39"/>
      <c r="D14" s="20" t="s">
        <v>17</v>
      </c>
      <c r="E14" s="21" t="n">
        <v>11974.0</v>
      </c>
      <c r="F14" s="22" t="n">
        <f>3674</f>
        <v>3674.0</v>
      </c>
      <c r="G14" s="21" t="n">
        <v>8.3855538782E11</v>
      </c>
      <c r="H14" s="22" t="n">
        <f>257203764820</f>
        <v>2.5720376482E11</v>
      </c>
    </row>
    <row r="15" spans="1:8" ht="24.9" customHeight="1">
      <c r="A15" s="51"/>
      <c r="B15" s="57"/>
      <c r="C15" s="39"/>
      <c r="D15" s="24" t="s">
        <v>18</v>
      </c>
      <c r="E15" s="25" t="n">
        <v>32263.0</v>
      </c>
      <c r="F15" s="26" t="n">
        <f>5262</f>
        <v>5262.0</v>
      </c>
      <c r="G15" s="25" t="n">
        <v>2.250493230818E12</v>
      </c>
      <c r="H15" s="26" t="n">
        <f>367622327818</f>
        <v>3.67622327818E11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236806.0</v>
      </c>
      <c r="F16" s="18" t="n">
        <f>28387</f>
        <v>28387.0</v>
      </c>
      <c r="G16" s="17" t="n">
        <v>1.64946505564E12</v>
      </c>
      <c r="H16" s="18" t="n">
        <f>197808838140</f>
        <v>1.9780883814E11</v>
      </c>
    </row>
    <row r="17" spans="1:8" ht="24.9" customHeight="1">
      <c r="A17" s="51"/>
      <c r="B17" s="57"/>
      <c r="C17" s="39"/>
      <c r="D17" s="20" t="s">
        <v>16</v>
      </c>
      <c r="E17" s="21" t="n">
        <v>147255.0</v>
      </c>
      <c r="F17" s="22" t="n">
        <f>17193</f>
        <v>17193.0</v>
      </c>
      <c r="G17" s="21" t="n">
        <v>1.02395150964E12</v>
      </c>
      <c r="H17" s="22" t="n">
        <f>119568619140</f>
        <v>1.1956861914E11</v>
      </c>
    </row>
    <row r="18" spans="1:8" ht="24.9" customHeight="1">
      <c r="A18" s="51"/>
      <c r="B18" s="57"/>
      <c r="C18" s="39"/>
      <c r="D18" s="20" t="s">
        <v>17</v>
      </c>
      <c r="E18" s="21" t="n">
        <v>150034.0</v>
      </c>
      <c r="F18" s="22" t="n">
        <f>19567</f>
        <v>19567.0</v>
      </c>
      <c r="G18" s="21" t="n">
        <v>1.050622828238E12</v>
      </c>
      <c r="H18" s="22" t="n">
        <f>136997374238</f>
        <v>1.36997374238E11</v>
      </c>
    </row>
    <row r="19" spans="1:8" ht="24.9" customHeight="1">
      <c r="A19" s="51"/>
      <c r="B19" s="57"/>
      <c r="C19" s="39"/>
      <c r="D19" s="24" t="s">
        <v>18</v>
      </c>
      <c r="E19" s="25" t="n">
        <v>534095.0</v>
      </c>
      <c r="F19" s="26" t="n">
        <f>65147</f>
        <v>65147.0</v>
      </c>
      <c r="G19" s="25" t="n">
        <v>3.724039393518E12</v>
      </c>
      <c r="H19" s="26" t="n">
        <f>454374831518</f>
        <v>4.54374831518E11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377371.0</v>
      </c>
      <c r="F20" s="18" t="str">
        <f>"－"</f>
        <v>－</v>
      </c>
      <c r="G20" s="17" t="n">
        <v>2.6285234475E11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186757.0</v>
      </c>
      <c r="F21" s="22" t="str">
        <f>"－"</f>
        <v>－</v>
      </c>
      <c r="G21" s="21" t="n">
        <v>1.298369413E11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173869.0</v>
      </c>
      <c r="F22" s="22" t="str">
        <f>"－"</f>
        <v>－</v>
      </c>
      <c r="G22" s="21" t="n">
        <v>1.2174545775E11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737997.0</v>
      </c>
      <c r="F23" s="26" t="str">
        <f>"－"</f>
        <v>－</v>
      </c>
      <c r="G23" s="25" t="n">
        <v>5.144347438E11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20918.0</v>
      </c>
      <c r="F24" s="18" t="n">
        <f>7320</f>
        <v>7320.0</v>
      </c>
      <c r="G24" s="17" t="n">
        <v>8.391824899E11</v>
      </c>
      <c r="H24" s="18" t="n">
        <f>292731859900</f>
        <v>2.927318599E11</v>
      </c>
    </row>
    <row r="25" spans="1:8" ht="24.9" customHeight="1">
      <c r="A25" s="51"/>
      <c r="B25" s="57"/>
      <c r="C25" s="39"/>
      <c r="D25" s="20" t="s">
        <v>16</v>
      </c>
      <c r="E25" s="21" t="n">
        <v>11760.0</v>
      </c>
      <c r="F25" s="22" t="n">
        <f>64</f>
        <v>64.0</v>
      </c>
      <c r="G25" s="21" t="n">
        <v>4.71634762E11</v>
      </c>
      <c r="H25" s="22" t="n">
        <f>2563417000</f>
        <v>2.563417E9</v>
      </c>
    </row>
    <row r="26" spans="1:8" ht="24.9" customHeight="1">
      <c r="A26" s="51"/>
      <c r="B26" s="57"/>
      <c r="C26" s="39"/>
      <c r="D26" s="20" t="s">
        <v>17</v>
      </c>
      <c r="E26" s="21" t="n">
        <v>41123.0</v>
      </c>
      <c r="F26" s="22" t="n">
        <f>23619</f>
        <v>23619.0</v>
      </c>
      <c r="G26" s="21" t="n">
        <v>1.653606592271E12</v>
      </c>
      <c r="H26" s="22" t="n">
        <f>949085147271</f>
        <v>9.49085147271E11</v>
      </c>
    </row>
    <row r="27" spans="1:8" ht="24.9" customHeight="1">
      <c r="A27" s="51"/>
      <c r="B27" s="57"/>
      <c r="C27" s="39"/>
      <c r="D27" s="24" t="s">
        <v>18</v>
      </c>
      <c r="E27" s="25" t="n">
        <v>73801.0</v>
      </c>
      <c r="F27" s="26" t="n">
        <f>31003</f>
        <v>31003.0</v>
      </c>
      <c r="G27" s="25" t="n">
        <v>2.964423844171E12</v>
      </c>
      <c r="H27" s="26" t="n">
        <f>1244380424171</f>
        <v>1.244380424171E12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4162.0</v>
      </c>
      <c r="F28" s="18" t="n">
        <f>350</f>
        <v>350.0</v>
      </c>
      <c r="G28" s="17" t="n">
        <v>1.6722514E10</v>
      </c>
      <c r="H28" s="18" t="n">
        <f>1406195500</f>
        <v>1.4061955E9</v>
      </c>
    </row>
    <row r="29" spans="1:8" ht="24.9" customHeight="1">
      <c r="A29" s="51"/>
      <c r="B29" s="57"/>
      <c r="C29" s="39"/>
      <c r="D29" s="20" t="s">
        <v>16</v>
      </c>
      <c r="E29" s="21" t="n">
        <v>5315.0</v>
      </c>
      <c r="F29" s="22" t="n">
        <f>516</f>
        <v>516.0</v>
      </c>
      <c r="G29" s="21" t="n">
        <v>2.13172316E10</v>
      </c>
      <c r="H29" s="22" t="n">
        <f>2074886350</f>
        <v>2.07488635E9</v>
      </c>
    </row>
    <row r="30" spans="1:8" ht="24.9" customHeight="1">
      <c r="A30" s="51"/>
      <c r="B30" s="57"/>
      <c r="C30" s="39"/>
      <c r="D30" s="20" t="s">
        <v>17</v>
      </c>
      <c r="E30" s="21" t="n">
        <v>6842.0</v>
      </c>
      <c r="F30" s="22" t="n">
        <f>429</f>
        <v>429.0</v>
      </c>
      <c r="G30" s="21" t="n">
        <v>2.754024889E10</v>
      </c>
      <c r="H30" s="22" t="n">
        <f>1726482390</f>
        <v>1.72648239E9</v>
      </c>
    </row>
    <row r="31" spans="1:8" ht="24.9" customHeight="1">
      <c r="A31" s="51"/>
      <c r="B31" s="57"/>
      <c r="C31" s="39"/>
      <c r="D31" s="24" t="s">
        <v>18</v>
      </c>
      <c r="E31" s="25" t="n">
        <v>16319.0</v>
      </c>
      <c r="F31" s="26" t="n">
        <f>1295</f>
        <v>1295.0</v>
      </c>
      <c r="G31" s="25" t="n">
        <v>6.557999449E10</v>
      </c>
      <c r="H31" s="26" t="n">
        <f>5207564240</f>
        <v>5.20756424E9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328.0</v>
      </c>
      <c r="F36" s="18" t="n">
        <f>0</f>
        <v>0.0</v>
      </c>
      <c r="G36" s="17" t="n">
        <v>1.194145E9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383.0</v>
      </c>
      <c r="F37" s="22" t="n">
        <f>0</f>
        <v>0.0</v>
      </c>
      <c r="G37" s="21" t="n">
        <v>1.3910075E9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1259.0</v>
      </c>
      <c r="F38" s="22" t="n">
        <f>45</f>
        <v>45.0</v>
      </c>
      <c r="G38" s="21" t="n">
        <v>4.600189E9</v>
      </c>
      <c r="H38" s="22" t="n">
        <f>164250500</f>
        <v>1.642505E8</v>
      </c>
    </row>
    <row r="39" spans="1:8" ht="24.9" customHeight="1">
      <c r="A39" s="51"/>
      <c r="B39" s="57"/>
      <c r="C39" s="39"/>
      <c r="D39" s="24" t="s">
        <v>18</v>
      </c>
      <c r="E39" s="25" t="n">
        <v>1970.0</v>
      </c>
      <c r="F39" s="26" t="n">
        <f>45</f>
        <v>45.0</v>
      </c>
      <c r="G39" s="25" t="n">
        <v>7.1853415E9</v>
      </c>
      <c r="H39" s="26" t="n">
        <f>164250500</f>
        <v>1.642505E8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6.0</v>
      </c>
      <c r="F48" s="18" t="n">
        <f>6</f>
        <v>6.0</v>
      </c>
      <c r="G48" s="17" t="n">
        <v>1.056E7</v>
      </c>
      <c r="H48" s="18" t="n">
        <f>10560000</f>
        <v>1.056E7</v>
      </c>
    </row>
    <row r="49" spans="1:8" ht="24.9" customHeight="1">
      <c r="A49" s="51"/>
      <c r="B49" s="57"/>
      <c r="C49" s="39"/>
      <c r="D49" s="20" t="s">
        <v>16</v>
      </c>
      <c r="E49" s="21" t="n">
        <v>15.0</v>
      </c>
      <c r="F49" s="22" t="n">
        <f>0</f>
        <v>0.0</v>
      </c>
      <c r="G49" s="21" t="n">
        <v>2.6263E7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133.0</v>
      </c>
      <c r="F50" s="22" t="n">
        <f>0</f>
        <v>0.0</v>
      </c>
      <c r="G50" s="21" t="n">
        <v>2.32854E8</v>
      </c>
      <c r="H50" s="22" t="n">
        <f>0</f>
        <v>0.0</v>
      </c>
    </row>
    <row r="51" spans="1:8" ht="24.9" customHeight="1">
      <c r="A51" s="51"/>
      <c r="B51" s="57"/>
      <c r="C51" s="39"/>
      <c r="D51" s="24" t="s">
        <v>18</v>
      </c>
      <c r="E51" s="25" t="n">
        <v>154.0</v>
      </c>
      <c r="F51" s="26" t="n">
        <f>6</f>
        <v>6.0</v>
      </c>
      <c r="G51" s="25" t="n">
        <v>2.69677E8</v>
      </c>
      <c r="H51" s="26" t="n">
        <f>10560000</f>
        <v>1.056E7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361.0</v>
      </c>
      <c r="F56" s="18" t="n">
        <f>4</f>
        <v>4.0</v>
      </c>
      <c r="G56" s="17" t="n">
        <v>2.545719E8</v>
      </c>
      <c r="H56" s="18" t="n">
        <f>2814900</f>
        <v>2814900.0</v>
      </c>
    </row>
    <row r="57" spans="1:8" ht="24.9" customHeight="1">
      <c r="A57" s="51"/>
      <c r="B57" s="57"/>
      <c r="C57" s="39"/>
      <c r="D57" s="20" t="s">
        <v>16</v>
      </c>
      <c r="E57" s="21" t="n">
        <v>1851.0</v>
      </c>
      <c r="F57" s="22" t="n">
        <f>68</f>
        <v>68.0</v>
      </c>
      <c r="G57" s="21" t="n">
        <v>1.305705E9</v>
      </c>
      <c r="H57" s="22" t="n">
        <f>47875000</f>
        <v>4.7875E7</v>
      </c>
    </row>
    <row r="58" spans="1:8" ht="24.9" customHeight="1">
      <c r="A58" s="51"/>
      <c r="B58" s="57"/>
      <c r="C58" s="39"/>
      <c r="D58" s="20" t="s">
        <v>17</v>
      </c>
      <c r="E58" s="21" t="n">
        <v>1013.0</v>
      </c>
      <c r="F58" s="22" t="n">
        <f>31</f>
        <v>31.0</v>
      </c>
      <c r="G58" s="21" t="n">
        <v>7.1234507E8</v>
      </c>
      <c r="H58" s="22" t="n">
        <f>21789070</f>
        <v>2.178907E7</v>
      </c>
    </row>
    <row r="59" spans="1:8" ht="24.9" customHeight="1">
      <c r="A59" s="51"/>
      <c r="B59" s="57"/>
      <c r="C59" s="39"/>
      <c r="D59" s="24" t="s">
        <v>18</v>
      </c>
      <c r="E59" s="25" t="n">
        <v>3225.0</v>
      </c>
      <c r="F59" s="26" t="n">
        <f>103</f>
        <v>103.0</v>
      </c>
      <c r="G59" s="25" t="n">
        <v>2.27262197E9</v>
      </c>
      <c r="H59" s="26" t="n">
        <f>72478970</f>
        <v>7.247897E7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76.0</v>
      </c>
      <c r="F60" s="18" t="n">
        <f>4</f>
        <v>4.0</v>
      </c>
      <c r="G60" s="17" t="n">
        <v>3.9630839E8</v>
      </c>
      <c r="H60" s="18" t="n">
        <f>20848190</f>
        <v>2.084819E7</v>
      </c>
    </row>
    <row r="61" spans="1:8" ht="24.9" customHeight="1">
      <c r="A61" s="51"/>
      <c r="B61" s="57"/>
      <c r="C61" s="39"/>
      <c r="D61" s="20" t="s">
        <v>16</v>
      </c>
      <c r="E61" s="21" t="n">
        <v>48.0</v>
      </c>
      <c r="F61" s="22" t="n">
        <f>1</f>
        <v>1.0</v>
      </c>
      <c r="G61" s="21" t="n">
        <v>2.5058941E8</v>
      </c>
      <c r="H61" s="22" t="n">
        <f>5247710</f>
        <v>5247710.0</v>
      </c>
    </row>
    <row r="62" spans="1:8" ht="24.9" customHeight="1">
      <c r="A62" s="51"/>
      <c r="B62" s="57"/>
      <c r="C62" s="39"/>
      <c r="D62" s="20" t="s">
        <v>17</v>
      </c>
      <c r="E62" s="21" t="n">
        <v>30.0</v>
      </c>
      <c r="F62" s="22" t="n">
        <f>0</f>
        <v>0.0</v>
      </c>
      <c r="G62" s="21" t="n">
        <v>1.572926E8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154.0</v>
      </c>
      <c r="F63" s="26" t="n">
        <f>5</f>
        <v>5.0</v>
      </c>
      <c r="G63" s="25" t="n">
        <v>8.041904E8</v>
      </c>
      <c r="H63" s="26" t="n">
        <f>26095900</f>
        <v>2.60959E7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6.0</v>
      </c>
      <c r="F77" s="22" t="n">
        <f>0</f>
        <v>0.0</v>
      </c>
      <c r="G77" s="21" t="n">
        <v>2041500.0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3.0</v>
      </c>
      <c r="F78" s="22" t="n">
        <f>0</f>
        <v>0.0</v>
      </c>
      <c r="G78" s="21" t="n">
        <v>1035000.0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9.0</v>
      </c>
      <c r="F79" s="26" t="n">
        <f>0</f>
        <v>0.0</v>
      </c>
      <c r="G79" s="25" t="n">
        <v>3076500.0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0.0</v>
      </c>
      <c r="F92" s="18" t="n">
        <f>0</f>
        <v>0.0</v>
      </c>
      <c r="G92" s="17" t="n">
        <v>0.0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0.0</v>
      </c>
      <c r="F95" s="26" t="n">
        <f>0</f>
        <v>0.0</v>
      </c>
      <c r="G95" s="25" t="n">
        <v>0.0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2.0</v>
      </c>
      <c r="F96" s="18" t="n">
        <f>0</f>
        <v>0.0</v>
      </c>
      <c r="G96" s="17" t="n">
        <v>4744000.0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2.0</v>
      </c>
      <c r="F99" s="26" t="n">
        <f>0</f>
        <v>0.0</v>
      </c>
      <c r="G99" s="25" t="n">
        <v>4744000.0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13938.0</v>
      </c>
      <c r="F108" s="18" t="n">
        <f>770</f>
        <v>770.0</v>
      </c>
      <c r="G108" s="17" t="n">
        <v>1.78318847E12</v>
      </c>
      <c r="H108" s="18" t="n">
        <f>98396840000</f>
        <v>9.839684E10</v>
      </c>
    </row>
    <row r="109" spans="1:8" ht="24.9" customHeight="1">
      <c r="A109" s="51"/>
      <c r="B109" s="57"/>
      <c r="C109" s="39"/>
      <c r="D109" s="20" t="s">
        <v>16</v>
      </c>
      <c r="E109" s="21" t="n">
        <v>14356.0</v>
      </c>
      <c r="F109" s="22" t="n">
        <f>1905</f>
        <v>1905.0</v>
      </c>
      <c r="G109" s="21" t="n">
        <v>1.83792576E12</v>
      </c>
      <c r="H109" s="22" t="n">
        <f>243837650000</f>
        <v>2.4383765E11</v>
      </c>
    </row>
    <row r="110" spans="1:8" ht="24.9" customHeight="1">
      <c r="A110" s="51"/>
      <c r="B110" s="57"/>
      <c r="C110" s="39"/>
      <c r="D110" s="20" t="s">
        <v>17</v>
      </c>
      <c r="E110" s="21" t="n">
        <v>12602.0</v>
      </c>
      <c r="F110" s="22" t="n">
        <f>1520</f>
        <v>1520.0</v>
      </c>
      <c r="G110" s="21" t="n">
        <v>1.615160955E12</v>
      </c>
      <c r="H110" s="22" t="n">
        <f>194733755000</f>
        <v>1.94733755E11</v>
      </c>
    </row>
    <row r="111" spans="1:8" ht="24.9" customHeight="1">
      <c r="A111" s="51"/>
      <c r="B111" s="57"/>
      <c r="C111" s="39"/>
      <c r="D111" s="24" t="s">
        <v>18</v>
      </c>
      <c r="E111" s="25" t="n">
        <v>40896.0</v>
      </c>
      <c r="F111" s="26" t="n">
        <f>4195</f>
        <v>4195.0</v>
      </c>
      <c r="G111" s="25" t="n">
        <v>5.236275185E12</v>
      </c>
      <c r="H111" s="26" t="n">
        <f>536968245000</f>
        <v>5.36968245E11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10.0</v>
      </c>
      <c r="F113" s="22" t="n">
        <f>0</f>
        <v>0.0</v>
      </c>
      <c r="G113" s="21" t="n">
        <v>1.27977E8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5.0</v>
      </c>
      <c r="F114" s="22" t="n">
        <f>0</f>
        <v>0.0</v>
      </c>
      <c r="G114" s="21" t="n">
        <v>6.4089E7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15.0</v>
      </c>
      <c r="F115" s="26" t="n">
        <f>0</f>
        <v>0.0</v>
      </c>
      <c r="G115" s="25" t="n">
        <v>1.92066E8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192.0</v>
      </c>
      <c r="F118" s="22" t="n">
        <f>0</f>
        <v>0.0</v>
      </c>
      <c r="G118" s="21" t="n">
        <v>1.784359E9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192.0</v>
      </c>
      <c r="F119" s="26" t="n">
        <f>0</f>
        <v>0.0</v>
      </c>
      <c r="G119" s="25" t="n">
        <v>1.784359E9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1195.0</v>
      </c>
      <c r="F120" s="18" t="n">
        <f>0</f>
        <v>0.0</v>
      </c>
      <c r="G120" s="17" t="n">
        <v>2.949523375E10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216.0</v>
      </c>
      <c r="F121" s="22" t="n">
        <f>0</f>
        <v>0.0</v>
      </c>
      <c r="G121" s="21" t="n">
        <v>5.338070625E9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1057.0</v>
      </c>
      <c r="F122" s="22" t="n">
        <f>0</f>
        <v>0.0</v>
      </c>
      <c r="G122" s="21" t="n">
        <v>2.6163059375E10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2468.0</v>
      </c>
      <c r="F123" s="26" t="n">
        <f>0</f>
        <v>0.0</v>
      </c>
      <c r="G123" s="25" t="n">
        <v>6.099636375E10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3853.0</v>
      </c>
      <c r="F124" s="18" t="n">
        <f>0</f>
        <v>0.0</v>
      </c>
      <c r="G124" s="17" t="n">
        <v>8.8252075E10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909.0</v>
      </c>
      <c r="F125" s="22" t="n">
        <f>0</f>
        <v>0.0</v>
      </c>
      <c r="G125" s="21" t="n">
        <v>2.0807507E10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1036.0</v>
      </c>
      <c r="F126" s="22" t="n">
        <f>0</f>
        <v>0.0</v>
      </c>
      <c r="G126" s="21" t="n">
        <v>2.3670825E10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5798.0</v>
      </c>
      <c r="F127" s="26" t="n">
        <f>0</f>
        <v>0.0</v>
      </c>
      <c r="G127" s="25" t="n">
        <v>1.32730407E11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17.0</v>
      </c>
      <c r="F128" s="18" t="n">
        <f>0</f>
        <v>0.0</v>
      </c>
      <c r="G128" s="17" t="n">
        <v>3.88676E7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32.0</v>
      </c>
      <c r="F129" s="22" t="n">
        <f>0</f>
        <v>0.0</v>
      </c>
      <c r="G129" s="21" t="n">
        <v>7.32288E7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149.0</v>
      </c>
      <c r="F130" s="22" t="n">
        <f>0</f>
        <v>0.0</v>
      </c>
      <c r="G130" s="21" t="n">
        <v>3.404627E8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198.0</v>
      </c>
      <c r="F131" s="26" t="n">
        <f>0</f>
        <v>0.0</v>
      </c>
      <c r="G131" s="25" t="n">
        <v>4.525591E8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3668.0</v>
      </c>
      <c r="F132" s="18" t="n">
        <f>0</f>
        <v>0.0</v>
      </c>
      <c r="G132" s="17" t="n">
        <v>8.40576895E9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976.0</v>
      </c>
      <c r="F133" s="22" t="n">
        <f>0</f>
        <v>0.0</v>
      </c>
      <c r="G133" s="21" t="n">
        <v>2.23484485E9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1466.0</v>
      </c>
      <c r="F134" s="22" t="n">
        <f>0</f>
        <v>0.0</v>
      </c>
      <c r="G134" s="21" t="n">
        <v>3.3508468E9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6110.0</v>
      </c>
      <c r="F135" s="26" t="n">
        <f>0</f>
        <v>0.0</v>
      </c>
      <c r="G135" s="25" t="n">
        <v>1.39914606E10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17.0</v>
      </c>
      <c r="F136" s="18" t="n">
        <f>0</f>
        <v>0.0</v>
      </c>
      <c r="G136" s="17" t="n">
        <v>3.84541E7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51.0</v>
      </c>
      <c r="F137" s="22" t="n">
        <f>0</f>
        <v>0.0</v>
      </c>
      <c r="G137" s="21" t="n">
        <v>1.158202E8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67.0</v>
      </c>
      <c r="F138" s="22" t="n">
        <f>0</f>
        <v>0.0</v>
      </c>
      <c r="G138" s="21" t="n">
        <v>1.521463E8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135.0</v>
      </c>
      <c r="F139" s="26" t="n">
        <f>0</f>
        <v>0.0</v>
      </c>
      <c r="G139" s="25" t="n">
        <v>3.064206E8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849.0</v>
      </c>
      <c r="F144" s="18" t="n">
        <f>0</f>
        <v>0.0</v>
      </c>
      <c r="G144" s="17" t="n">
        <v>3.863761E9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595.0</v>
      </c>
      <c r="F145" s="22" t="n">
        <f>0</f>
        <v>0.0</v>
      </c>
      <c r="G145" s="21" t="n">
        <v>2.7193335E9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770.0</v>
      </c>
      <c r="F146" s="22" t="n">
        <f>0</f>
        <v>0.0</v>
      </c>
      <c r="G146" s="21" t="n">
        <v>3.48955E9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2214.0</v>
      </c>
      <c r="F147" s="26" t="n">
        <f>0</f>
        <v>0.0</v>
      </c>
      <c r="G147" s="25" t="n">
        <v>1.00726445E10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15.0</v>
      </c>
      <c r="F148" s="18" t="n">
        <f>0</f>
        <v>0.0</v>
      </c>
      <c r="G148" s="17" t="n">
        <v>1.39456E7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37.0</v>
      </c>
      <c r="F149" s="22" t="n">
        <f>0</f>
        <v>0.0</v>
      </c>
      <c r="G149" s="21" t="n">
        <v>3.45665E7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31.0</v>
      </c>
      <c r="F150" s="22" t="n">
        <f>0</f>
        <v>0.0</v>
      </c>
      <c r="G150" s="21" t="n">
        <v>2.86384E7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83.0</v>
      </c>
      <c r="F151" s="26" t="n">
        <f>0</f>
        <v>0.0</v>
      </c>
      <c r="G151" s="25" t="n">
        <v>7.71505E7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383.0</v>
      </c>
      <c r="F152" s="18" t="n">
        <f>0</f>
        <v>0.0</v>
      </c>
      <c r="G152" s="17" t="n">
        <v>3.483595E8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203.0</v>
      </c>
      <c r="F153" s="22" t="n">
        <f>0</f>
        <v>0.0</v>
      </c>
      <c r="G153" s="21" t="n">
        <v>1.851039E8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295.0</v>
      </c>
      <c r="F154" s="22" t="n">
        <f>0</f>
        <v>0.0</v>
      </c>
      <c r="G154" s="21" t="n">
        <v>2.665529E8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881.0</v>
      </c>
      <c r="F155" s="26" t="n">
        <f>0</f>
        <v>0.0</v>
      </c>
      <c r="G155" s="25" t="n">
        <v>8.000163E8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95.0</v>
      </c>
      <c r="F156" s="18" t="n">
        <f>0</f>
        <v>0.0</v>
      </c>
      <c r="G156" s="17" t="n">
        <v>8.62427E7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446.0</v>
      </c>
      <c r="F157" s="22" t="n">
        <f>0</f>
        <v>0.0</v>
      </c>
      <c r="G157" s="21" t="n">
        <v>4.09371E8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438.0</v>
      </c>
      <c r="F158" s="22" t="n">
        <f>0</f>
        <v>0.0</v>
      </c>
      <c r="G158" s="21" t="n">
        <v>3.982227E8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979.0</v>
      </c>
      <c r="F159" s="26" t="n">
        <f>0</f>
        <v>0.0</v>
      </c>
      <c r="G159" s="25" t="n">
        <v>8.938364E8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65.0</v>
      </c>
      <c r="F168" s="18" t="n">
        <f>0</f>
        <v>0.0</v>
      </c>
      <c r="G168" s="17" t="n">
        <v>1.441835E8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107.0</v>
      </c>
      <c r="F169" s="22" t="n">
        <f>0</f>
        <v>0.0</v>
      </c>
      <c r="G169" s="21" t="n">
        <v>2.371045E8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523.0</v>
      </c>
      <c r="F170" s="22" t="n">
        <f>37</f>
        <v>37.0</v>
      </c>
      <c r="G170" s="21" t="n">
        <v>1.1524295E9</v>
      </c>
      <c r="H170" s="22" t="n">
        <f>80252000</f>
        <v>8.0252E7</v>
      </c>
    </row>
    <row r="171" spans="1:8" ht="24.9" customHeight="1">
      <c r="A171" s="51"/>
      <c r="B171" s="57"/>
      <c r="C171" s="39"/>
      <c r="D171" s="24" t="s">
        <v>18</v>
      </c>
      <c r="E171" s="25" t="n">
        <v>695.0</v>
      </c>
      <c r="F171" s="26" t="n">
        <f>37</f>
        <v>37.0</v>
      </c>
      <c r="G171" s="25" t="n">
        <v>1.5337175E9</v>
      </c>
      <c r="H171" s="26" t="n">
        <f>80252000</f>
        <v>8.0252E7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626.0</v>
      </c>
      <c r="F204" s="18" t="n">
        <f>0</f>
        <v>0.0</v>
      </c>
      <c r="G204" s="17" t="n">
        <v>2.301749E9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134.0</v>
      </c>
      <c r="F205" s="22" t="n">
        <f>0</f>
        <v>0.0</v>
      </c>
      <c r="G205" s="21" t="n">
        <v>4.86922E8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1776.0</v>
      </c>
      <c r="F206" s="22" t="n">
        <f>4</f>
        <v>4.0</v>
      </c>
      <c r="G206" s="21" t="n">
        <v>6.4135705E9</v>
      </c>
      <c r="H206" s="22" t="n">
        <f>14488000</f>
        <v>1.4488E7</v>
      </c>
    </row>
    <row r="207" spans="1:8" ht="24.9" customHeight="1">
      <c r="A207" s="57"/>
      <c r="B207" s="59"/>
      <c r="C207" s="39"/>
      <c r="D207" s="24" t="s">
        <v>18</v>
      </c>
      <c r="E207" s="25" t="n">
        <v>2536.0</v>
      </c>
      <c r="F207" s="26" t="n">
        <f>4</f>
        <v>4.0</v>
      </c>
      <c r="G207" s="25" t="n">
        <v>9.2022415E9</v>
      </c>
      <c r="H207" s="26" t="n">
        <f>14488000</f>
        <v>1.4488E7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42.0</v>
      </c>
      <c r="F210" s="22" t="n">
        <f>40</f>
        <v>40.0</v>
      </c>
      <c r="G210" s="21" t="n">
        <v>5.71392E7</v>
      </c>
      <c r="H210" s="22" t="n">
        <f>53865600</f>
        <v>5.38656E7</v>
      </c>
    </row>
    <row r="211" spans="1:8" ht="24.9" customHeight="1">
      <c r="A211" s="57"/>
      <c r="B211" s="59"/>
      <c r="C211" s="39"/>
      <c r="D211" s="24" t="s">
        <v>18</v>
      </c>
      <c r="E211" s="25" t="n">
        <v>42.0</v>
      </c>
      <c r="F211" s="26" t="n">
        <f>40</f>
        <v>40.0</v>
      </c>
      <c r="G211" s="25" t="n">
        <v>5.71392E7</v>
      </c>
      <c r="H211" s="26" t="n">
        <f>53865600</f>
        <v>5.38656E7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46190.0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46190.0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2313</f>
        <v>2313.0</v>
      </c>
      <c r="E12" s="35" t="n">
        <f>845</f>
        <v>845.0</v>
      </c>
      <c r="F12" s="17" t="n">
        <f>1516</f>
        <v>1516.0</v>
      </c>
      <c r="G12" s="35" t="n">
        <f>377</f>
        <v>377.0</v>
      </c>
      <c r="H12" s="17" t="n">
        <f>3829</f>
        <v>3829.0</v>
      </c>
      <c r="I12" s="35" t="n">
        <f>1222</f>
        <v>1222.0</v>
      </c>
      <c r="J12" s="17" t="n">
        <f>613079720</f>
        <v>6.1307972E8</v>
      </c>
      <c r="K12" s="35" t="n">
        <f>195057720</f>
        <v>1.9505772E8</v>
      </c>
      <c r="L12" s="17" t="n">
        <f>863895590</f>
        <v>8.6389559E8</v>
      </c>
      <c r="M12" s="35" t="n">
        <f>436360590</f>
        <v>4.3636059E8</v>
      </c>
      <c r="N12" s="17" t="n">
        <f>1476975310</f>
        <v>1.47697531E9</v>
      </c>
      <c r="O12" s="35" t="n">
        <f>631418310</f>
        <v>6.3141831E8</v>
      </c>
    </row>
    <row r="13" spans="1:15" ht="24.9" customHeight="1">
      <c r="A13" s="38"/>
      <c r="B13" s="62"/>
      <c r="C13" s="20" t="s">
        <v>16</v>
      </c>
      <c r="D13" s="21" t="n">
        <f>4801</f>
        <v>4801.0</v>
      </c>
      <c r="E13" s="36" t="n">
        <f>2443</f>
        <v>2443.0</v>
      </c>
      <c r="F13" s="21" t="n">
        <f>5135</f>
        <v>5135.0</v>
      </c>
      <c r="G13" s="36" t="n">
        <f>3198</f>
        <v>3198.0</v>
      </c>
      <c r="H13" s="21" t="n">
        <f>9936</f>
        <v>9936.0</v>
      </c>
      <c r="I13" s="36" t="n">
        <f>5641</f>
        <v>5641.0</v>
      </c>
      <c r="J13" s="21" t="n">
        <f>2558697150</f>
        <v>2.55869715E9</v>
      </c>
      <c r="K13" s="36" t="n">
        <f>1742554150</f>
        <v>1.74255415E9</v>
      </c>
      <c r="L13" s="21" t="n">
        <f>5914829093</f>
        <v>5.914829093E9</v>
      </c>
      <c r="M13" s="36" t="n">
        <f>5213515093</f>
        <v>5.213515093E9</v>
      </c>
      <c r="N13" s="21" t="n">
        <f>8473526243</f>
        <v>8.473526243E9</v>
      </c>
      <c r="O13" s="36" t="n">
        <f>6956069243</f>
        <v>6.956069243E9</v>
      </c>
    </row>
    <row r="14" spans="1:15" ht="24.9" customHeight="1">
      <c r="A14" s="38"/>
      <c r="B14" s="62"/>
      <c r="C14" s="20" t="s">
        <v>17</v>
      </c>
      <c r="D14" s="21" t="n">
        <f>15770</f>
        <v>15770.0</v>
      </c>
      <c r="E14" s="36" t="n">
        <f>12899</f>
        <v>12899.0</v>
      </c>
      <c r="F14" s="21" t="n">
        <f>8547</f>
        <v>8547.0</v>
      </c>
      <c r="G14" s="36" t="n">
        <f>6573</f>
        <v>6573.0</v>
      </c>
      <c r="H14" s="21" t="n">
        <f>24317</f>
        <v>24317.0</v>
      </c>
      <c r="I14" s="36" t="n">
        <f>19472</f>
        <v>19472.0</v>
      </c>
      <c r="J14" s="21" t="n">
        <f>30995318810</f>
        <v>3.099531881E10</v>
      </c>
      <c r="K14" s="36" t="n">
        <f>29933140810</f>
        <v>2.993314081E10</v>
      </c>
      <c r="L14" s="21" t="n">
        <f>50338296840</f>
        <v>5.033829684E10</v>
      </c>
      <c r="M14" s="36" t="n">
        <f>49182602840</f>
        <v>4.918260284E10</v>
      </c>
      <c r="N14" s="21" t="n">
        <f>81333615650</f>
        <v>8.133361565E10</v>
      </c>
      <c r="O14" s="36" t="n">
        <f>79115743650</f>
        <v>7.911574365E10</v>
      </c>
    </row>
    <row r="15" spans="1:15" ht="24.9" customHeight="1">
      <c r="A15" s="38"/>
      <c r="B15" s="62"/>
      <c r="C15" s="24" t="s">
        <v>18</v>
      </c>
      <c r="D15" s="25" t="n">
        <f>22884</f>
        <v>22884.0</v>
      </c>
      <c r="E15" s="37" t="n">
        <f>16187</f>
        <v>16187.0</v>
      </c>
      <c r="F15" s="25" t="n">
        <f>15198</f>
        <v>15198.0</v>
      </c>
      <c r="G15" s="37" t="n">
        <f>10148</f>
        <v>10148.0</v>
      </c>
      <c r="H15" s="25" t="n">
        <f>38082</f>
        <v>38082.0</v>
      </c>
      <c r="I15" s="37" t="n">
        <f>26335</f>
        <v>26335.0</v>
      </c>
      <c r="J15" s="25" t="n">
        <f>34167095680</f>
        <v>3.416709568E10</v>
      </c>
      <c r="K15" s="37" t="n">
        <f>31870752680</f>
        <v>3.187075268E10</v>
      </c>
      <c r="L15" s="25" t="n">
        <f>57117021523</f>
        <v>5.7117021523E10</v>
      </c>
      <c r="M15" s="37" t="n">
        <f>54832478523</f>
        <v>5.4832478523E10</v>
      </c>
      <c r="N15" s="25" t="n">
        <f>91284117203</f>
        <v>9.1284117203E10</v>
      </c>
      <c r="O15" s="37" t="n">
        <f>86703231203</f>
        <v>8.6703231203E10</v>
      </c>
    </row>
    <row r="16" spans="1:15" ht="24.9" customHeight="1">
      <c r="A16" s="38"/>
      <c r="B16" s="61" t="s">
        <v>105</v>
      </c>
      <c r="C16" s="16" t="s">
        <v>15</v>
      </c>
      <c r="D16" s="17" t="n">
        <f>11398</f>
        <v>11398.0</v>
      </c>
      <c r="E16" s="35" t="n">
        <f>1840</f>
        <v>1840.0</v>
      </c>
      <c r="F16" s="17" t="n">
        <f>4939</f>
        <v>4939.0</v>
      </c>
      <c r="G16" s="35" t="n">
        <f>530</f>
        <v>530.0</v>
      </c>
      <c r="H16" s="17" t="n">
        <f>16337</f>
        <v>16337.0</v>
      </c>
      <c r="I16" s="35" t="n">
        <f>2370</f>
        <v>2370.0</v>
      </c>
      <c r="J16" s="17" t="n">
        <f>212811850</f>
        <v>2.1281185E8</v>
      </c>
      <c r="K16" s="35" t="n">
        <f>9336450</f>
        <v>9336450.0</v>
      </c>
      <c r="L16" s="17" t="n">
        <f>248544610</f>
        <v>2.4854461E8</v>
      </c>
      <c r="M16" s="35" t="n">
        <f>9769910</f>
        <v>9769910.0</v>
      </c>
      <c r="N16" s="17" t="n">
        <f>461356460</f>
        <v>4.6135646E8</v>
      </c>
      <c r="O16" s="35" t="n">
        <f>19106360</f>
        <v>1.910636E7</v>
      </c>
    </row>
    <row r="17" spans="1:15" ht="24.9" customHeight="1">
      <c r="A17" s="38"/>
      <c r="B17" s="62"/>
      <c r="C17" s="20" t="s">
        <v>16</v>
      </c>
      <c r="D17" s="21" t="n">
        <f>14392</f>
        <v>14392.0</v>
      </c>
      <c r="E17" s="36" t="n">
        <f>1550</f>
        <v>1550.0</v>
      </c>
      <c r="F17" s="21" t="n">
        <f>7383</f>
        <v>7383.0</v>
      </c>
      <c r="G17" s="36" t="n">
        <f>510</f>
        <v>510.0</v>
      </c>
      <c r="H17" s="21" t="n">
        <f>21775</f>
        <v>21775.0</v>
      </c>
      <c r="I17" s="36" t="n">
        <f>2060</f>
        <v>2060.0</v>
      </c>
      <c r="J17" s="21" t="n">
        <f>265035980</f>
        <v>2.6503598E8</v>
      </c>
      <c r="K17" s="36" t="n">
        <f>11056180</f>
        <v>1.105618E7</v>
      </c>
      <c r="L17" s="21" t="n">
        <f>240636880</f>
        <v>2.4063688E8</v>
      </c>
      <c r="M17" s="36" t="n">
        <f>7438380</f>
        <v>7438380.0</v>
      </c>
      <c r="N17" s="21" t="n">
        <f>505672860</f>
        <v>5.0567286E8</v>
      </c>
      <c r="O17" s="36" t="n">
        <f>18494560</f>
        <v>1.849456E7</v>
      </c>
    </row>
    <row r="18" spans="1:15" ht="24.9" customHeight="1">
      <c r="A18" s="38"/>
      <c r="B18" s="62"/>
      <c r="C18" s="20" t="s">
        <v>17</v>
      </c>
      <c r="D18" s="21" t="n">
        <f>13345</f>
        <v>13345.0</v>
      </c>
      <c r="E18" s="36" t="n">
        <f>1680</f>
        <v>1680.0</v>
      </c>
      <c r="F18" s="21" t="n">
        <f>5818</f>
        <v>5818.0</v>
      </c>
      <c r="G18" s="36" t="n">
        <f>410</f>
        <v>410.0</v>
      </c>
      <c r="H18" s="21" t="n">
        <f>19163</f>
        <v>19163.0</v>
      </c>
      <c r="I18" s="36" t="n">
        <f>2090</f>
        <v>2090.0</v>
      </c>
      <c r="J18" s="21" t="n">
        <f>313856370</f>
        <v>3.1385637E8</v>
      </c>
      <c r="K18" s="36" t="n">
        <f>9294170</f>
        <v>9294170.0</v>
      </c>
      <c r="L18" s="21" t="n">
        <f>298409770</f>
        <v>2.9840977E8</v>
      </c>
      <c r="M18" s="36" t="n">
        <f>3986170</f>
        <v>3986170.0</v>
      </c>
      <c r="N18" s="21" t="n">
        <f>612266140</f>
        <v>6.1226614E8</v>
      </c>
      <c r="O18" s="36" t="n">
        <f>13280340</f>
        <v>1.328034E7</v>
      </c>
    </row>
    <row r="19" spans="1:15" ht="24.9" customHeight="1">
      <c r="A19" s="38"/>
      <c r="B19" s="62"/>
      <c r="C19" s="24" t="s">
        <v>18</v>
      </c>
      <c r="D19" s="25" t="n">
        <f>39135</f>
        <v>39135.0</v>
      </c>
      <c r="E19" s="37" t="n">
        <f>5070</f>
        <v>5070.0</v>
      </c>
      <c r="F19" s="25" t="n">
        <f>18140</f>
        <v>18140.0</v>
      </c>
      <c r="G19" s="37" t="n">
        <f>1450</f>
        <v>1450.0</v>
      </c>
      <c r="H19" s="25" t="n">
        <f>57275</f>
        <v>57275.0</v>
      </c>
      <c r="I19" s="37" t="n">
        <f>6520</f>
        <v>6520.0</v>
      </c>
      <c r="J19" s="25" t="n">
        <f>791704200</f>
        <v>7.917042E8</v>
      </c>
      <c r="K19" s="37" t="n">
        <f>29686800</f>
        <v>2.96868E7</v>
      </c>
      <c r="L19" s="25" t="n">
        <f>787591260</f>
        <v>7.8759126E8</v>
      </c>
      <c r="M19" s="37" t="n">
        <f>21194460</f>
        <v>2.119446E7</v>
      </c>
      <c r="N19" s="25" t="n">
        <f>1579295460</f>
        <v>1.57929546E9</v>
      </c>
      <c r="O19" s="37" t="n">
        <f>50881260</f>
        <v>5.088126E7</v>
      </c>
    </row>
    <row r="20" spans="1:15" ht="24.9" customHeight="1">
      <c r="A20" s="38"/>
      <c r="B20" s="61" t="s">
        <v>106</v>
      </c>
      <c r="C20" s="16" t="s">
        <v>15</v>
      </c>
      <c r="D20" s="17" t="n">
        <f>22</f>
        <v>22.0</v>
      </c>
      <c r="E20" s="35" t="n">
        <f>22</f>
        <v>22.0</v>
      </c>
      <c r="F20" s="17" t="n">
        <f>0</f>
        <v>0.0</v>
      </c>
      <c r="G20" s="35" t="n">
        <f>0</f>
        <v>0.0</v>
      </c>
      <c r="H20" s="17" t="n">
        <f>22</f>
        <v>22.0</v>
      </c>
      <c r="I20" s="35" t="n">
        <f>22</f>
        <v>22.0</v>
      </c>
      <c r="J20" s="17" t="n">
        <f>14913170</f>
        <v>1.491317E7</v>
      </c>
      <c r="K20" s="35" t="n">
        <f>14913170</f>
        <v>1.491317E7</v>
      </c>
      <c r="L20" s="17" t="n">
        <f>0</f>
        <v>0.0</v>
      </c>
      <c r="M20" s="35" t="n">
        <f>0</f>
        <v>0.0</v>
      </c>
      <c r="N20" s="17" t="n">
        <f>14913170</f>
        <v>1.491317E7</v>
      </c>
      <c r="O20" s="35" t="n">
        <f>14913170</f>
        <v>1.491317E7</v>
      </c>
    </row>
    <row r="21" spans="1:15" ht="24.9" customHeight="1">
      <c r="A21" s="38"/>
      <c r="B21" s="62"/>
      <c r="C21" s="20" t="s">
        <v>16</v>
      </c>
      <c r="D21" s="21" t="n">
        <f>15</f>
        <v>15.0</v>
      </c>
      <c r="E21" s="36" t="n">
        <f>0</f>
        <v>0.0</v>
      </c>
      <c r="F21" s="21" t="n">
        <f>90</f>
        <v>90.0</v>
      </c>
      <c r="G21" s="36" t="n">
        <f>90</f>
        <v>90.0</v>
      </c>
      <c r="H21" s="21" t="n">
        <f>105</f>
        <v>105.0</v>
      </c>
      <c r="I21" s="36" t="n">
        <f>90</f>
        <v>90.0</v>
      </c>
      <c r="J21" s="21" t="n">
        <f>8625000</f>
        <v>8625000.0</v>
      </c>
      <c r="K21" s="36" t="n">
        <f>0</f>
        <v>0.0</v>
      </c>
      <c r="L21" s="21" t="n">
        <f>739007000</f>
        <v>7.39007E8</v>
      </c>
      <c r="M21" s="36" t="n">
        <f>739007000</f>
        <v>7.39007E8</v>
      </c>
      <c r="N21" s="21" t="n">
        <f>747632000</f>
        <v>7.47632E8</v>
      </c>
      <c r="O21" s="36" t="n">
        <f>739007000</f>
        <v>7.39007E8</v>
      </c>
    </row>
    <row r="22" spans="1:15" ht="24.9" customHeight="1">
      <c r="A22" s="38"/>
      <c r="B22" s="62"/>
      <c r="C22" s="20" t="s">
        <v>17</v>
      </c>
      <c r="D22" s="21" t="n">
        <f>3416</f>
        <v>3416.0</v>
      </c>
      <c r="E22" s="36" t="n">
        <f>3416</f>
        <v>3416.0</v>
      </c>
      <c r="F22" s="21" t="n">
        <f>160</f>
        <v>160.0</v>
      </c>
      <c r="G22" s="36" t="n">
        <f>160</f>
        <v>160.0</v>
      </c>
      <c r="H22" s="21" t="n">
        <f>3576</f>
        <v>3576.0</v>
      </c>
      <c r="I22" s="36" t="n">
        <f>3576</f>
        <v>3576.0</v>
      </c>
      <c r="J22" s="21" t="n">
        <f>4313299010</f>
        <v>4.31329901E9</v>
      </c>
      <c r="K22" s="36" t="n">
        <f>4313299010</f>
        <v>4.31329901E9</v>
      </c>
      <c r="L22" s="21" t="n">
        <f>303260000</f>
        <v>3.0326E8</v>
      </c>
      <c r="M22" s="36" t="n">
        <f>303260000</f>
        <v>3.0326E8</v>
      </c>
      <c r="N22" s="21" t="n">
        <f>4616559010</f>
        <v>4.61655901E9</v>
      </c>
      <c r="O22" s="36" t="n">
        <f>4616559010</f>
        <v>4.61655901E9</v>
      </c>
    </row>
    <row r="23" spans="1:15" ht="24.9" customHeight="1">
      <c r="A23" s="38"/>
      <c r="B23" s="62"/>
      <c r="C23" s="24" t="s">
        <v>18</v>
      </c>
      <c r="D23" s="25" t="n">
        <f>3453</f>
        <v>3453.0</v>
      </c>
      <c r="E23" s="37" t="n">
        <f>3438</f>
        <v>3438.0</v>
      </c>
      <c r="F23" s="25" t="n">
        <f>250</f>
        <v>250.0</v>
      </c>
      <c r="G23" s="37" t="n">
        <f>250</f>
        <v>250.0</v>
      </c>
      <c r="H23" s="25" t="n">
        <f>3703</f>
        <v>3703.0</v>
      </c>
      <c r="I23" s="37" t="n">
        <f>3688</f>
        <v>3688.0</v>
      </c>
      <c r="J23" s="25" t="n">
        <f>4336837180</f>
        <v>4.33683718E9</v>
      </c>
      <c r="K23" s="37" t="n">
        <f>4328212180</f>
        <v>4.32821218E9</v>
      </c>
      <c r="L23" s="25" t="n">
        <f>1042267000</f>
        <v>1.042267E9</v>
      </c>
      <c r="M23" s="37" t="n">
        <f>1042267000</f>
        <v>1.042267E9</v>
      </c>
      <c r="N23" s="25" t="n">
        <f>5379104180</f>
        <v>5.37910418E9</v>
      </c>
      <c r="O23" s="37" t="n">
        <f>5370479180</f>
        <v>5.37047918E9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15</f>
        <v>15.0</v>
      </c>
      <c r="E36" s="18" t="n">
        <f>0</f>
        <v>0.0</v>
      </c>
      <c r="F36" s="17" t="n">
        <f>2</f>
        <v>2.0</v>
      </c>
      <c r="G36" s="18" t="n">
        <f>0</f>
        <v>0.0</v>
      </c>
      <c r="H36" s="17" t="n">
        <f>17</f>
        <v>17.0</v>
      </c>
      <c r="I36" s="18" t="n">
        <f>0</f>
        <v>0.0</v>
      </c>
      <c r="J36" s="17" t="n">
        <f>1950000</f>
        <v>1950000.0</v>
      </c>
      <c r="K36" s="18" t="n">
        <f>0</f>
        <v>0.0</v>
      </c>
      <c r="L36" s="17" t="n">
        <f>250000</f>
        <v>250000.0</v>
      </c>
      <c r="M36" s="18" t="n">
        <f>0</f>
        <v>0.0</v>
      </c>
      <c r="N36" s="17" t="n">
        <f>2200000</f>
        <v>2200000.0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148</f>
        <v>148.0</v>
      </c>
      <c r="E37" s="22" t="n">
        <f>100</f>
        <v>100.0</v>
      </c>
      <c r="F37" s="21" t="n">
        <f>4</f>
        <v>4.0</v>
      </c>
      <c r="G37" s="22" t="n">
        <f>0</f>
        <v>0.0</v>
      </c>
      <c r="H37" s="21" t="n">
        <f>152</f>
        <v>152.0</v>
      </c>
      <c r="I37" s="22" t="n">
        <f>100</f>
        <v>100.0</v>
      </c>
      <c r="J37" s="21" t="n">
        <f>27075000</f>
        <v>2.7075E7</v>
      </c>
      <c r="K37" s="22" t="n">
        <f>15375000</f>
        <v>1.5375E7</v>
      </c>
      <c r="L37" s="21" t="n">
        <f>1010000</f>
        <v>1010000.0</v>
      </c>
      <c r="M37" s="22" t="n">
        <f>0</f>
        <v>0.0</v>
      </c>
      <c r="N37" s="21" t="n">
        <f>28085000</f>
        <v>2.8085E7</v>
      </c>
      <c r="O37" s="22" t="n">
        <f>15375000</f>
        <v>1.5375E7</v>
      </c>
    </row>
    <row r="38" spans="1:15" ht="24.9" customHeight="1">
      <c r="A38" s="38"/>
      <c r="B38" s="62"/>
      <c r="C38" s="20" t="s">
        <v>17</v>
      </c>
      <c r="D38" s="21" t="n">
        <f>263</f>
        <v>263.0</v>
      </c>
      <c r="E38" s="36" t="n">
        <f>100</f>
        <v>100.0</v>
      </c>
      <c r="F38" s="21" t="n">
        <f>216</f>
        <v>216.0</v>
      </c>
      <c r="G38" s="36" t="n">
        <f>0</f>
        <v>0.0</v>
      </c>
      <c r="H38" s="21" t="n">
        <f>479</f>
        <v>479.0</v>
      </c>
      <c r="I38" s="36" t="n">
        <f>100</f>
        <v>100.0</v>
      </c>
      <c r="J38" s="21" t="n">
        <f>23770000</f>
        <v>2.377E7</v>
      </c>
      <c r="K38" s="36" t="n">
        <f>15000000</f>
        <v>1.5E7</v>
      </c>
      <c r="L38" s="21" t="n">
        <f>23010000</f>
        <v>2.301E7</v>
      </c>
      <c r="M38" s="36" t="n">
        <f>0</f>
        <v>0.0</v>
      </c>
      <c r="N38" s="21" t="n">
        <f>46780000</f>
        <v>4.678E7</v>
      </c>
      <c r="O38" s="36" t="n">
        <f>15000000</f>
        <v>1.5E7</v>
      </c>
    </row>
    <row r="39" spans="1:15" ht="24.9" customHeight="1">
      <c r="A39" s="38"/>
      <c r="B39" s="62"/>
      <c r="C39" s="24" t="s">
        <v>18</v>
      </c>
      <c r="D39" s="25" t="n">
        <f>426</f>
        <v>426.0</v>
      </c>
      <c r="E39" s="37" t="n">
        <f>200</f>
        <v>200.0</v>
      </c>
      <c r="F39" s="25" t="n">
        <f>222</f>
        <v>222.0</v>
      </c>
      <c r="G39" s="37" t="n">
        <f>0</f>
        <v>0.0</v>
      </c>
      <c r="H39" s="25" t="n">
        <f>648</f>
        <v>648.0</v>
      </c>
      <c r="I39" s="37" t="n">
        <f>200</f>
        <v>200.0</v>
      </c>
      <c r="J39" s="25" t="n">
        <f>52795000</f>
        <v>5.2795E7</v>
      </c>
      <c r="K39" s="37" t="n">
        <f>30375000</f>
        <v>3.0375E7</v>
      </c>
      <c r="L39" s="25" t="n">
        <f>24270000</f>
        <v>2.427E7</v>
      </c>
      <c r="M39" s="37" t="n">
        <f>0</f>
        <v>0.0</v>
      </c>
      <c r="N39" s="25" t="n">
        <f>77065000</f>
        <v>7.7065E7</v>
      </c>
      <c r="O39" s="37" t="n">
        <f>30375000</f>
        <v>3.0375E7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1054</f>
        <v>1054.0</v>
      </c>
      <c r="E41" s="36" t="n">
        <f>0</f>
        <v>0.0</v>
      </c>
      <c r="F41" s="21" t="n">
        <f>5506</f>
        <v>5506.0</v>
      </c>
      <c r="G41" s="36" t="n">
        <f>0</f>
        <v>0.0</v>
      </c>
      <c r="H41" s="21" t="n">
        <f>6560</f>
        <v>6560.0</v>
      </c>
      <c r="I41" s="36" t="n">
        <f>0</f>
        <v>0.0</v>
      </c>
      <c r="J41" s="21" t="n">
        <f>27968360</f>
        <v>2.796836E7</v>
      </c>
      <c r="K41" s="36" t="n">
        <f>0</f>
        <v>0.0</v>
      </c>
      <c r="L41" s="21" t="n">
        <f>11185832</f>
        <v>1.1185832E7</v>
      </c>
      <c r="M41" s="36" t="n">
        <f>0</f>
        <v>0.0</v>
      </c>
      <c r="N41" s="21" t="n">
        <f>39154192</f>
        <v>3.9154192E7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8926</f>
        <v>8926.0</v>
      </c>
      <c r="E42" s="36" t="n">
        <f>7100</f>
        <v>7100.0</v>
      </c>
      <c r="F42" s="21" t="n">
        <f>10171</f>
        <v>10171.0</v>
      </c>
      <c r="G42" s="36" t="n">
        <f>2400</f>
        <v>2400.0</v>
      </c>
      <c r="H42" s="21" t="n">
        <f>19097</f>
        <v>19097.0</v>
      </c>
      <c r="I42" s="36" t="n">
        <f>9500</f>
        <v>9500.0</v>
      </c>
      <c r="J42" s="21" t="n">
        <f>128939080</f>
        <v>1.2893908E8</v>
      </c>
      <c r="K42" s="36" t="n">
        <f>57975000</f>
        <v>5.7975E7</v>
      </c>
      <c r="L42" s="21" t="n">
        <f>35722198</f>
        <v>3.5722198E7</v>
      </c>
      <c r="M42" s="36" t="n">
        <f>11640000</f>
        <v>1.164E7</v>
      </c>
      <c r="N42" s="21" t="n">
        <f>164661278</f>
        <v>1.64661278E8</v>
      </c>
      <c r="O42" s="36" t="n">
        <f>69615000</f>
        <v>6.9615E7</v>
      </c>
    </row>
    <row r="43" spans="1:15" ht="24.9" customHeight="1">
      <c r="A43" s="38"/>
      <c r="B43" s="62"/>
      <c r="C43" s="24" t="s">
        <v>18</v>
      </c>
      <c r="D43" s="25" t="n">
        <f>9980</f>
        <v>9980.0</v>
      </c>
      <c r="E43" s="37" t="n">
        <f>7100</f>
        <v>7100.0</v>
      </c>
      <c r="F43" s="25" t="n">
        <f>15677</f>
        <v>15677.0</v>
      </c>
      <c r="G43" s="37" t="n">
        <f>2400</f>
        <v>2400.0</v>
      </c>
      <c r="H43" s="25" t="n">
        <f>25657</f>
        <v>25657.0</v>
      </c>
      <c r="I43" s="37" t="n">
        <f>9500</f>
        <v>9500.0</v>
      </c>
      <c r="J43" s="25" t="n">
        <f>156907440</f>
        <v>1.5690744E8</v>
      </c>
      <c r="K43" s="37" t="n">
        <f>57975000</f>
        <v>5.7975E7</v>
      </c>
      <c r="L43" s="25" t="n">
        <f>46908030</f>
        <v>4.690803E7</v>
      </c>
      <c r="M43" s="37" t="n">
        <f>11640000</f>
        <v>1.164E7</v>
      </c>
      <c r="N43" s="25" t="n">
        <f>203815470</f>
        <v>2.0381547E8</v>
      </c>
      <c r="O43" s="37" t="n">
        <f>69615000</f>
        <v>6.9615E7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