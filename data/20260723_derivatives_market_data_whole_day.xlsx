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<sst xmlns="http://schemas.openxmlformats.org/spreadsheetml/2006/main" count="528" uniqueCount="129">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</sst>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DATE(2026,07,23)</f>
        <v>46226.0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DATE(2026,07,23)</f>
        <v>46226.0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663373.0</f>
        <v>663373.0</v>
      </c>
      <c r="E12" s="18" t="n">
        <f>29409.0</f>
        <v>29409.0</v>
      </c>
      <c r="F12" s="19" t="n">
        <f>1.0</f>
        <v>1.0</v>
      </c>
      <c r="G12" s="17" t="n">
        <f>4946162079400.0</f>
        <v>4.9461620794E12</v>
      </c>
      <c r="H12" s="18" t="n">
        <f>309870447700.0</f>
        <v>3.098704477E11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448190.0</f>
        <v>448190.0</v>
      </c>
      <c r="E13" s="22" t="n">
        <f>19133.0</f>
        <v>19133.0</v>
      </c>
      <c r="F13" s="23" t="n">
        <f>1.0</f>
        <v>1.0</v>
      </c>
      <c r="G13" s="21" t="n">
        <f>4776938523440.0</f>
        <v>4.77693852344E12</v>
      </c>
      <c r="H13" s="22" t="n">
        <f>285162126590.0</f>
        <v>2.8516212659E11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455895.0</f>
        <v>455895.0</v>
      </c>
      <c r="E14" s="22" t="n">
        <f>25397.0</f>
        <v>25397.0</v>
      </c>
      <c r="F14" s="23" t="n">
        <f>1.0</f>
        <v>1.0</v>
      </c>
      <c r="G14" s="21" t="n">
        <f>5064515804965.0</f>
        <v>5.064515804965E12</v>
      </c>
      <c r="H14" s="22" t="n">
        <f>578630315065.0</f>
        <v>5.78630315065E11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1567458.0</f>
        <v>1567458.0</v>
      </c>
      <c r="E15" s="26" t="n">
        <f>73939.0</f>
        <v>73939.0</v>
      </c>
      <c r="F15" s="27" t="n">
        <f>1.0</f>
        <v>1.0</v>
      </c>
      <c r="G15" s="25" t="n">
        <f>14787616407805.0</f>
        <v>1.4787616407805E13</v>
      </c>
      <c r="H15" s="26" t="n">
        <f>1173662889355.0</f>
        <v>1.173662889355E12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19391.0</f>
        <v>19391.0</v>
      </c>
      <c r="E16" s="18" t="n">
        <f>322.0</f>
        <v>322.0</v>
      </c>
      <c r="F16" s="19" t="n">
        <f>0.029</f>
        <v>0.029</v>
      </c>
      <c r="G16" s="17" t="n">
        <f>1839759527500.0</f>
        <v>1.8397595275E12</v>
      </c>
      <c r="H16" s="18" t="n">
        <f>41023055000.0</f>
        <v>4.1023055E10</v>
      </c>
      <c r="I16" s="19" t="n">
        <f>0.372</f>
        <v>0.372</v>
      </c>
    </row>
    <row r="17" spans="1:9" ht="24.9" customHeight="1">
      <c r="A17" s="41"/>
      <c r="B17" s="39"/>
      <c r="C17" s="20" t="s">
        <v>16</v>
      </c>
      <c r="D17" s="21" t="n">
        <f>18588.0</f>
        <v>18588.0</v>
      </c>
      <c r="E17" s="22" t="n">
        <f>1025.0</f>
        <v>1025.0</v>
      </c>
      <c r="F17" s="23" t="n">
        <f>0.041</f>
        <v>0.041</v>
      </c>
      <c r="G17" s="21" t="n">
        <f>2221652341000.0</f>
        <v>2.221652341E12</v>
      </c>
      <c r="H17" s="22" t="n">
        <f>130483150000.0</f>
        <v>1.3048315E11</v>
      </c>
      <c r="I17" s="23" t="n">
        <f>0.465</f>
        <v>0.465</v>
      </c>
    </row>
    <row r="18" spans="1:9" ht="24.9" customHeight="1">
      <c r="A18" s="41"/>
      <c r="B18" s="39"/>
      <c r="C18" s="20" t="s">
        <v>17</v>
      </c>
      <c r="D18" s="21" t="n">
        <f>17546.0</f>
        <v>17546.0</v>
      </c>
      <c r="E18" s="22" t="n">
        <f>1117.0</f>
        <v>1117.0</v>
      </c>
      <c r="F18" s="23" t="n">
        <f>0.038</f>
        <v>0.038</v>
      </c>
      <c r="G18" s="21" t="n">
        <f>1809061647000.0</f>
        <v>1.809061647E12</v>
      </c>
      <c r="H18" s="22" t="n">
        <f>142101660000.0</f>
        <v>1.4210166E11</v>
      </c>
      <c r="I18" s="23" t="n">
        <f>0.357</f>
        <v>0.357</v>
      </c>
    </row>
    <row r="19" spans="1:9" ht="24.9" customHeight="1">
      <c r="A19" s="41"/>
      <c r="B19" s="39"/>
      <c r="C19" s="24" t="s">
        <v>18</v>
      </c>
      <c r="D19" s="25" t="n">
        <f>55525.0</f>
        <v>55525.0</v>
      </c>
      <c r="E19" s="26" t="n">
        <f>2464.0</f>
        <v>2464.0</v>
      </c>
      <c r="F19" s="27" t="n">
        <f>0.035</f>
        <v>0.035</v>
      </c>
      <c r="G19" s="25" t="n">
        <f>5870473515500.0</f>
        <v>5.8704735155E12</v>
      </c>
      <c r="H19" s="26" t="n">
        <f>313607865000.0</f>
        <v>3.13607865E11</v>
      </c>
      <c r="I19" s="27" t="n">
        <f>0.397</f>
        <v>0.397</v>
      </c>
    </row>
    <row r="20" spans="1:9" ht="24.9" customHeight="1">
      <c r="A20" s="41"/>
      <c r="B20" s="39" t="s">
        <v>21</v>
      </c>
      <c r="C20" s="16" t="s">
        <v>15</v>
      </c>
      <c r="D20" s="17" t="n">
        <f>632177.0</f>
        <v>632177.0</v>
      </c>
      <c r="E20" s="18" t="n">
        <f>29087.0</f>
        <v>29087.0</v>
      </c>
      <c r="F20" s="19" t="n">
        <f>0.953</f>
        <v>0.953</v>
      </c>
      <c r="G20" s="17" t="n">
        <f>2980539102600.0</f>
        <v>2.9805391026E12</v>
      </c>
      <c r="H20" s="18" t="n">
        <f>268847392700.0</f>
        <v>2.688473927E11</v>
      </c>
      <c r="I20" s="19" t="n">
        <f>0.603</f>
        <v>0.603</v>
      </c>
    </row>
    <row r="21" spans="1:9" ht="24.9" customHeight="1">
      <c r="A21" s="41"/>
      <c r="B21" s="39"/>
      <c r="C21" s="20" t="s">
        <v>16</v>
      </c>
      <c r="D21" s="21" t="n">
        <f>424567.0</f>
        <v>424567.0</v>
      </c>
      <c r="E21" s="22" t="n">
        <f>18108.0</f>
        <v>18108.0</v>
      </c>
      <c r="F21" s="23" t="n">
        <f>0.947</f>
        <v>0.947</v>
      </c>
      <c r="G21" s="21" t="n">
        <f>2500450409490.0</f>
        <v>2.50045040949E12</v>
      </c>
      <c r="H21" s="22" t="n">
        <f>154678976590.0</f>
        <v>1.5467897659E11</v>
      </c>
      <c r="I21" s="23" t="n">
        <f>0.523</f>
        <v>0.523</v>
      </c>
    </row>
    <row r="22" spans="1:9" ht="24.9" customHeight="1">
      <c r="A22" s="41"/>
      <c r="B22" s="39"/>
      <c r="C22" s="20" t="s">
        <v>17</v>
      </c>
      <c r="D22" s="21" t="n">
        <f>432075.0</f>
        <v>432075.0</v>
      </c>
      <c r="E22" s="22" t="n">
        <f>24280.0</f>
        <v>24280.0</v>
      </c>
      <c r="F22" s="23" t="n">
        <f>0.948</f>
        <v>0.948</v>
      </c>
      <c r="G22" s="21" t="n">
        <f>3204646134115.0</f>
        <v>3.204646134115E12</v>
      </c>
      <c r="H22" s="22" t="n">
        <f>436528655065.0</f>
        <v>4.36528655065E11</v>
      </c>
      <c r="I22" s="23" t="n">
        <f>0.633</f>
        <v>0.633</v>
      </c>
    </row>
    <row r="23" spans="1:9" ht="24.9" customHeight="1">
      <c r="A23" s="41"/>
      <c r="B23" s="39"/>
      <c r="C23" s="24" t="s">
        <v>18</v>
      </c>
      <c r="D23" s="25" t="n">
        <f>1488819.0</f>
        <v>1488819.0</v>
      </c>
      <c r="E23" s="26" t="n">
        <f>71475.0</f>
        <v>71475.0</v>
      </c>
      <c r="F23" s="27" t="n">
        <f>0.95</f>
        <v>0.95</v>
      </c>
      <c r="G23" s="25" t="n">
        <f>8685635646205.0</f>
        <v>8.685635646205E12</v>
      </c>
      <c r="H23" s="26" t="n">
        <f>860055024355.0</f>
        <v>8.60055024355E11</v>
      </c>
      <c r="I23" s="27" t="n">
        <f>0.587</f>
        <v>0.587</v>
      </c>
    </row>
    <row r="24" spans="1:9" ht="24.9" customHeight="1">
      <c r="A24" s="41"/>
      <c r="B24" s="39" t="s">
        <v>22</v>
      </c>
      <c r="C24" s="16" t="s">
        <v>15</v>
      </c>
      <c r="D24" s="17" t="n">
        <f>11361.0</f>
        <v>11361.0</v>
      </c>
      <c r="E24" s="18" t="n">
        <f>0.0</f>
        <v>0.0</v>
      </c>
      <c r="F24" s="19" t="n">
        <f>0.017</f>
        <v>0.017</v>
      </c>
      <c r="G24" s="17" t="n">
        <f>124080267300.0</f>
        <v>1.240802673E11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4822.0</f>
        <v>4822.0</v>
      </c>
      <c r="E25" s="22" t="n">
        <f>0.0</f>
        <v>0.0</v>
      </c>
      <c r="F25" s="23" t="n">
        <f>0.011</f>
        <v>0.011</v>
      </c>
      <c r="G25" s="21" t="n">
        <f>53979774450.0</f>
        <v>5.397977445E10</v>
      </c>
      <c r="H25" s="22" t="n">
        <f>0.0</f>
        <v>0.0</v>
      </c>
      <c r="I25" s="23" t="n">
        <f>0.011</f>
        <v>0.011</v>
      </c>
    </row>
    <row r="26" spans="1:9" ht="24.9" customHeight="1">
      <c r="A26" s="41"/>
      <c r="B26" s="39"/>
      <c r="C26" s="20" t="s">
        <v>17</v>
      </c>
      <c r="D26" s="21" t="n">
        <f>5346.0</f>
        <v>5346.0</v>
      </c>
      <c r="E26" s="22" t="n">
        <f>0.0</f>
        <v>0.0</v>
      </c>
      <c r="F26" s="23" t="n">
        <f>0.012</f>
        <v>0.012</v>
      </c>
      <c r="G26" s="21" t="n">
        <f>47061678350.0</f>
        <v>4.706167835E10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21529.0</f>
        <v>21529.0</v>
      </c>
      <c r="E27" s="26" t="n">
        <f>0.0</f>
        <v>0.0</v>
      </c>
      <c r="F27" s="27" t="n">
        <f>0.014</f>
        <v>0.014</v>
      </c>
      <c r="G27" s="25" t="n">
        <f>225121720100.0</f>
        <v>2.251217201E11</v>
      </c>
      <c r="H27" s="26" t="n">
        <f>0.0</f>
        <v>0.0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444.0</f>
        <v>444.0</v>
      </c>
      <c r="E28" s="18" t="n">
        <f>0.0</f>
        <v>0.0</v>
      </c>
      <c r="F28" s="19" t="n">
        <f>0.001</f>
        <v>0.001</v>
      </c>
      <c r="G28" s="17" t="n">
        <f>1783182000.0</f>
        <v>1.783182E9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213.0</f>
        <v>213.0</v>
      </c>
      <c r="E29" s="22" t="n">
        <f>0.0</f>
        <v>0.0</v>
      </c>
      <c r="F29" s="23" t="n">
        <f>0.0</f>
        <v>0.0</v>
      </c>
      <c r="G29" s="21" t="n">
        <f>855998500.0</f>
        <v>8.559985E8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928.0</f>
        <v>928.0</v>
      </c>
      <c r="E30" s="22" t="n">
        <f>0.0</f>
        <v>0.0</v>
      </c>
      <c r="F30" s="23" t="n">
        <f>0.002</f>
        <v>0.002</v>
      </c>
      <c r="G30" s="21" t="n">
        <f>3746345500.0</f>
        <v>3.7463455E9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1585.0</f>
        <v>1585.0</v>
      </c>
      <c r="E31" s="26" t="n">
        <f>0.0</f>
        <v>0.0</v>
      </c>
      <c r="F31" s="27" t="n">
        <f>0.001</f>
        <v>0.001</v>
      </c>
      <c r="G31" s="25" t="n">
        <f>6385526000.0</f>
        <v>6.385526E9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46226.0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46226.0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22027</f>
        <v>22027.0</v>
      </c>
      <c r="E11" s="18" t="n">
        <f>3044</f>
        <v>3044.0</v>
      </c>
      <c r="F11" s="19" t="n">
        <f>1</f>
        <v>1.0</v>
      </c>
      <c r="G11" s="17" t="n">
        <f>3517026553</f>
        <v>3.517026553E9</v>
      </c>
      <c r="H11" s="18" t="n">
        <f>2199532853</f>
        <v>2.199532853E9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31185</f>
        <v>31185.0</v>
      </c>
      <c r="E12" s="22" t="n">
        <f>5928</f>
        <v>5928.0</v>
      </c>
      <c r="F12" s="23" t="n">
        <f>1</f>
        <v>1.0</v>
      </c>
      <c r="G12" s="21" t="n">
        <f>8765148283</f>
        <v>8.765148283E9</v>
      </c>
      <c r="H12" s="22" t="n">
        <f>6167598040</f>
        <v>6.16759804E9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48597</f>
        <v>48597.0</v>
      </c>
      <c r="E13" s="22" t="n">
        <f>17456</f>
        <v>17456.0</v>
      </c>
      <c r="F13" s="23" t="n">
        <f>1</f>
        <v>1.0</v>
      </c>
      <c r="G13" s="21" t="n">
        <f>14314225500</f>
        <v>1.43142255E10</v>
      </c>
      <c r="H13" s="22" t="n">
        <f>10229355500</f>
        <v>1.02293555E10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101809</f>
        <v>101809.0</v>
      </c>
      <c r="E14" s="26" t="n">
        <f>26428</f>
        <v>26428.0</v>
      </c>
      <c r="F14" s="27" t="n">
        <f>1</f>
        <v>1.0</v>
      </c>
      <c r="G14" s="25" t="n">
        <f>26596400336</f>
        <v>2.6596400336E10</v>
      </c>
      <c r="H14" s="26" t="n">
        <f>18596486393</f>
        <v>1.8596486393E10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108</f>
        <v>108.0</v>
      </c>
      <c r="E16" s="22" t="n">
        <f>25</f>
        <v>25.0</v>
      </c>
      <c r="F16" s="23" t="n">
        <f>0.003</f>
        <v>0.003</v>
      </c>
      <c r="G16" s="21" t="n">
        <f>17510000</f>
        <v>1.751E7</v>
      </c>
      <c r="H16" s="22" t="n">
        <f>5000000</f>
        <v>5000000.0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10</f>
        <v>10.0</v>
      </c>
      <c r="E17" s="22" t="n">
        <f>0</f>
        <v>0.0</v>
      </c>
      <c r="F17" s="23" t="n">
        <f>0</f>
        <v>0.0</v>
      </c>
      <c r="G17" s="21" t="n">
        <f>2300000</f>
        <v>2300000.0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118</f>
        <v>118.0</v>
      </c>
      <c r="E18" s="26" t="n">
        <f>25</f>
        <v>25.0</v>
      </c>
      <c r="F18" s="27" t="n">
        <f>0.001</f>
        <v>0.001</v>
      </c>
      <c r="G18" s="25" t="n">
        <f>19810000</f>
        <v>1.981E7</v>
      </c>
      <c r="H18" s="26" t="n">
        <f>5000000</f>
        <v>5000000.0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22027</f>
        <v>22027.0</v>
      </c>
      <c r="E19" s="18" t="n">
        <f>3044</f>
        <v>3044.0</v>
      </c>
      <c r="F19" s="19" t="n">
        <f>1</f>
        <v>1.0</v>
      </c>
      <c r="G19" s="17" t="n">
        <f>3517026553</f>
        <v>3.517026553E9</v>
      </c>
      <c r="H19" s="18" t="n">
        <f>2199532853</f>
        <v>2.199532853E9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30236</f>
        <v>30236.0</v>
      </c>
      <c r="E20" s="22" t="n">
        <f>5753</f>
        <v>5753.0</v>
      </c>
      <c r="F20" s="23" t="n">
        <f>0.97</f>
        <v>0.97</v>
      </c>
      <c r="G20" s="21" t="n">
        <f>8688036040</f>
        <v>8.68803604E9</v>
      </c>
      <c r="H20" s="22" t="n">
        <f>6111498040</f>
        <v>6.11149804E9</v>
      </c>
      <c r="I20" s="23" t="n">
        <f>0.991</f>
        <v>0.991</v>
      </c>
    </row>
    <row r="21" spans="1:9" ht="24.9" customHeight="1">
      <c r="A21" s="41"/>
      <c r="B21" s="39"/>
      <c r="C21" s="20" t="s">
        <v>17</v>
      </c>
      <c r="D21" s="21" t="n">
        <f>43823</f>
        <v>43823.0</v>
      </c>
      <c r="E21" s="22" t="n">
        <f>13456</f>
        <v>13456.0</v>
      </c>
      <c r="F21" s="23" t="n">
        <f>0.902</f>
        <v>0.902</v>
      </c>
      <c r="G21" s="21" t="n">
        <f>14217036600</f>
        <v>1.42170366E10</v>
      </c>
      <c r="H21" s="22" t="n">
        <f>10183355500</f>
        <v>1.01833555E10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96086</f>
        <v>96086.0</v>
      </c>
      <c r="E22" s="26" t="n">
        <f>22253</f>
        <v>22253.0</v>
      </c>
      <c r="F22" s="27" t="n">
        <f>0.944</f>
        <v>0.944</v>
      </c>
      <c r="G22" s="25" t="n">
        <f>26422099193</f>
        <v>2.6422099193E10</v>
      </c>
      <c r="H22" s="26" t="n">
        <f>18494386393</f>
        <v>1.8494386393E10</v>
      </c>
      <c r="I22" s="27" t="n">
        <f>0.993</f>
        <v>0.993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841</f>
        <v>841.0</v>
      </c>
      <c r="E24" s="22" t="n">
        <f>150</f>
        <v>150.0</v>
      </c>
      <c r="F24" s="23" t="n">
        <f>0.027</f>
        <v>0.027</v>
      </c>
      <c r="G24" s="21" t="n">
        <f>59602243</f>
        <v>5.9602243E7</v>
      </c>
      <c r="H24" s="22" t="n">
        <f>51100000</f>
        <v>5.11E7</v>
      </c>
      <c r="I24" s="23" t="n">
        <f>0.007</f>
        <v>0.007</v>
      </c>
    </row>
    <row r="25" spans="1:9" ht="24.9" customHeight="1">
      <c r="A25" s="41"/>
      <c r="B25" s="39"/>
      <c r="C25" s="20" t="s">
        <v>17</v>
      </c>
      <c r="D25" s="21" t="n">
        <f>4764</f>
        <v>4764.0</v>
      </c>
      <c r="E25" s="22" t="n">
        <f>4000</f>
        <v>4000.0</v>
      </c>
      <c r="F25" s="23" t="n">
        <f>0.098</f>
        <v>0.098</v>
      </c>
      <c r="G25" s="21" t="n">
        <f>94888900</f>
        <v>9.48889E7</v>
      </c>
      <c r="H25" s="22" t="n">
        <f>46000000</f>
        <v>4.6E7</v>
      </c>
      <c r="I25" s="23" t="n">
        <f>0.007</f>
        <v>0.007</v>
      </c>
    </row>
    <row r="26" spans="1:9" ht="24.9" customHeight="1">
      <c r="A26" s="41"/>
      <c r="B26" s="39"/>
      <c r="C26" s="24" t="s">
        <v>18</v>
      </c>
      <c r="D26" s="25" t="n">
        <f>5605</f>
        <v>5605.0</v>
      </c>
      <c r="E26" s="26" t="n">
        <f>4150</f>
        <v>4150.0</v>
      </c>
      <c r="F26" s="27" t="n">
        <f>0.055</f>
        <v>0.055</v>
      </c>
      <c r="G26" s="25" t="n">
        <f>154491143</f>
        <v>1.54491143E8</v>
      </c>
      <c r="H26" s="26" t="n">
        <f>97100000</f>
        <v>9.71E7</v>
      </c>
      <c r="I26" s="27" t="n">
        <f>0.006</f>
        <v>0.006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46226.0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46226.0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10064.0</v>
      </c>
      <c r="F12" s="18" t="n">
        <f>1267</f>
        <v>1267.0</v>
      </c>
      <c r="G12" s="17" t="n">
        <v>6.657756921E11</v>
      </c>
      <c r="H12" s="18" t="n">
        <f>83863402100</f>
        <v>8.38634021E10</v>
      </c>
    </row>
    <row r="13" spans="1:8" ht="24.9" customHeight="1">
      <c r="A13" s="51"/>
      <c r="B13" s="57"/>
      <c r="C13" s="39"/>
      <c r="D13" s="20" t="s">
        <v>16</v>
      </c>
      <c r="E13" s="21" t="n">
        <v>9098.0</v>
      </c>
      <c r="F13" s="22" t="n">
        <f>519</f>
        <v>519.0</v>
      </c>
      <c r="G13" s="21" t="n">
        <v>6.075092081E11</v>
      </c>
      <c r="H13" s="22" t="n">
        <f>34586467100</f>
        <v>3.45864671E10</v>
      </c>
    </row>
    <row r="14" spans="1:8" ht="24.9" customHeight="1">
      <c r="A14" s="51"/>
      <c r="B14" s="57"/>
      <c r="C14" s="39"/>
      <c r="D14" s="20" t="s">
        <v>17</v>
      </c>
      <c r="E14" s="21" t="n">
        <v>13818.0</v>
      </c>
      <c r="F14" s="22" t="n">
        <f>3332</f>
        <v>3332.0</v>
      </c>
      <c r="G14" s="21" t="n">
        <v>9.1873453599E11</v>
      </c>
      <c r="H14" s="22" t="n">
        <f>221504802990</f>
        <v>2.2150480299E11</v>
      </c>
    </row>
    <row r="15" spans="1:8" ht="24.9" customHeight="1">
      <c r="A15" s="51"/>
      <c r="B15" s="57"/>
      <c r="C15" s="39"/>
      <c r="D15" s="24" t="s">
        <v>18</v>
      </c>
      <c r="E15" s="25" t="n">
        <v>32980.0</v>
      </c>
      <c r="F15" s="26" t="n">
        <f>5118</f>
        <v>5118.0</v>
      </c>
      <c r="G15" s="25" t="n">
        <v>2.19201943619E12</v>
      </c>
      <c r="H15" s="26" t="n">
        <f>339954672190</f>
        <v>3.3995467219E11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218553.0</v>
      </c>
      <c r="F16" s="18" t="n">
        <f>27317</f>
        <v>27317.0</v>
      </c>
      <c r="G16" s="17" t="n">
        <v>1.4455205879E12</v>
      </c>
      <c r="H16" s="18" t="n">
        <f>180621415900</f>
        <v>1.806214159E11</v>
      </c>
    </row>
    <row r="17" spans="1:8" ht="24.9" customHeight="1">
      <c r="A17" s="51"/>
      <c r="B17" s="57"/>
      <c r="C17" s="39"/>
      <c r="D17" s="20" t="s">
        <v>16</v>
      </c>
      <c r="E17" s="21" t="n">
        <v>174620.0</v>
      </c>
      <c r="F17" s="22" t="n">
        <f>16542</f>
        <v>16542.0</v>
      </c>
      <c r="G17" s="21" t="n">
        <v>1.16621059629E12</v>
      </c>
      <c r="H17" s="22" t="n">
        <f>110466549790</f>
        <v>1.1046654979E11</v>
      </c>
    </row>
    <row r="18" spans="1:8" ht="24.9" customHeight="1">
      <c r="A18" s="51"/>
      <c r="B18" s="57"/>
      <c r="C18" s="39"/>
      <c r="D18" s="20" t="s">
        <v>17</v>
      </c>
      <c r="E18" s="21" t="n">
        <v>186905.0</v>
      </c>
      <c r="F18" s="22" t="n">
        <f>15745</f>
        <v>15745.0</v>
      </c>
      <c r="G18" s="21" t="n">
        <v>1.24313537385E12</v>
      </c>
      <c r="H18" s="22" t="n">
        <f>104730338850</f>
        <v>1.0473033885E11</v>
      </c>
    </row>
    <row r="19" spans="1:8" ht="24.9" customHeight="1">
      <c r="A19" s="51"/>
      <c r="B19" s="57"/>
      <c r="C19" s="39"/>
      <c r="D19" s="24" t="s">
        <v>18</v>
      </c>
      <c r="E19" s="25" t="n">
        <v>580078.0</v>
      </c>
      <c r="F19" s="26" t="n">
        <f>59604</f>
        <v>59604.0</v>
      </c>
      <c r="G19" s="25" t="n">
        <v>3.85486655804E12</v>
      </c>
      <c r="H19" s="26" t="n">
        <f>395818304540</f>
        <v>3.9581830454E11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383491.0</v>
      </c>
      <c r="F20" s="18" t="str">
        <f>"－"</f>
        <v>－</v>
      </c>
      <c r="G20" s="17" t="n">
        <v>2.536306501E11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218606.0</v>
      </c>
      <c r="F21" s="22" t="str">
        <f>"－"</f>
        <v>－</v>
      </c>
      <c r="G21" s="21" t="n">
        <v>1.4598358895E11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200159.0</v>
      </c>
      <c r="F22" s="22" t="str">
        <f>"－"</f>
        <v>－</v>
      </c>
      <c r="G22" s="21" t="n">
        <v>1.331477334E11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802256.0</v>
      </c>
      <c r="F23" s="26" t="str">
        <f>"－"</f>
        <v>－</v>
      </c>
      <c r="G23" s="25" t="n">
        <v>5.3276197245E11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14770.0</v>
      </c>
      <c r="F24" s="18" t="n">
        <f>65</f>
        <v>65.0</v>
      </c>
      <c r="G24" s="17" t="n">
        <v>5.9524427E11</v>
      </c>
      <c r="H24" s="18" t="n">
        <f>2622250000</f>
        <v>2.62225E9</v>
      </c>
    </row>
    <row r="25" spans="1:8" ht="24.9" customHeight="1">
      <c r="A25" s="51"/>
      <c r="B25" s="57"/>
      <c r="C25" s="39"/>
      <c r="D25" s="20" t="s">
        <v>16</v>
      </c>
      <c r="E25" s="21" t="n">
        <v>13490.0</v>
      </c>
      <c r="F25" s="22" t="n">
        <f>150</f>
        <v>150.0</v>
      </c>
      <c r="G25" s="21" t="n">
        <v>5.47023674E11</v>
      </c>
      <c r="H25" s="22" t="n">
        <f>6077539000</f>
        <v>6.077539E9</v>
      </c>
    </row>
    <row r="26" spans="1:8" ht="24.9" customHeight="1">
      <c r="A26" s="51"/>
      <c r="B26" s="57"/>
      <c r="C26" s="39"/>
      <c r="D26" s="20" t="s">
        <v>17</v>
      </c>
      <c r="E26" s="21" t="n">
        <v>21568.0</v>
      </c>
      <c r="F26" s="22" t="n">
        <f>2507</f>
        <v>2507.0</v>
      </c>
      <c r="G26" s="21" t="n">
        <v>8.75017761615E11</v>
      </c>
      <c r="H26" s="22" t="n">
        <f>101764076615</f>
        <v>1.01764076615E11</v>
      </c>
    </row>
    <row r="27" spans="1:8" ht="24.9" customHeight="1">
      <c r="A27" s="51"/>
      <c r="B27" s="57"/>
      <c r="C27" s="39"/>
      <c r="D27" s="24" t="s">
        <v>18</v>
      </c>
      <c r="E27" s="25" t="n">
        <v>49828.0</v>
      </c>
      <c r="F27" s="26" t="n">
        <f>2722</f>
        <v>2722.0</v>
      </c>
      <c r="G27" s="25" t="n">
        <v>2.017285705615E12</v>
      </c>
      <c r="H27" s="26" t="n">
        <f>110463865615</f>
        <v>1.10463865615E11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4352.0</v>
      </c>
      <c r="F28" s="18" t="n">
        <f>421</f>
        <v>421.0</v>
      </c>
      <c r="G28" s="17" t="n">
        <v>1.75360877E10</v>
      </c>
      <c r="H28" s="18" t="n">
        <f>1696768200</f>
        <v>1.6967682E9</v>
      </c>
    </row>
    <row r="29" spans="1:8" ht="24.9" customHeight="1">
      <c r="A29" s="51"/>
      <c r="B29" s="57"/>
      <c r="C29" s="39"/>
      <c r="D29" s="20" t="s">
        <v>16</v>
      </c>
      <c r="E29" s="21" t="n">
        <v>7694.0</v>
      </c>
      <c r="F29" s="22" t="n">
        <f>864</f>
        <v>864.0</v>
      </c>
      <c r="G29" s="21" t="n">
        <v>3.121036575E10</v>
      </c>
      <c r="H29" s="22" t="n">
        <f>3507838500</f>
        <v>3.5078385E9</v>
      </c>
    </row>
    <row r="30" spans="1:8" ht="24.9" customHeight="1">
      <c r="A30" s="51"/>
      <c r="B30" s="57"/>
      <c r="C30" s="39"/>
      <c r="D30" s="20" t="s">
        <v>17</v>
      </c>
      <c r="E30" s="21" t="n">
        <v>6975.0</v>
      </c>
      <c r="F30" s="22" t="n">
        <f>1366</f>
        <v>1366.0</v>
      </c>
      <c r="G30" s="21" t="n">
        <v>2.82955975E10</v>
      </c>
      <c r="H30" s="22" t="n">
        <f>5538958750</f>
        <v>5.53895875E9</v>
      </c>
    </row>
    <row r="31" spans="1:8" ht="24.9" customHeight="1">
      <c r="A31" s="51"/>
      <c r="B31" s="57"/>
      <c r="C31" s="39"/>
      <c r="D31" s="24" t="s">
        <v>18</v>
      </c>
      <c r="E31" s="25" t="n">
        <v>19021.0</v>
      </c>
      <c r="F31" s="26" t="n">
        <f>2651</f>
        <v>2651.0</v>
      </c>
      <c r="G31" s="25" t="n">
        <v>7.704205095E10</v>
      </c>
      <c r="H31" s="26" t="n">
        <f>10743565450</f>
        <v>1.074356545E10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404.0</v>
      </c>
      <c r="F36" s="18" t="n">
        <f>0</f>
        <v>0.0</v>
      </c>
      <c r="G36" s="17" t="n">
        <v>1.4697845E9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571.0</v>
      </c>
      <c r="F37" s="22" t="n">
        <f>6</f>
        <v>6.0</v>
      </c>
      <c r="G37" s="21" t="n">
        <v>2.0934905E9</v>
      </c>
      <c r="H37" s="22" t="n">
        <f>21985000</f>
        <v>2.1985E7</v>
      </c>
    </row>
    <row r="38" spans="1:8" ht="24.9" customHeight="1">
      <c r="A38" s="51"/>
      <c r="B38" s="57"/>
      <c r="C38" s="39"/>
      <c r="D38" s="20" t="s">
        <v>17</v>
      </c>
      <c r="E38" s="21" t="n">
        <v>1014.0</v>
      </c>
      <c r="F38" s="22" t="n">
        <f>238</f>
        <v>238.0</v>
      </c>
      <c r="G38" s="21" t="n">
        <v>3.71954749E9</v>
      </c>
      <c r="H38" s="22" t="n">
        <f>873030990</f>
        <v>8.7303099E8</v>
      </c>
    </row>
    <row r="39" spans="1:8" ht="24.9" customHeight="1">
      <c r="A39" s="51"/>
      <c r="B39" s="57"/>
      <c r="C39" s="39"/>
      <c r="D39" s="24" t="s">
        <v>18</v>
      </c>
      <c r="E39" s="25" t="n">
        <v>1989.0</v>
      </c>
      <c r="F39" s="26" t="n">
        <f>244</f>
        <v>244.0</v>
      </c>
      <c r="G39" s="25" t="n">
        <v>7.28282249E9</v>
      </c>
      <c r="H39" s="26" t="n">
        <f>895015990</f>
        <v>8.9501599E8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22.0</v>
      </c>
      <c r="F46" s="22" t="n">
        <f>22</f>
        <v>22.0</v>
      </c>
      <c r="G46" s="21" t="n">
        <v>1.6995E8</v>
      </c>
      <c r="H46" s="22" t="n">
        <f>169950000</f>
        <v>1.6995E8</v>
      </c>
    </row>
    <row r="47" spans="1:8" ht="24.9" customHeight="1">
      <c r="A47" s="51"/>
      <c r="B47" s="57"/>
      <c r="C47" s="39"/>
      <c r="D47" s="24" t="s">
        <v>18</v>
      </c>
      <c r="E47" s="25" t="n">
        <v>22.0</v>
      </c>
      <c r="F47" s="26" t="n">
        <f>22</f>
        <v>22.0</v>
      </c>
      <c r="G47" s="25" t="n">
        <v>1.6995E8</v>
      </c>
      <c r="H47" s="26" t="n">
        <f>169950000</f>
        <v>1.6995E8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26.0</v>
      </c>
      <c r="F49" s="22" t="n">
        <f>0</f>
        <v>0.0</v>
      </c>
      <c r="G49" s="21" t="n">
        <v>4.8045E7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1099.0</v>
      </c>
      <c r="F50" s="22" t="n">
        <f>1054</f>
        <v>1054.0</v>
      </c>
      <c r="G50" s="21" t="n">
        <v>2.01898807E9</v>
      </c>
      <c r="H50" s="22" t="n">
        <f>1936382570</f>
        <v>1.93638257E9</v>
      </c>
    </row>
    <row r="51" spans="1:8" ht="24.9" customHeight="1">
      <c r="A51" s="51"/>
      <c r="B51" s="57"/>
      <c r="C51" s="39"/>
      <c r="D51" s="24" t="s">
        <v>18</v>
      </c>
      <c r="E51" s="25" t="n">
        <v>1125.0</v>
      </c>
      <c r="F51" s="26" t="n">
        <f>1054</f>
        <v>1054.0</v>
      </c>
      <c r="G51" s="25" t="n">
        <v>2.06703307E9</v>
      </c>
      <c r="H51" s="26" t="n">
        <f>1936382570</f>
        <v>1.93638257E9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247.0</v>
      </c>
      <c r="F56" s="18" t="n">
        <f>10</f>
        <v>10.0</v>
      </c>
      <c r="G56" s="17" t="n">
        <v>1.695085E8</v>
      </c>
      <c r="H56" s="18" t="n">
        <f>6864500</f>
        <v>6864500.0</v>
      </c>
    </row>
    <row r="57" spans="1:8" ht="24.9" customHeight="1">
      <c r="A57" s="51"/>
      <c r="B57" s="57"/>
      <c r="C57" s="39"/>
      <c r="D57" s="20" t="s">
        <v>16</v>
      </c>
      <c r="E57" s="21" t="n">
        <v>444.0</v>
      </c>
      <c r="F57" s="22" t="n">
        <f>27</f>
        <v>27.0</v>
      </c>
      <c r="G57" s="21" t="n">
        <v>3.054352E8</v>
      </c>
      <c r="H57" s="22" t="n">
        <f>18597200</f>
        <v>1.85972E7</v>
      </c>
    </row>
    <row r="58" spans="1:8" ht="24.9" customHeight="1">
      <c r="A58" s="51"/>
      <c r="B58" s="57"/>
      <c r="C58" s="39"/>
      <c r="D58" s="20" t="s">
        <v>17</v>
      </c>
      <c r="E58" s="21" t="n">
        <v>493.0</v>
      </c>
      <c r="F58" s="22" t="n">
        <f>16</f>
        <v>16.0</v>
      </c>
      <c r="G58" s="21" t="n">
        <v>3.407353E8</v>
      </c>
      <c r="H58" s="22" t="n">
        <f>11114300</f>
        <v>1.11143E7</v>
      </c>
    </row>
    <row r="59" spans="1:8" ht="24.9" customHeight="1">
      <c r="A59" s="51"/>
      <c r="B59" s="57"/>
      <c r="C59" s="39"/>
      <c r="D59" s="24" t="s">
        <v>18</v>
      </c>
      <c r="E59" s="25" t="n">
        <v>1184.0</v>
      </c>
      <c r="F59" s="26" t="n">
        <f>53</f>
        <v>53.0</v>
      </c>
      <c r="G59" s="25" t="n">
        <v>8.15679E8</v>
      </c>
      <c r="H59" s="26" t="n">
        <f>36576000</f>
        <v>3.6576E7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175.0</v>
      </c>
      <c r="F60" s="18" t="n">
        <f>7</f>
        <v>7.0</v>
      </c>
      <c r="G60" s="17" t="n">
        <v>9.174971E8</v>
      </c>
      <c r="H60" s="18" t="n">
        <f>36692000</f>
        <v>3.6692E7</v>
      </c>
    </row>
    <row r="61" spans="1:8" ht="24.9" customHeight="1">
      <c r="A61" s="51"/>
      <c r="B61" s="57"/>
      <c r="C61" s="39"/>
      <c r="D61" s="20" t="s">
        <v>16</v>
      </c>
      <c r="E61" s="21" t="n">
        <v>8.0</v>
      </c>
      <c r="F61" s="22" t="n">
        <f>0</f>
        <v>0.0</v>
      </c>
      <c r="G61" s="21" t="n">
        <v>4.19407E7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6.0</v>
      </c>
      <c r="F62" s="22" t="n">
        <f>0</f>
        <v>0.0</v>
      </c>
      <c r="G62" s="21" t="n">
        <v>3.14694E7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189.0</v>
      </c>
      <c r="F63" s="26" t="n">
        <f>7</f>
        <v>7.0</v>
      </c>
      <c r="G63" s="25" t="n">
        <v>9.909072E8</v>
      </c>
      <c r="H63" s="26" t="n">
        <f>36692000</f>
        <v>3.6692E7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408000.0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736500.0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3.0</v>
      </c>
      <c r="F79" s="26" t="n">
        <f>0</f>
        <v>0.0</v>
      </c>
      <c r="G79" s="25" t="n">
        <v>1144500.0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18.0</v>
      </c>
      <c r="F92" s="18" t="n">
        <f>0</f>
        <v>0.0</v>
      </c>
      <c r="G92" s="17" t="n">
        <v>2.92296E7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18.0</v>
      </c>
      <c r="F95" s="26" t="n">
        <f>0</f>
        <v>0.0</v>
      </c>
      <c r="G95" s="25" t="n">
        <v>2.92296E7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102.0</v>
      </c>
      <c r="F96" s="18" t="n">
        <f>0</f>
        <v>0.0</v>
      </c>
      <c r="G96" s="17" t="n">
        <v>2.453871E8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10.0</v>
      </c>
      <c r="F97" s="22" t="n">
        <f>0</f>
        <v>0.0</v>
      </c>
      <c r="G97" s="21" t="n">
        <v>2.4065E7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14.0</v>
      </c>
      <c r="F98" s="22" t="n">
        <f>0</f>
        <v>0.0</v>
      </c>
      <c r="G98" s="21" t="n">
        <v>3.3705E7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126.0</v>
      </c>
      <c r="F99" s="26" t="n">
        <f>0</f>
        <v>0.0</v>
      </c>
      <c r="G99" s="25" t="n">
        <v>3.031571E8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13259.0</v>
      </c>
      <c r="F108" s="18" t="n">
        <f>322</f>
        <v>322.0</v>
      </c>
      <c r="G108" s="17" t="n">
        <v>1.688202475E12</v>
      </c>
      <c r="H108" s="18" t="n">
        <f>41023055000</f>
        <v>4.1023055E10</v>
      </c>
    </row>
    <row r="109" spans="1:8" ht="24.9" customHeight="1">
      <c r="A109" s="51"/>
      <c r="B109" s="57"/>
      <c r="C109" s="39"/>
      <c r="D109" s="20" t="s">
        <v>16</v>
      </c>
      <c r="E109" s="21" t="n">
        <v>17328.0</v>
      </c>
      <c r="F109" s="22" t="n">
        <f>1025</f>
        <v>1025.0</v>
      </c>
      <c r="G109" s="21" t="n">
        <v>2.20457996E12</v>
      </c>
      <c r="H109" s="22" t="n">
        <f>130483150000</f>
        <v>1.3048315E11</v>
      </c>
    </row>
    <row r="110" spans="1:8" ht="24.9" customHeight="1">
      <c r="A110" s="51"/>
      <c r="B110" s="57"/>
      <c r="C110" s="39"/>
      <c r="D110" s="20" t="s">
        <v>17</v>
      </c>
      <c r="E110" s="21" t="n">
        <v>13524.0</v>
      </c>
      <c r="F110" s="22" t="n">
        <f>1117</f>
        <v>1117.0</v>
      </c>
      <c r="G110" s="21" t="n">
        <v>1.72008971E12</v>
      </c>
      <c r="H110" s="22" t="n">
        <f>142101660000</f>
        <v>1.4210166E11</v>
      </c>
    </row>
    <row r="111" spans="1:8" ht="24.9" customHeight="1">
      <c r="A111" s="51"/>
      <c r="B111" s="57"/>
      <c r="C111" s="39"/>
      <c r="D111" s="24" t="s">
        <v>18</v>
      </c>
      <c r="E111" s="25" t="n">
        <v>44111.0</v>
      </c>
      <c r="F111" s="26" t="n">
        <f>2464</f>
        <v>2464.0</v>
      </c>
      <c r="G111" s="25" t="n">
        <v>5.612872145E12</v>
      </c>
      <c r="H111" s="26" t="n">
        <f>313607865000</f>
        <v>3.13607865E11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1173.0</v>
      </c>
      <c r="F113" s="22" t="n">
        <f>0</f>
        <v>0.0</v>
      </c>
      <c r="G113" s="21" t="n">
        <v>1.4923756E10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666.0</v>
      </c>
      <c r="F114" s="22" t="n">
        <f>0</f>
        <v>0.0</v>
      </c>
      <c r="G114" s="21" t="n">
        <v>8.470507E9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1839.0</v>
      </c>
      <c r="F115" s="26" t="n">
        <f>0</f>
        <v>0.0</v>
      </c>
      <c r="G115" s="25" t="n">
        <v>2.3394263E10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150.0</v>
      </c>
      <c r="F118" s="22" t="n">
        <f>0</f>
        <v>0.0</v>
      </c>
      <c r="G118" s="21" t="n">
        <v>1.3617E9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150.0</v>
      </c>
      <c r="F119" s="26" t="n">
        <f>0</f>
        <v>0.0</v>
      </c>
      <c r="G119" s="25" t="n">
        <v>1.3617E9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6132.0</v>
      </c>
      <c r="F120" s="18" t="n">
        <f>0</f>
        <v>0.0</v>
      </c>
      <c r="G120" s="17" t="n">
        <v>1.515570525E11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87.0</v>
      </c>
      <c r="F121" s="22" t="n">
        <f>0</f>
        <v>0.0</v>
      </c>
      <c r="G121" s="21" t="n">
        <v>2.148625E9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3206.0</v>
      </c>
      <c r="F122" s="22" t="n">
        <f>0</f>
        <v>0.0</v>
      </c>
      <c r="G122" s="21" t="n">
        <v>7.913973E10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9425.0</v>
      </c>
      <c r="F123" s="26" t="n">
        <f>0</f>
        <v>0.0</v>
      </c>
      <c r="G123" s="25" t="n">
        <v>2.328454075E11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4936.0</v>
      </c>
      <c r="F124" s="18" t="n">
        <f>0</f>
        <v>0.0</v>
      </c>
      <c r="G124" s="17" t="n">
        <v>1.09492841E11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2132.0</v>
      </c>
      <c r="F125" s="22" t="n">
        <f>0</f>
        <v>0.0</v>
      </c>
      <c r="G125" s="21" t="n">
        <v>4.7231042E10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1763.0</v>
      </c>
      <c r="F126" s="22" t="n">
        <f>0</f>
        <v>0.0</v>
      </c>
      <c r="G126" s="21" t="n">
        <v>3.8972609E10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8831.0</v>
      </c>
      <c r="F127" s="26" t="n">
        <f>0</f>
        <v>0.0</v>
      </c>
      <c r="G127" s="25" t="n">
        <v>1.95696492E11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51.0</v>
      </c>
      <c r="F128" s="18" t="n">
        <f>0</f>
        <v>0.0</v>
      </c>
      <c r="G128" s="17" t="n">
        <v>1.125129E8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43.0</v>
      </c>
      <c r="F129" s="22" t="n">
        <f>0</f>
        <v>0.0</v>
      </c>
      <c r="G129" s="21" t="n">
        <v>9.47717E7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22.0</v>
      </c>
      <c r="F130" s="22" t="n">
        <f>0</f>
        <v>0.0</v>
      </c>
      <c r="G130" s="21" t="n">
        <v>4.84078E7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116.0</v>
      </c>
      <c r="F131" s="26" t="n">
        <f>0</f>
        <v>0.0</v>
      </c>
      <c r="G131" s="25" t="n">
        <v>2.556924E8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4714.0</v>
      </c>
      <c r="F132" s="18" t="n">
        <f>0</f>
        <v>0.0</v>
      </c>
      <c r="G132" s="17" t="n">
        <v>1.046163885E10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1625.0</v>
      </c>
      <c r="F133" s="22" t="n">
        <f>0</f>
        <v>0.0</v>
      </c>
      <c r="G133" s="21" t="n">
        <v>3.6004995E9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1313.0</v>
      </c>
      <c r="F134" s="22" t="n">
        <f>0</f>
        <v>0.0</v>
      </c>
      <c r="G134" s="21" t="n">
        <v>2.90397035E9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7652.0</v>
      </c>
      <c r="F135" s="26" t="n">
        <f>0</f>
        <v>0.0</v>
      </c>
      <c r="G135" s="25" t="n">
        <v>1.69661087E10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97.0</v>
      </c>
      <c r="F136" s="18" t="n">
        <f>0</f>
        <v>0.0</v>
      </c>
      <c r="G136" s="17" t="n">
        <v>2.125331E8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37.0</v>
      </c>
      <c r="F137" s="22" t="n">
        <f>0</f>
        <v>0.0</v>
      </c>
      <c r="G137" s="21" t="n">
        <v>8.10346E7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24.0</v>
      </c>
      <c r="F138" s="22" t="n">
        <f>0</f>
        <v>0.0</v>
      </c>
      <c r="G138" s="21" t="n">
        <v>5.25198E7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158.0</v>
      </c>
      <c r="F139" s="26" t="n">
        <f>0</f>
        <v>0.0</v>
      </c>
      <c r="G139" s="25" t="n">
        <v>3.460875E8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682.0</v>
      </c>
      <c r="F144" s="18" t="n">
        <f>0</f>
        <v>0.0</v>
      </c>
      <c r="G144" s="17" t="n">
        <v>2.8984595E9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595.0</v>
      </c>
      <c r="F145" s="22" t="n">
        <f>0</f>
        <v>0.0</v>
      </c>
      <c r="G145" s="21" t="n">
        <v>2.534186E9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820.0</v>
      </c>
      <c r="F146" s="22" t="n">
        <f>0</f>
        <v>0.0</v>
      </c>
      <c r="G146" s="21" t="n">
        <v>3.497506E9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2097.0</v>
      </c>
      <c r="F147" s="26" t="n">
        <f>0</f>
        <v>0.0</v>
      </c>
      <c r="G147" s="25" t="n">
        <v>8.9301515E9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21.0</v>
      </c>
      <c r="F148" s="18" t="n">
        <f>0</f>
        <v>0.0</v>
      </c>
      <c r="G148" s="17" t="n">
        <v>1.8238E7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95.0</v>
      </c>
      <c r="F149" s="22" t="n">
        <f>0</f>
        <v>0.0</v>
      </c>
      <c r="G149" s="21" t="n">
        <v>8.24944E7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140.0</v>
      </c>
      <c r="F150" s="22" t="n">
        <f>0</f>
        <v>0.0</v>
      </c>
      <c r="G150" s="21" t="n">
        <v>1.221182E8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256.0</v>
      </c>
      <c r="F151" s="26" t="n">
        <f>0</f>
        <v>0.0</v>
      </c>
      <c r="G151" s="25" t="n">
        <v>2.228506E8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331.0</v>
      </c>
      <c r="F152" s="18" t="n">
        <f>0</f>
        <v>0.0</v>
      </c>
      <c r="G152" s="17" t="n">
        <v>2.8089355E8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135.0</v>
      </c>
      <c r="F153" s="22" t="n">
        <f>0</f>
        <v>0.0</v>
      </c>
      <c r="G153" s="21" t="n">
        <v>1.1441655E8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287.0</v>
      </c>
      <c r="F154" s="22" t="n">
        <f>0</f>
        <v>0.0</v>
      </c>
      <c r="G154" s="21" t="n">
        <v>2.440992E8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753.0</v>
      </c>
      <c r="F155" s="26" t="n">
        <f>0</f>
        <v>0.0</v>
      </c>
      <c r="G155" s="25" t="n">
        <v>6.394093E8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407.0</v>
      </c>
      <c r="F156" s="18" t="n">
        <f>0</f>
        <v>0.0</v>
      </c>
      <c r="G156" s="17" t="n">
        <v>3.485654E8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76.0</v>
      </c>
      <c r="F157" s="22" t="n">
        <f>0</f>
        <v>0.0</v>
      </c>
      <c r="G157" s="21" t="n">
        <v>6.47952E7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666.0</v>
      </c>
      <c r="F158" s="22" t="n">
        <f>0</f>
        <v>0.0</v>
      </c>
      <c r="G158" s="21" t="n">
        <v>5.68177E8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1149.0</v>
      </c>
      <c r="F159" s="26" t="n">
        <f>0</f>
        <v>0.0</v>
      </c>
      <c r="G159" s="25" t="n">
        <v>9.815376E8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122.0</v>
      </c>
      <c r="F168" s="18" t="n">
        <f>0</f>
        <v>0.0</v>
      </c>
      <c r="G168" s="17" t="n">
        <v>2.54585E8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84.0</v>
      </c>
      <c r="F169" s="22" t="n">
        <f>0</f>
        <v>0.0</v>
      </c>
      <c r="G169" s="21" t="n">
        <v>1.765345E8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311.0</v>
      </c>
      <c r="F170" s="22" t="n">
        <f>0</f>
        <v>0.0</v>
      </c>
      <c r="G170" s="21" t="n">
        <v>6.52271E8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517.0</v>
      </c>
      <c r="F171" s="26" t="n">
        <f>0</f>
        <v>0.0</v>
      </c>
      <c r="G171" s="25" t="n">
        <v>1.0833905E9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444.0</v>
      </c>
      <c r="F204" s="18" t="n">
        <f>0</f>
        <v>0.0</v>
      </c>
      <c r="G204" s="17" t="n">
        <v>1.783182E9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213.0</v>
      </c>
      <c r="F205" s="22" t="n">
        <f>0</f>
        <v>0.0</v>
      </c>
      <c r="G205" s="21" t="n">
        <v>8.559985E8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923.0</v>
      </c>
      <c r="F206" s="22" t="n">
        <f>0</f>
        <v>0.0</v>
      </c>
      <c r="G206" s="21" t="n">
        <v>3.7410955E9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1580.0</v>
      </c>
      <c r="F207" s="26" t="n">
        <f>0</f>
        <v>0.0</v>
      </c>
      <c r="G207" s="25" t="n">
        <v>6.380276E9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5.0</v>
      </c>
      <c r="F282" s="22" t="n">
        <f>0</f>
        <v>0.0</v>
      </c>
      <c r="G282" s="21" t="n">
        <v>5250000.0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5.0</v>
      </c>
      <c r="F283" s="26" t="n">
        <f>0</f>
        <v>0.0</v>
      </c>
      <c r="G283" s="25" t="n">
        <v>5250000.0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46226.0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46226.0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2490</f>
        <v>2490.0</v>
      </c>
      <c r="E12" s="35" t="n">
        <f>1484</f>
        <v>1484.0</v>
      </c>
      <c r="F12" s="17" t="n">
        <f>948</f>
        <v>948.0</v>
      </c>
      <c r="G12" s="35" t="n">
        <f>247</f>
        <v>247.0</v>
      </c>
      <c r="H12" s="17" t="n">
        <f>3438</f>
        <v>3438.0</v>
      </c>
      <c r="I12" s="35" t="n">
        <f>1731</f>
        <v>1731.0</v>
      </c>
      <c r="J12" s="17" t="n">
        <f>2079499123</f>
        <v>2.079499123E9</v>
      </c>
      <c r="K12" s="35" t="n">
        <f>1531748123</f>
        <v>1.531748123E9</v>
      </c>
      <c r="L12" s="17" t="n">
        <f>739895890</f>
        <v>7.3989589E8</v>
      </c>
      <c r="M12" s="35" t="n">
        <f>518185890</f>
        <v>5.1818589E8</v>
      </c>
      <c r="N12" s="17" t="n">
        <f>2819395013</f>
        <v>2.819395013E9</v>
      </c>
      <c r="O12" s="35" t="n">
        <f>2049934013</f>
        <v>2.049934013E9</v>
      </c>
    </row>
    <row r="13" spans="1:15" ht="24.9" customHeight="1">
      <c r="A13" s="38"/>
      <c r="B13" s="62"/>
      <c r="C13" s="20" t="s">
        <v>16</v>
      </c>
      <c r="D13" s="21" t="n">
        <f>4645</f>
        <v>4645.0</v>
      </c>
      <c r="E13" s="36" t="n">
        <f>3045</f>
        <v>3045.0</v>
      </c>
      <c r="F13" s="21" t="n">
        <f>2744</f>
        <v>2744.0</v>
      </c>
      <c r="G13" s="36" t="n">
        <f>808</f>
        <v>808.0</v>
      </c>
      <c r="H13" s="21" t="n">
        <f>7389</f>
        <v>7389.0</v>
      </c>
      <c r="I13" s="36" t="n">
        <f>3853</f>
        <v>3853.0</v>
      </c>
      <c r="J13" s="21" t="n">
        <f>4616062070</f>
        <v>4.61606207E9</v>
      </c>
      <c r="K13" s="36" t="n">
        <f>3795361070</f>
        <v>3.79536107E9</v>
      </c>
      <c r="L13" s="21" t="n">
        <f>3509427740</f>
        <v>3.50942774E9</v>
      </c>
      <c r="M13" s="36" t="n">
        <f>2183310740</f>
        <v>2.18331074E9</v>
      </c>
      <c r="N13" s="21" t="n">
        <f>8125489810</f>
        <v>8.12548981E9</v>
      </c>
      <c r="O13" s="36" t="n">
        <f>5978671810</f>
        <v>5.97867181E9</v>
      </c>
    </row>
    <row r="14" spans="1:15" ht="24.9" customHeight="1">
      <c r="A14" s="38"/>
      <c r="B14" s="62"/>
      <c r="C14" s="20" t="s">
        <v>17</v>
      </c>
      <c r="D14" s="21" t="n">
        <f>9527</f>
        <v>9527.0</v>
      </c>
      <c r="E14" s="36" t="n">
        <f>7022</f>
        <v>7022.0</v>
      </c>
      <c r="F14" s="21" t="n">
        <f>4754</f>
        <v>4754.0</v>
      </c>
      <c r="G14" s="36" t="n">
        <f>2634</f>
        <v>2634.0</v>
      </c>
      <c r="H14" s="21" t="n">
        <f>14281</f>
        <v>14281.0</v>
      </c>
      <c r="I14" s="36" t="n">
        <f>9656</f>
        <v>9656.0</v>
      </c>
      <c r="J14" s="21" t="n">
        <f>9785959380</f>
        <v>9.78595938E9</v>
      </c>
      <c r="K14" s="36" t="n">
        <f>7914607380</f>
        <v>7.91460738E9</v>
      </c>
      <c r="L14" s="21" t="n">
        <f>3404396310</f>
        <v>3.40439631E9</v>
      </c>
      <c r="M14" s="36" t="n">
        <f>1784589310</f>
        <v>1.78458931E9</v>
      </c>
      <c r="N14" s="21" t="n">
        <f>13190355690</f>
        <v>1.319035569E10</v>
      </c>
      <c r="O14" s="36" t="n">
        <f>9699196690</f>
        <v>9.69919669E9</v>
      </c>
    </row>
    <row r="15" spans="1:15" ht="24.9" customHeight="1">
      <c r="A15" s="38"/>
      <c r="B15" s="62"/>
      <c r="C15" s="24" t="s">
        <v>18</v>
      </c>
      <c r="D15" s="25" t="n">
        <f>16662</f>
        <v>16662.0</v>
      </c>
      <c r="E15" s="37" t="n">
        <f>11551</f>
        <v>11551.0</v>
      </c>
      <c r="F15" s="25" t="n">
        <f>8446</f>
        <v>8446.0</v>
      </c>
      <c r="G15" s="37" t="n">
        <f>3689</f>
        <v>3689.0</v>
      </c>
      <c r="H15" s="25" t="n">
        <f>25108</f>
        <v>25108.0</v>
      </c>
      <c r="I15" s="37" t="n">
        <f>15240</f>
        <v>15240.0</v>
      </c>
      <c r="J15" s="25" t="n">
        <f>16481520573</f>
        <v>1.6481520573E10</v>
      </c>
      <c r="K15" s="37" t="n">
        <f>13241716573</f>
        <v>1.3241716573E10</v>
      </c>
      <c r="L15" s="25" t="n">
        <f>7653719940</f>
        <v>7.65371994E9</v>
      </c>
      <c r="M15" s="37" t="n">
        <f>4486085940</f>
        <v>4.48608594E9</v>
      </c>
      <c r="N15" s="25" t="n">
        <f>24135240513</f>
        <v>2.4135240513E10</v>
      </c>
      <c r="O15" s="37" t="n">
        <f>17727802513</f>
        <v>1.7727802513E10</v>
      </c>
    </row>
    <row r="16" spans="1:15" ht="24.9" customHeight="1">
      <c r="A16" s="38"/>
      <c r="B16" s="61" t="s">
        <v>105</v>
      </c>
      <c r="C16" s="16" t="s">
        <v>15</v>
      </c>
      <c r="D16" s="17" t="n">
        <f>10068</f>
        <v>10068.0</v>
      </c>
      <c r="E16" s="35" t="n">
        <f>470</f>
        <v>470.0</v>
      </c>
      <c r="F16" s="17" t="n">
        <f>8308</f>
        <v>8308.0</v>
      </c>
      <c r="G16" s="35" t="n">
        <f>630</f>
        <v>630.0</v>
      </c>
      <c r="H16" s="17" t="n">
        <f>18376</f>
        <v>18376.0</v>
      </c>
      <c r="I16" s="35" t="n">
        <f>1100</f>
        <v>1100.0</v>
      </c>
      <c r="J16" s="17" t="n">
        <f>320427990</f>
        <v>3.2042799E8</v>
      </c>
      <c r="K16" s="35" t="n">
        <f>8573990</f>
        <v>8573990.0</v>
      </c>
      <c r="L16" s="17" t="n">
        <f>244903570</f>
        <v>2.4490357E8</v>
      </c>
      <c r="M16" s="35" t="n">
        <f>8724870</f>
        <v>8724870.0</v>
      </c>
      <c r="N16" s="17" t="n">
        <f>565331560</f>
        <v>5.6533156E8</v>
      </c>
      <c r="O16" s="35" t="n">
        <f>17298860</f>
        <v>1.729886E7</v>
      </c>
    </row>
    <row r="17" spans="1:15" ht="24.9" customHeight="1">
      <c r="A17" s="38"/>
      <c r="B17" s="62"/>
      <c r="C17" s="20" t="s">
        <v>16</v>
      </c>
      <c r="D17" s="21" t="n">
        <f>14495</f>
        <v>14495.0</v>
      </c>
      <c r="E17" s="36" t="n">
        <f>1480</f>
        <v>1480.0</v>
      </c>
      <c r="F17" s="21" t="n">
        <f>8152</f>
        <v>8152.0</v>
      </c>
      <c r="G17" s="36" t="n">
        <f>320</f>
        <v>320.0</v>
      </c>
      <c r="H17" s="21" t="n">
        <f>22647</f>
        <v>22647.0</v>
      </c>
      <c r="I17" s="36" t="n">
        <f>1800</f>
        <v>1800.0</v>
      </c>
      <c r="J17" s="21" t="n">
        <f>262530490</f>
        <v>2.6253049E8</v>
      </c>
      <c r="K17" s="36" t="n">
        <f>10660390</f>
        <v>1.066039E7</v>
      </c>
      <c r="L17" s="21" t="n">
        <f>171015740</f>
        <v>1.7101574E8</v>
      </c>
      <c r="M17" s="36" t="n">
        <f>5165840</f>
        <v>5165840.0</v>
      </c>
      <c r="N17" s="21" t="n">
        <f>433546230</f>
        <v>4.3354623E8</v>
      </c>
      <c r="O17" s="36" t="n">
        <f>15826230</f>
        <v>1.582623E7</v>
      </c>
    </row>
    <row r="18" spans="1:15" ht="24.9" customHeight="1">
      <c r="A18" s="38"/>
      <c r="B18" s="62"/>
      <c r="C18" s="20" t="s">
        <v>17</v>
      </c>
      <c r="D18" s="21" t="n">
        <f>19386</f>
        <v>19386.0</v>
      </c>
      <c r="E18" s="36" t="n">
        <f>2390</f>
        <v>2390.0</v>
      </c>
      <c r="F18" s="21" t="n">
        <f>9756</f>
        <v>9756.0</v>
      </c>
      <c r="G18" s="36" t="n">
        <f>1010</f>
        <v>1010.0</v>
      </c>
      <c r="H18" s="21" t="n">
        <f>29142</f>
        <v>29142.0</v>
      </c>
      <c r="I18" s="36" t="n">
        <f>3400</f>
        <v>3400.0</v>
      </c>
      <c r="J18" s="21" t="n">
        <f>334601500</f>
        <v>3.346015E8</v>
      </c>
      <c r="K18" s="36" t="n">
        <f>21416400</f>
        <v>2.14164E7</v>
      </c>
      <c r="L18" s="21" t="n">
        <f>241079410</f>
        <v>2.4107941E8</v>
      </c>
      <c r="M18" s="36" t="n">
        <f>11742410</f>
        <v>1.174241E7</v>
      </c>
      <c r="N18" s="21" t="n">
        <f>575680910</f>
        <v>5.7568091E8</v>
      </c>
      <c r="O18" s="36" t="n">
        <f>33158810</f>
        <v>3.315881E7</v>
      </c>
    </row>
    <row r="19" spans="1:15" ht="24.9" customHeight="1">
      <c r="A19" s="38"/>
      <c r="B19" s="62"/>
      <c r="C19" s="24" t="s">
        <v>18</v>
      </c>
      <c r="D19" s="25" t="n">
        <f>43949</f>
        <v>43949.0</v>
      </c>
      <c r="E19" s="37" t="n">
        <f>4340</f>
        <v>4340.0</v>
      </c>
      <c r="F19" s="25" t="n">
        <f>26216</f>
        <v>26216.0</v>
      </c>
      <c r="G19" s="37" t="n">
        <f>1960</f>
        <v>1960.0</v>
      </c>
      <c r="H19" s="25" t="n">
        <f>70165</f>
        <v>70165.0</v>
      </c>
      <c r="I19" s="37" t="n">
        <f>6300</f>
        <v>6300.0</v>
      </c>
      <c r="J19" s="25" t="n">
        <f>917559980</f>
        <v>9.1755998E8</v>
      </c>
      <c r="K19" s="37" t="n">
        <f>40650780</f>
        <v>4.065078E7</v>
      </c>
      <c r="L19" s="25" t="n">
        <f>656998720</f>
        <v>6.5699872E8</v>
      </c>
      <c r="M19" s="37" t="n">
        <f>25633120</f>
        <v>2.563312E7</v>
      </c>
      <c r="N19" s="25" t="n">
        <f>1574558700</f>
        <v>1.5745587E9</v>
      </c>
      <c r="O19" s="37" t="n">
        <f>66283900</f>
        <v>6.62839E7</v>
      </c>
    </row>
    <row r="20" spans="1:15" ht="24.9" customHeight="1">
      <c r="A20" s="38"/>
      <c r="B20" s="61" t="s">
        <v>106</v>
      </c>
      <c r="C20" s="16" t="s">
        <v>15</v>
      </c>
      <c r="D20" s="17" t="n">
        <f>213</f>
        <v>213.0</v>
      </c>
      <c r="E20" s="35" t="n">
        <f>213</f>
        <v>213.0</v>
      </c>
      <c r="F20" s="17" t="n">
        <f>0</f>
        <v>0.0</v>
      </c>
      <c r="G20" s="35" t="n">
        <f>0</f>
        <v>0.0</v>
      </c>
      <c r="H20" s="17" t="n">
        <f>213</f>
        <v>213.0</v>
      </c>
      <c r="I20" s="35" t="n">
        <f>213</f>
        <v>213.0</v>
      </c>
      <c r="J20" s="17" t="n">
        <f>132299980</f>
        <v>1.3229998E8</v>
      </c>
      <c r="K20" s="35" t="n">
        <f>132299980</f>
        <v>1.3229998E8</v>
      </c>
      <c r="L20" s="17" t="n">
        <f>0</f>
        <v>0.0</v>
      </c>
      <c r="M20" s="35" t="n">
        <f>0</f>
        <v>0.0</v>
      </c>
      <c r="N20" s="17" t="n">
        <f>132299980</f>
        <v>1.3229998E8</v>
      </c>
      <c r="O20" s="35" t="n">
        <f>132299980</f>
        <v>1.3229998E8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100</f>
        <v>100.0</v>
      </c>
      <c r="G21" s="36" t="n">
        <f>0</f>
        <v>0.0</v>
      </c>
      <c r="H21" s="21" t="n">
        <f>200</f>
        <v>200.0</v>
      </c>
      <c r="I21" s="36" t="n">
        <f>100</f>
        <v>100.0</v>
      </c>
      <c r="J21" s="21" t="n">
        <f>117000000</f>
        <v>1.17E8</v>
      </c>
      <c r="K21" s="36" t="n">
        <f>117000000</f>
        <v>1.17E8</v>
      </c>
      <c r="L21" s="21" t="n">
        <f>12000000</f>
        <v>1.2E7</v>
      </c>
      <c r="M21" s="36" t="n">
        <f>0</f>
        <v>0.0</v>
      </c>
      <c r="N21" s="21" t="n">
        <f>129000000</f>
        <v>1.29E8</v>
      </c>
      <c r="O21" s="36" t="n">
        <f>117000000</f>
        <v>1.17E8</v>
      </c>
    </row>
    <row r="22" spans="1:15" ht="24.9" customHeight="1">
      <c r="A22" s="38"/>
      <c r="B22" s="62"/>
      <c r="C22" s="20" t="s">
        <v>17</v>
      </c>
      <c r="D22" s="21" t="n">
        <f>350</f>
        <v>350.0</v>
      </c>
      <c r="E22" s="36" t="n">
        <f>350</f>
        <v>350.0</v>
      </c>
      <c r="F22" s="21" t="n">
        <f>50</f>
        <v>50.0</v>
      </c>
      <c r="G22" s="36" t="n">
        <f>50</f>
        <v>50.0</v>
      </c>
      <c r="H22" s="21" t="n">
        <f>400</f>
        <v>400.0</v>
      </c>
      <c r="I22" s="36" t="n">
        <f>400</f>
        <v>400.0</v>
      </c>
      <c r="J22" s="21" t="n">
        <f>399025000</f>
        <v>3.99025E8</v>
      </c>
      <c r="K22" s="36" t="n">
        <f>399025000</f>
        <v>3.99025E8</v>
      </c>
      <c r="L22" s="21" t="n">
        <f>51975000</f>
        <v>5.1975E7</v>
      </c>
      <c r="M22" s="36" t="n">
        <f>51975000</f>
        <v>5.1975E7</v>
      </c>
      <c r="N22" s="21" t="n">
        <f>451000000</f>
        <v>4.51E8</v>
      </c>
      <c r="O22" s="36" t="n">
        <f>451000000</f>
        <v>4.51E8</v>
      </c>
    </row>
    <row r="23" spans="1:15" ht="24.9" customHeight="1">
      <c r="A23" s="38"/>
      <c r="B23" s="62"/>
      <c r="C23" s="24" t="s">
        <v>18</v>
      </c>
      <c r="D23" s="25" t="n">
        <f>663</f>
        <v>663.0</v>
      </c>
      <c r="E23" s="37" t="n">
        <f>663</f>
        <v>663.0</v>
      </c>
      <c r="F23" s="25" t="n">
        <f>150</f>
        <v>150.0</v>
      </c>
      <c r="G23" s="37" t="n">
        <f>50</f>
        <v>50.0</v>
      </c>
      <c r="H23" s="25" t="n">
        <f>813</f>
        <v>813.0</v>
      </c>
      <c r="I23" s="37" t="n">
        <f>713</f>
        <v>713.0</v>
      </c>
      <c r="J23" s="25" t="n">
        <f>648324980</f>
        <v>6.4832498E8</v>
      </c>
      <c r="K23" s="37" t="n">
        <f>648324980</f>
        <v>6.4832498E8</v>
      </c>
      <c r="L23" s="25" t="n">
        <f>63975000</f>
        <v>6.3975E7</v>
      </c>
      <c r="M23" s="37" t="n">
        <f>51975000</f>
        <v>5.1975E7</v>
      </c>
      <c r="N23" s="25" t="n">
        <f>712299980</f>
        <v>7.1229998E8</v>
      </c>
      <c r="O23" s="37" t="n">
        <f>700299980</f>
        <v>7.0029998E8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78</f>
        <v>78.0</v>
      </c>
      <c r="E37" s="22" t="n">
        <f>25</f>
        <v>25.0</v>
      </c>
      <c r="F37" s="21" t="n">
        <f>30</f>
        <v>30.0</v>
      </c>
      <c r="G37" s="22" t="n">
        <f>0</f>
        <v>0.0</v>
      </c>
      <c r="H37" s="21" t="n">
        <f>108</f>
        <v>108.0</v>
      </c>
      <c r="I37" s="22" t="n">
        <f>25</f>
        <v>25.0</v>
      </c>
      <c r="J37" s="21" t="n">
        <f>12110000</f>
        <v>1.211E7</v>
      </c>
      <c r="K37" s="22" t="n">
        <f>5000000</f>
        <v>5000000.0</v>
      </c>
      <c r="L37" s="21" t="n">
        <f>5400000</f>
        <v>5400000.0</v>
      </c>
      <c r="M37" s="22" t="n">
        <f>0</f>
        <v>0.0</v>
      </c>
      <c r="N37" s="21" t="n">
        <f>17510000</f>
        <v>1.751E7</v>
      </c>
      <c r="O37" s="22" t="n">
        <f>5000000</f>
        <v>5000000.0</v>
      </c>
    </row>
    <row r="38" spans="1:15" ht="24.9" customHeight="1">
      <c r="A38" s="38"/>
      <c r="B38" s="62"/>
      <c r="C38" s="20" t="s">
        <v>17</v>
      </c>
      <c r="D38" s="21" t="n">
        <f>10</f>
        <v>10.0</v>
      </c>
      <c r="E38" s="36" t="n">
        <f>0</f>
        <v>0.0</v>
      </c>
      <c r="F38" s="21" t="n">
        <f>0</f>
        <v>0.0</v>
      </c>
      <c r="G38" s="36" t="n">
        <f>0</f>
        <v>0.0</v>
      </c>
      <c r="H38" s="21" t="n">
        <f>10</f>
        <v>10.0</v>
      </c>
      <c r="I38" s="36" t="n">
        <f>0</f>
        <v>0.0</v>
      </c>
      <c r="J38" s="21" t="n">
        <f>2300000</f>
        <v>2300000.0</v>
      </c>
      <c r="K38" s="36" t="n">
        <f>0</f>
        <v>0.0</v>
      </c>
      <c r="L38" s="21" t="n">
        <f>0</f>
        <v>0.0</v>
      </c>
      <c r="M38" s="36" t="n">
        <f>0</f>
        <v>0.0</v>
      </c>
      <c r="N38" s="21" t="n">
        <f>2300000</f>
        <v>2300000.0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88</f>
        <v>88.0</v>
      </c>
      <c r="E39" s="37" t="n">
        <f>25</f>
        <v>25.0</v>
      </c>
      <c r="F39" s="25" t="n">
        <f>30</f>
        <v>30.0</v>
      </c>
      <c r="G39" s="37" t="n">
        <f>0</f>
        <v>0.0</v>
      </c>
      <c r="H39" s="25" t="n">
        <f>118</f>
        <v>118.0</v>
      </c>
      <c r="I39" s="37" t="n">
        <f>25</f>
        <v>25.0</v>
      </c>
      <c r="J39" s="25" t="n">
        <f>14410000</f>
        <v>1.441E7</v>
      </c>
      <c r="K39" s="37" t="n">
        <f>5000000</f>
        <v>5000000.0</v>
      </c>
      <c r="L39" s="25" t="n">
        <f>5400000</f>
        <v>5400000.0</v>
      </c>
      <c r="M39" s="37" t="n">
        <f>0</f>
        <v>0.0</v>
      </c>
      <c r="N39" s="25" t="n">
        <f>19810000</f>
        <v>1.981E7</v>
      </c>
      <c r="O39" s="37" t="n">
        <f>5000000</f>
        <v>5000000.0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186</f>
        <v>186.0</v>
      </c>
      <c r="E41" s="36" t="n">
        <f>0</f>
        <v>0.0</v>
      </c>
      <c r="F41" s="21" t="n">
        <f>655</f>
        <v>655.0</v>
      </c>
      <c r="G41" s="36" t="n">
        <f>150</f>
        <v>150.0</v>
      </c>
      <c r="H41" s="21" t="n">
        <f>841</f>
        <v>841.0</v>
      </c>
      <c r="I41" s="36" t="n">
        <f>150</f>
        <v>150.0</v>
      </c>
      <c r="J41" s="21" t="n">
        <f>4189070</f>
        <v>4189070.0</v>
      </c>
      <c r="K41" s="36" t="n">
        <f>0</f>
        <v>0.0</v>
      </c>
      <c r="L41" s="21" t="n">
        <f>55413173</f>
        <v>5.5413173E7</v>
      </c>
      <c r="M41" s="36" t="n">
        <f>51100000</f>
        <v>5.11E7</v>
      </c>
      <c r="N41" s="21" t="n">
        <f>59602243</f>
        <v>5.9602243E7</v>
      </c>
      <c r="O41" s="36" t="n">
        <f>51100000</f>
        <v>5.11E7</v>
      </c>
    </row>
    <row r="42" spans="1:15" ht="24.9" customHeight="1">
      <c r="A42" s="38"/>
      <c r="B42" s="62"/>
      <c r="C42" s="20" t="s">
        <v>17</v>
      </c>
      <c r="D42" s="21" t="n">
        <f>2665</f>
        <v>2665.0</v>
      </c>
      <c r="E42" s="36" t="n">
        <f>2000</f>
        <v>2000.0</v>
      </c>
      <c r="F42" s="21" t="n">
        <f>2099</f>
        <v>2099.0</v>
      </c>
      <c r="G42" s="36" t="n">
        <f>2000</f>
        <v>2000.0</v>
      </c>
      <c r="H42" s="21" t="n">
        <f>4764</f>
        <v>4764.0</v>
      </c>
      <c r="I42" s="36" t="n">
        <f>4000</f>
        <v>4000.0</v>
      </c>
      <c r="J42" s="21" t="n">
        <f>61578180</f>
        <v>6.157818E7</v>
      </c>
      <c r="K42" s="36" t="n">
        <f>15200000</f>
        <v>1.52E7</v>
      </c>
      <c r="L42" s="21" t="n">
        <f>33310720</f>
        <v>3.331072E7</v>
      </c>
      <c r="M42" s="36" t="n">
        <f>30800000</f>
        <v>3.08E7</v>
      </c>
      <c r="N42" s="21" t="n">
        <f>94888900</f>
        <v>9.48889E7</v>
      </c>
      <c r="O42" s="36" t="n">
        <f>46000000</f>
        <v>4.6E7</v>
      </c>
    </row>
    <row r="43" spans="1:15" ht="24.9" customHeight="1">
      <c r="A43" s="38"/>
      <c r="B43" s="62"/>
      <c r="C43" s="24" t="s">
        <v>18</v>
      </c>
      <c r="D43" s="25" t="n">
        <f>2851</f>
        <v>2851.0</v>
      </c>
      <c r="E43" s="37" t="n">
        <f>2000</f>
        <v>2000.0</v>
      </c>
      <c r="F43" s="25" t="n">
        <f>2754</f>
        <v>2754.0</v>
      </c>
      <c r="G43" s="37" t="n">
        <f>2150</f>
        <v>2150.0</v>
      </c>
      <c r="H43" s="25" t="n">
        <f>5605</f>
        <v>5605.0</v>
      </c>
      <c r="I43" s="37" t="n">
        <f>4150</f>
        <v>4150.0</v>
      </c>
      <c r="J43" s="25" t="n">
        <f>65767250</f>
        <v>6.576725E7</v>
      </c>
      <c r="K43" s="37" t="n">
        <f>15200000</f>
        <v>1.52E7</v>
      </c>
      <c r="L43" s="25" t="n">
        <f>88723893</f>
        <v>8.8723893E7</v>
      </c>
      <c r="M43" s="37" t="n">
        <f>81900000</f>
        <v>8.19E7</v>
      </c>
      <c r="N43" s="25" t="n">
        <f>154491143</f>
        <v>1.54491143E8</v>
      </c>
      <c r="O43" s="37" t="n">
        <f>97100000</f>
        <v>9.71E7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