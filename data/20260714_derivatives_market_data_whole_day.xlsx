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<sst xmlns="http://schemas.openxmlformats.org/spreadsheetml/2006/main" count="528" uniqueCount="129">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</sst>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DATE(2026,07,14)</f>
        <v>46217.0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DATE(2026,07,14)</f>
        <v>46217.0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737119.0</f>
        <v>737119.0</v>
      </c>
      <c r="E12" s="18" t="n">
        <f>28649.0</f>
        <v>28649.0</v>
      </c>
      <c r="F12" s="19" t="n">
        <f>1.0</f>
        <v>1.0</v>
      </c>
      <c r="G12" s="17" t="n">
        <f>5140231317890.0</f>
        <v>5.14023131789E12</v>
      </c>
      <c r="H12" s="18" t="n">
        <f>282099612790.0</f>
        <v>2.8209961279E11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613615.0</f>
        <v>613615.0</v>
      </c>
      <c r="E13" s="22" t="n">
        <f>21014.0</f>
        <v>21014.0</v>
      </c>
      <c r="F13" s="23" t="n">
        <f>1.0</f>
        <v>1.0</v>
      </c>
      <c r="G13" s="21" t="n">
        <f>6054630456115.0</f>
        <v>6.054630456115E12</v>
      </c>
      <c r="H13" s="22" t="n">
        <f>240233098840.0</f>
        <v>2.4023309884E11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639346.0</f>
        <v>639346.0</v>
      </c>
      <c r="E14" s="22" t="n">
        <f>43884.0</f>
        <v>43884.0</v>
      </c>
      <c r="F14" s="23" t="n">
        <f>1.0</f>
        <v>1.0</v>
      </c>
      <c r="G14" s="21" t="n">
        <f>7388253000176.0</f>
        <v>7.388253000176E12</v>
      </c>
      <c r="H14" s="22" t="n">
        <f>952605115501.0</f>
        <v>9.52605115501E11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1990080.0</f>
        <v>1990080.0</v>
      </c>
      <c r="E15" s="26" t="n">
        <f>93547.0</f>
        <v>93547.0</v>
      </c>
      <c r="F15" s="27" t="n">
        <f>1.0</f>
        <v>1.0</v>
      </c>
      <c r="G15" s="25" t="n">
        <f>18583114774181.0</f>
        <v>1.8583114774181E13</v>
      </c>
      <c r="H15" s="26" t="n">
        <f>1474937827131.0</f>
        <v>1.474937827131E12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16398.0</f>
        <v>16398.0</v>
      </c>
      <c r="E16" s="18" t="n">
        <f>405.0</f>
        <v>405.0</v>
      </c>
      <c r="F16" s="19" t="n">
        <f>0.022</f>
        <v>0.022</v>
      </c>
      <c r="G16" s="17" t="n">
        <f>1706049478750.0</f>
        <v>1.70604947875E12</v>
      </c>
      <c r="H16" s="18" t="n">
        <f>51486780000.0</f>
        <v>5.148678E10</v>
      </c>
      <c r="I16" s="19" t="n">
        <f>0.332</f>
        <v>0.332</v>
      </c>
    </row>
    <row r="17" spans="1:9" ht="24.9" customHeight="1">
      <c r="A17" s="41"/>
      <c r="B17" s="39"/>
      <c r="C17" s="20" t="s">
        <v>16</v>
      </c>
      <c r="D17" s="21" t="n">
        <f>19603.0</f>
        <v>19603.0</v>
      </c>
      <c r="E17" s="22" t="n">
        <f>476.0</f>
        <v>476.0</v>
      </c>
      <c r="F17" s="23" t="n">
        <f>0.032</f>
        <v>0.032</v>
      </c>
      <c r="G17" s="21" t="n">
        <f>2416807509875.0</f>
        <v>2.416807509875E12</v>
      </c>
      <c r="H17" s="22" t="n">
        <f>60522230000.0</f>
        <v>6.052223E10</v>
      </c>
      <c r="I17" s="23" t="n">
        <f>0.399</f>
        <v>0.399</v>
      </c>
    </row>
    <row r="18" spans="1:9" ht="24.9" customHeight="1">
      <c r="A18" s="41"/>
      <c r="B18" s="39"/>
      <c r="C18" s="20" t="s">
        <v>17</v>
      </c>
      <c r="D18" s="21" t="n">
        <f>22035.0</f>
        <v>22035.0</v>
      </c>
      <c r="E18" s="22" t="n">
        <f>1035.0</f>
        <v>1035.0</v>
      </c>
      <c r="F18" s="23" t="n">
        <f>0.034</f>
        <v>0.034</v>
      </c>
      <c r="G18" s="21" t="n">
        <f>2763117076125.0</f>
        <v>2.763117076125E12</v>
      </c>
      <c r="H18" s="22" t="n">
        <f>131820790000.0</f>
        <v>1.3182079E11</v>
      </c>
      <c r="I18" s="23" t="n">
        <f>0.374</f>
        <v>0.374</v>
      </c>
    </row>
    <row r="19" spans="1:9" ht="24.9" customHeight="1">
      <c r="A19" s="41"/>
      <c r="B19" s="39"/>
      <c r="C19" s="24" t="s">
        <v>18</v>
      </c>
      <c r="D19" s="25" t="n">
        <f>58036.0</f>
        <v>58036.0</v>
      </c>
      <c r="E19" s="26" t="n">
        <f>1916.0</f>
        <v>1916.0</v>
      </c>
      <c r="F19" s="27" t="n">
        <f>0.029</f>
        <v>0.029</v>
      </c>
      <c r="G19" s="25" t="n">
        <f>6885974064750.0</f>
        <v>6.88597406475E12</v>
      </c>
      <c r="H19" s="26" t="n">
        <f>243829800000.0</f>
        <v>2.438298E11</v>
      </c>
      <c r="I19" s="27" t="n">
        <f>0.371</f>
        <v>0.371</v>
      </c>
    </row>
    <row r="20" spans="1:9" ht="24.9" customHeight="1">
      <c r="A20" s="41"/>
      <c r="B20" s="39" t="s">
        <v>21</v>
      </c>
      <c r="C20" s="16" t="s">
        <v>15</v>
      </c>
      <c r="D20" s="17" t="n">
        <f>704944.0</f>
        <v>704944.0</v>
      </c>
      <c r="E20" s="18" t="n">
        <f>28244.0</f>
        <v>28244.0</v>
      </c>
      <c r="F20" s="19" t="n">
        <f>0.956</f>
        <v>0.956</v>
      </c>
      <c r="G20" s="17" t="n">
        <f>3271130771840.0</f>
        <v>3.27113077184E12</v>
      </c>
      <c r="H20" s="18" t="n">
        <f>230612832790.0</f>
        <v>2.3061283279E11</v>
      </c>
      <c r="I20" s="19" t="n">
        <f>0.636</f>
        <v>0.636</v>
      </c>
    </row>
    <row r="21" spans="1:9" ht="24.9" customHeight="1">
      <c r="A21" s="41"/>
      <c r="B21" s="39"/>
      <c r="C21" s="20" t="s">
        <v>16</v>
      </c>
      <c r="D21" s="21" t="n">
        <f>586095.0</f>
        <v>586095.0</v>
      </c>
      <c r="E21" s="22" t="n">
        <f>20538.0</f>
        <v>20538.0</v>
      </c>
      <c r="F21" s="23" t="n">
        <f>0.955</f>
        <v>0.955</v>
      </c>
      <c r="G21" s="21" t="n">
        <f>3562179941590.0</f>
        <v>3.56217994159E12</v>
      </c>
      <c r="H21" s="22" t="n">
        <f>179710868840.0</f>
        <v>1.7971086884E11</v>
      </c>
      <c r="I21" s="23" t="n">
        <f>0.588</f>
        <v>0.588</v>
      </c>
    </row>
    <row r="22" spans="1:9" ht="24.9" customHeight="1">
      <c r="A22" s="41"/>
      <c r="B22" s="39"/>
      <c r="C22" s="20" t="s">
        <v>17</v>
      </c>
      <c r="D22" s="21" t="n">
        <f>607745.0</f>
        <v>607745.0</v>
      </c>
      <c r="E22" s="22" t="n">
        <f>42849.0</f>
        <v>42849.0</v>
      </c>
      <c r="F22" s="23" t="n">
        <f>0.951</f>
        <v>0.951</v>
      </c>
      <c r="G22" s="21" t="n">
        <f>4550957189901.0</f>
        <v>4.550957189901E12</v>
      </c>
      <c r="H22" s="22" t="n">
        <f>820784325501.0</f>
        <v>8.20784325501E11</v>
      </c>
      <c r="I22" s="23" t="n">
        <f>0.616</f>
        <v>0.616</v>
      </c>
    </row>
    <row r="23" spans="1:9" ht="24.9" customHeight="1">
      <c r="A23" s="41"/>
      <c r="B23" s="39"/>
      <c r="C23" s="24" t="s">
        <v>18</v>
      </c>
      <c r="D23" s="25" t="n">
        <f>1898784.0</f>
        <v>1898784.0</v>
      </c>
      <c r="E23" s="26" t="n">
        <f>91631.0</f>
        <v>91631.0</v>
      </c>
      <c r="F23" s="27" t="n">
        <f>0.954</f>
        <v>0.954</v>
      </c>
      <c r="G23" s="25" t="n">
        <f>11384267903331.0</f>
        <v>1.1384267903331E13</v>
      </c>
      <c r="H23" s="26" t="n">
        <f>1231108027131.0</f>
        <v>1.231108027131E12</v>
      </c>
      <c r="I23" s="27" t="n">
        <f>0.613</f>
        <v>0.613</v>
      </c>
    </row>
    <row r="24" spans="1:9" ht="24.9" customHeight="1">
      <c r="A24" s="41"/>
      <c r="B24" s="39" t="s">
        <v>22</v>
      </c>
      <c r="C24" s="16" t="s">
        <v>15</v>
      </c>
      <c r="D24" s="17" t="n">
        <f>15246.0</f>
        <v>15246.0</v>
      </c>
      <c r="E24" s="18" t="n">
        <f>0.0</f>
        <v>0.0</v>
      </c>
      <c r="F24" s="19" t="n">
        <f>0.021</f>
        <v>0.021</v>
      </c>
      <c r="G24" s="17" t="n">
        <f>161071778800.0</f>
        <v>1.610717788E11</v>
      </c>
      <c r="H24" s="18" t="n">
        <f>0.0</f>
        <v>0.0</v>
      </c>
      <c r="I24" s="19" t="n">
        <f>0.031</f>
        <v>0.031</v>
      </c>
    </row>
    <row r="25" spans="1:9" ht="24.9" customHeight="1">
      <c r="A25" s="41"/>
      <c r="B25" s="39"/>
      <c r="C25" s="20" t="s">
        <v>16</v>
      </c>
      <c r="D25" s="21" t="n">
        <f>7418.0</f>
        <v>7418.0</v>
      </c>
      <c r="E25" s="22" t="n">
        <f>0.0</f>
        <v>0.0</v>
      </c>
      <c r="F25" s="23" t="n">
        <f>0.012</f>
        <v>0.012</v>
      </c>
      <c r="G25" s="21" t="n">
        <f>73695863650.0</f>
        <v>7.369586365E10</v>
      </c>
      <c r="H25" s="22" t="n">
        <f>0.0</f>
        <v>0.0</v>
      </c>
      <c r="I25" s="23" t="n">
        <f>0.012</f>
        <v>0.012</v>
      </c>
    </row>
    <row r="26" spans="1:9" ht="24.9" customHeight="1">
      <c r="A26" s="41"/>
      <c r="B26" s="39"/>
      <c r="C26" s="20" t="s">
        <v>17</v>
      </c>
      <c r="D26" s="21" t="n">
        <f>7577.0</f>
        <v>7577.0</v>
      </c>
      <c r="E26" s="22" t="n">
        <f>0.0</f>
        <v>0.0</v>
      </c>
      <c r="F26" s="23" t="n">
        <f>0.012</f>
        <v>0.012</v>
      </c>
      <c r="G26" s="21" t="n">
        <f>66419691150.0</f>
        <v>6.641969115E10</v>
      </c>
      <c r="H26" s="22" t="n">
        <f>0.0</f>
        <v>0.0</v>
      </c>
      <c r="I26" s="23" t="n">
        <f>0.009</f>
        <v>0.009</v>
      </c>
    </row>
    <row r="27" spans="1:9" ht="24.9" customHeight="1">
      <c r="A27" s="42"/>
      <c r="B27" s="39"/>
      <c r="C27" s="24" t="s">
        <v>18</v>
      </c>
      <c r="D27" s="25" t="n">
        <f>30241.0</f>
        <v>30241.0</v>
      </c>
      <c r="E27" s="26" t="n">
        <f>0.0</f>
        <v>0.0</v>
      </c>
      <c r="F27" s="27" t="n">
        <f>0.015</f>
        <v>0.015</v>
      </c>
      <c r="G27" s="25" t="n">
        <f>301187333600.0</f>
        <v>3.011873336E11</v>
      </c>
      <c r="H27" s="26" t="n">
        <f>0.0</f>
        <v>0.0</v>
      </c>
      <c r="I27" s="27" t="n">
        <f>0.016</f>
        <v>0.016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531.0</f>
        <v>531.0</v>
      </c>
      <c r="E28" s="18" t="n">
        <f>0.0</f>
        <v>0.0</v>
      </c>
      <c r="F28" s="19" t="n">
        <f>0.001</f>
        <v>0.001</v>
      </c>
      <c r="G28" s="17" t="n">
        <f>1979288500.0</f>
        <v>1.9792885E9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499.0</f>
        <v>499.0</v>
      </c>
      <c r="E29" s="22" t="n">
        <f>0.0</f>
        <v>0.0</v>
      </c>
      <c r="F29" s="23" t="n">
        <f>0.001</f>
        <v>0.001</v>
      </c>
      <c r="G29" s="21" t="n">
        <f>1947141000.0</f>
        <v>1.947141E9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1989.0</f>
        <v>1989.0</v>
      </c>
      <c r="E30" s="22" t="n">
        <f>0.0</f>
        <v>0.0</v>
      </c>
      <c r="F30" s="23" t="n">
        <f>0.003</f>
        <v>0.003</v>
      </c>
      <c r="G30" s="21" t="n">
        <f>7759043000.0</f>
        <v>7.759043E9</v>
      </c>
      <c r="H30" s="22" t="n">
        <f>0.0</f>
        <v>0.0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3019.0</f>
        <v>3019.0</v>
      </c>
      <c r="E31" s="26" t="n">
        <f>0.0</f>
        <v>0.0</v>
      </c>
      <c r="F31" s="27" t="n">
        <f>0.002</f>
        <v>0.002</v>
      </c>
      <c r="G31" s="25" t="n">
        <f>11685472500.0</f>
        <v>1.16854725E10</v>
      </c>
      <c r="H31" s="26" t="n">
        <f>0.0</f>
        <v>0.0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46217.0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46217.0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14971</f>
        <v>14971.0</v>
      </c>
      <c r="E11" s="18" t="n">
        <f>2744</f>
        <v>2744.0</v>
      </c>
      <c r="F11" s="19" t="n">
        <f>1</f>
        <v>1.0</v>
      </c>
      <c r="G11" s="17" t="n">
        <f>7598580380</f>
        <v>7.59858038E9</v>
      </c>
      <c r="H11" s="18" t="n">
        <f>5987563180</f>
        <v>5.98756318E9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54135</f>
        <v>54135.0</v>
      </c>
      <c r="E12" s="22" t="n">
        <f>5511</f>
        <v>5511.0</v>
      </c>
      <c r="F12" s="23" t="n">
        <f>1</f>
        <v>1.0</v>
      </c>
      <c r="G12" s="21" t="n">
        <f>8988688870</f>
        <v>8.98868887E9</v>
      </c>
      <c r="H12" s="22" t="n">
        <f>6879371720</f>
        <v>6.87937172E9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45971</f>
        <v>45971.0</v>
      </c>
      <c r="E13" s="22" t="n">
        <f>19650</f>
        <v>19650.0</v>
      </c>
      <c r="F13" s="23" t="n">
        <f>1</f>
        <v>1.0</v>
      </c>
      <c r="G13" s="21" t="n">
        <f>25164142056</f>
        <v>2.5164142056E10</v>
      </c>
      <c r="H13" s="22" t="n">
        <f>20160212252</f>
        <v>2.0160212252E10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115077</f>
        <v>115077.0</v>
      </c>
      <c r="E14" s="26" t="n">
        <f>27905</f>
        <v>27905.0</v>
      </c>
      <c r="F14" s="27" t="n">
        <f>1</f>
        <v>1.0</v>
      </c>
      <c r="G14" s="25" t="n">
        <f>41751411306</f>
        <v>4.1751411306E10</v>
      </c>
      <c r="H14" s="26" t="n">
        <f>33027147152</f>
        <v>3.3027147152E10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3</f>
        <v>3.0</v>
      </c>
      <c r="E16" s="22" t="n">
        <f>0</f>
        <v>0.0</v>
      </c>
      <c r="F16" s="23" t="n">
        <f>0</f>
        <v>0.0</v>
      </c>
      <c r="G16" s="21" t="n">
        <f>330000</f>
        <v>330000.0</v>
      </c>
      <c r="H16" s="22" t="n">
        <f>0</f>
        <v>0.0</v>
      </c>
      <c r="I16" s="23" t="n">
        <f>0</f>
        <v>0.0</v>
      </c>
    </row>
    <row r="17" spans="1:9" ht="24.9" customHeight="1">
      <c r="A17" s="41"/>
      <c r="B17" s="39"/>
      <c r="C17" s="20" t="s">
        <v>17</v>
      </c>
      <c r="D17" s="21" t="n">
        <f>200</f>
        <v>200.0</v>
      </c>
      <c r="E17" s="22" t="n">
        <f>50</f>
        <v>50.0</v>
      </c>
      <c r="F17" s="23" t="n">
        <f>0.004</f>
        <v>0.004</v>
      </c>
      <c r="G17" s="21" t="n">
        <f>27130000</f>
        <v>2.713E7</v>
      </c>
      <c r="H17" s="22" t="n">
        <f>16250000</f>
        <v>1.625E7</v>
      </c>
      <c r="I17" s="23" t="n">
        <f>0.001</f>
        <v>0.001</v>
      </c>
    </row>
    <row r="18" spans="1:9" ht="24.9" customHeight="1">
      <c r="A18" s="41"/>
      <c r="B18" s="39"/>
      <c r="C18" s="24" t="s">
        <v>18</v>
      </c>
      <c r="D18" s="25" t="n">
        <f>203</f>
        <v>203.0</v>
      </c>
      <c r="E18" s="26" t="n">
        <f>50</f>
        <v>50.0</v>
      </c>
      <c r="F18" s="27" t="n">
        <f>0.002</f>
        <v>0.002</v>
      </c>
      <c r="G18" s="25" t="n">
        <f>27460000</f>
        <v>2.746E7</v>
      </c>
      <c r="H18" s="26" t="n">
        <f>16250000</f>
        <v>1.625E7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14971</f>
        <v>14971.0</v>
      </c>
      <c r="E19" s="18" t="n">
        <f>2744</f>
        <v>2744.0</v>
      </c>
      <c r="F19" s="19" t="n">
        <f>1</f>
        <v>1.0</v>
      </c>
      <c r="G19" s="17" t="n">
        <f>7598580380</f>
        <v>7.59858038E9</v>
      </c>
      <c r="H19" s="18" t="n">
        <f>5987563180</f>
        <v>5.98756318E9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20692</f>
        <v>20692.0</v>
      </c>
      <c r="E20" s="22" t="n">
        <f>4511</f>
        <v>4511.0</v>
      </c>
      <c r="F20" s="23" t="n">
        <f>0.382</f>
        <v>0.382</v>
      </c>
      <c r="G20" s="21" t="n">
        <f>8871708520</f>
        <v>8.87170852E9</v>
      </c>
      <c r="H20" s="22" t="n">
        <f>6797571720</f>
        <v>6.79757172E9</v>
      </c>
      <c r="I20" s="23" t="n">
        <f>0.987</f>
        <v>0.987</v>
      </c>
    </row>
    <row r="21" spans="1:9" ht="24.9" customHeight="1">
      <c r="A21" s="41"/>
      <c r="B21" s="39"/>
      <c r="C21" s="20" t="s">
        <v>17</v>
      </c>
      <c r="D21" s="21" t="n">
        <f>42045</f>
        <v>42045.0</v>
      </c>
      <c r="E21" s="22" t="n">
        <f>19450</f>
        <v>19450.0</v>
      </c>
      <c r="F21" s="23" t="n">
        <f>0.915</f>
        <v>0.915</v>
      </c>
      <c r="G21" s="21" t="n">
        <f>25120241152</f>
        <v>2.5120241152E10</v>
      </c>
      <c r="H21" s="22" t="n">
        <f>20143099752</f>
        <v>2.0143099752E10</v>
      </c>
      <c r="I21" s="23" t="n">
        <f>0.998</f>
        <v>0.998</v>
      </c>
    </row>
    <row r="22" spans="1:9" ht="24.9" customHeight="1">
      <c r="A22" s="41"/>
      <c r="B22" s="39"/>
      <c r="C22" s="24" t="s">
        <v>18</v>
      </c>
      <c r="D22" s="25" t="n">
        <f>77708</f>
        <v>77708.0</v>
      </c>
      <c r="E22" s="26" t="n">
        <f>26705</f>
        <v>26705.0</v>
      </c>
      <c r="F22" s="27" t="n">
        <f>0.675</f>
        <v>0.675</v>
      </c>
      <c r="G22" s="25" t="n">
        <f>41590530052</f>
        <v>4.1590530052E10</v>
      </c>
      <c r="H22" s="26" t="n">
        <f>32928234652</f>
        <v>3.2928234652E10</v>
      </c>
      <c r="I22" s="27" t="n">
        <f>0.996</f>
        <v>0.996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33440</f>
        <v>33440.0</v>
      </c>
      <c r="E24" s="22" t="n">
        <f>1000</f>
        <v>1000.0</v>
      </c>
      <c r="F24" s="23" t="n">
        <f>0.618</f>
        <v>0.618</v>
      </c>
      <c r="G24" s="21" t="n">
        <f>116650350</f>
        <v>1.1665035E8</v>
      </c>
      <c r="H24" s="22" t="n">
        <f>81800000</f>
        <v>8.18E7</v>
      </c>
      <c r="I24" s="23" t="n">
        <f>0.013</f>
        <v>0.013</v>
      </c>
    </row>
    <row r="25" spans="1:9" ht="24.9" customHeight="1">
      <c r="A25" s="41"/>
      <c r="B25" s="39"/>
      <c r="C25" s="20" t="s">
        <v>17</v>
      </c>
      <c r="D25" s="21" t="n">
        <f>3726</f>
        <v>3726.0</v>
      </c>
      <c r="E25" s="22" t="n">
        <f>150</f>
        <v>150.0</v>
      </c>
      <c r="F25" s="23" t="n">
        <f>0.081</f>
        <v>0.081</v>
      </c>
      <c r="G25" s="21" t="n">
        <f>16770904</f>
        <v>1.6770904E7</v>
      </c>
      <c r="H25" s="22" t="n">
        <f>862500</f>
        <v>862500.0</v>
      </c>
      <c r="I25" s="23" t="n">
        <f>0.001</f>
        <v>0.001</v>
      </c>
    </row>
    <row r="26" spans="1:9" ht="24.9" customHeight="1">
      <c r="A26" s="41"/>
      <c r="B26" s="39"/>
      <c r="C26" s="24" t="s">
        <v>18</v>
      </c>
      <c r="D26" s="25" t="n">
        <f>37166</f>
        <v>37166.0</v>
      </c>
      <c r="E26" s="26" t="n">
        <f>1150</f>
        <v>1150.0</v>
      </c>
      <c r="F26" s="27" t="n">
        <f>0.323</f>
        <v>0.323</v>
      </c>
      <c r="G26" s="25" t="n">
        <f>133421254</f>
        <v>1.33421254E8</v>
      </c>
      <c r="H26" s="26" t="n">
        <f>82662500</f>
        <v>8.26625E7</v>
      </c>
      <c r="I26" s="27" t="n">
        <f>0.003</f>
        <v>0.003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46217.0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46217.0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11072.0</v>
      </c>
      <c r="F12" s="18" t="n">
        <f>624</f>
        <v>624.0</v>
      </c>
      <c r="G12" s="17" t="n">
        <v>7.4924725664E11</v>
      </c>
      <c r="H12" s="18" t="n">
        <f>42196334640</f>
        <v>4.219633464E10</v>
      </c>
    </row>
    <row r="13" spans="1:8" ht="24.9" customHeight="1">
      <c r="A13" s="51"/>
      <c r="B13" s="57"/>
      <c r="C13" s="39"/>
      <c r="D13" s="20" t="s">
        <v>16</v>
      </c>
      <c r="E13" s="21" t="n">
        <v>14952.0</v>
      </c>
      <c r="F13" s="22" t="n">
        <f>591</f>
        <v>591.0</v>
      </c>
      <c r="G13" s="21" t="n">
        <v>1.0020544713E12</v>
      </c>
      <c r="H13" s="22" t="n">
        <f>39639031300</f>
        <v>3.96390313E10</v>
      </c>
    </row>
    <row r="14" spans="1:8" ht="24.9" customHeight="1">
      <c r="A14" s="51"/>
      <c r="B14" s="57"/>
      <c r="C14" s="39"/>
      <c r="D14" s="20" t="s">
        <v>17</v>
      </c>
      <c r="E14" s="21" t="n">
        <v>21820.0</v>
      </c>
      <c r="F14" s="22" t="n">
        <f>5052</f>
        <v>5052.0</v>
      </c>
      <c r="G14" s="21" t="n">
        <v>1.470253058101E12</v>
      </c>
      <c r="H14" s="22" t="n">
        <f>341060947101</f>
        <v>3.41060947101E11</v>
      </c>
    </row>
    <row r="15" spans="1:8" ht="24.9" customHeight="1">
      <c r="A15" s="51"/>
      <c r="B15" s="57"/>
      <c r="C15" s="39"/>
      <c r="D15" s="24" t="s">
        <v>18</v>
      </c>
      <c r="E15" s="25" t="n">
        <v>47844.0</v>
      </c>
      <c r="F15" s="26" t="n">
        <f>6267</f>
        <v>6267.0</v>
      </c>
      <c r="G15" s="25" t="n">
        <v>3.221554786041E12</v>
      </c>
      <c r="H15" s="26" t="n">
        <f>422896313041</f>
        <v>4.22896313041E11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249207.0</v>
      </c>
      <c r="F16" s="18" t="n">
        <f>27175</f>
        <v>27175.0</v>
      </c>
      <c r="G16" s="17" t="n">
        <v>1.68644587335E12</v>
      </c>
      <c r="H16" s="18" t="n">
        <f>183953467850</f>
        <v>1.8395346785E11</v>
      </c>
    </row>
    <row r="17" spans="1:8" ht="24.9" customHeight="1">
      <c r="A17" s="51"/>
      <c r="B17" s="57"/>
      <c r="C17" s="39"/>
      <c r="D17" s="20" t="s">
        <v>16</v>
      </c>
      <c r="E17" s="21" t="n">
        <v>239040.0</v>
      </c>
      <c r="F17" s="22" t="n">
        <f>19389</f>
        <v>19389.0</v>
      </c>
      <c r="G17" s="21" t="n">
        <v>1.60241158224E12</v>
      </c>
      <c r="H17" s="22" t="n">
        <f>129939488240</f>
        <v>1.2993948824E11</v>
      </c>
    </row>
    <row r="18" spans="1:8" ht="24.9" customHeight="1">
      <c r="A18" s="51"/>
      <c r="B18" s="57"/>
      <c r="C18" s="39"/>
      <c r="D18" s="20" t="s">
        <v>17</v>
      </c>
      <c r="E18" s="21" t="n">
        <v>240602.0</v>
      </c>
      <c r="F18" s="22" t="n">
        <f>30022</f>
        <v>30022.0</v>
      </c>
      <c r="G18" s="21" t="n">
        <v>1.61850515126E12</v>
      </c>
      <c r="H18" s="22" t="n">
        <f>201992527760</f>
        <v>2.0199252776E11</v>
      </c>
    </row>
    <row r="19" spans="1:8" ht="24.9" customHeight="1">
      <c r="A19" s="51"/>
      <c r="B19" s="57"/>
      <c r="C19" s="39"/>
      <c r="D19" s="24" t="s">
        <v>18</v>
      </c>
      <c r="E19" s="25" t="n">
        <v>728849.0</v>
      </c>
      <c r="F19" s="26" t="n">
        <f>76586</f>
        <v>76586.0</v>
      </c>
      <c r="G19" s="25" t="n">
        <v>4.90736260685E12</v>
      </c>
      <c r="H19" s="26" t="n">
        <f>515885483850</f>
        <v>5.1588548385E11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426309.0</v>
      </c>
      <c r="F20" s="18" t="str">
        <f>"－"</f>
        <v>－</v>
      </c>
      <c r="G20" s="17" t="n">
        <v>2.8850264845E11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303691.0</v>
      </c>
      <c r="F21" s="22" t="str">
        <f>"－"</f>
        <v>－</v>
      </c>
      <c r="G21" s="21" t="n">
        <v>2.036168427E11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304466.0</v>
      </c>
      <c r="F22" s="22" t="str">
        <f>"－"</f>
        <v>－</v>
      </c>
      <c r="G22" s="21" t="n">
        <v>2.046717351E11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1034466.0</v>
      </c>
      <c r="F23" s="26" t="str">
        <f>"－"</f>
        <v>－</v>
      </c>
      <c r="G23" s="25" t="n">
        <v>6.9679122625E11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13048.0</v>
      </c>
      <c r="F24" s="18" t="n">
        <f>65</f>
        <v>65.0</v>
      </c>
      <c r="G24" s="17" t="n">
        <v>5.27563451E11</v>
      </c>
      <c r="H24" s="18" t="n">
        <f>2623066000</f>
        <v>2.623066E9</v>
      </c>
    </row>
    <row r="25" spans="1:8" ht="24.9" customHeight="1">
      <c r="A25" s="51"/>
      <c r="B25" s="57"/>
      <c r="C25" s="39"/>
      <c r="D25" s="20" t="s">
        <v>16</v>
      </c>
      <c r="E25" s="21" t="n">
        <v>17797.0</v>
      </c>
      <c r="F25" s="22" t="n">
        <f>211</f>
        <v>211.0</v>
      </c>
      <c r="G25" s="21" t="n">
        <v>7.14951442E11</v>
      </c>
      <c r="H25" s="22" t="n">
        <f>8474777000</f>
        <v>8.474777E9</v>
      </c>
    </row>
    <row r="26" spans="1:8" ht="24.9" customHeight="1">
      <c r="A26" s="51"/>
      <c r="B26" s="57"/>
      <c r="C26" s="39"/>
      <c r="D26" s="20" t="s">
        <v>17</v>
      </c>
      <c r="E26" s="21" t="n">
        <v>30257.0</v>
      </c>
      <c r="F26" s="22" t="n">
        <f>6837</f>
        <v>6837.0</v>
      </c>
      <c r="G26" s="21" t="n">
        <v>1.22007798514E12</v>
      </c>
      <c r="H26" s="22" t="n">
        <f>275325330140</f>
        <v>2.7532533014E11</v>
      </c>
    </row>
    <row r="27" spans="1:8" ht="24.9" customHeight="1">
      <c r="A27" s="51"/>
      <c r="B27" s="57"/>
      <c r="C27" s="39"/>
      <c r="D27" s="24" t="s">
        <v>18</v>
      </c>
      <c r="E27" s="25" t="n">
        <v>61102.0</v>
      </c>
      <c r="F27" s="26" t="n">
        <f>7113</f>
        <v>7113.0</v>
      </c>
      <c r="G27" s="25" t="n">
        <v>2.46259287814E12</v>
      </c>
      <c r="H27" s="26" t="n">
        <f>286423173140</f>
        <v>2.8642317314E11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3629.0</v>
      </c>
      <c r="F28" s="18" t="n">
        <f>251</f>
        <v>251.0</v>
      </c>
      <c r="G28" s="17" t="n">
        <v>1.46695426E10</v>
      </c>
      <c r="H28" s="18" t="n">
        <f>1014632100</f>
        <v>1.0146321E9</v>
      </c>
    </row>
    <row r="29" spans="1:8" ht="24.9" customHeight="1">
      <c r="A29" s="51"/>
      <c r="B29" s="57"/>
      <c r="C29" s="39"/>
      <c r="D29" s="20" t="s">
        <v>16</v>
      </c>
      <c r="E29" s="21" t="n">
        <v>8567.0</v>
      </c>
      <c r="F29" s="22" t="n">
        <f>207</f>
        <v>207.0</v>
      </c>
      <c r="G29" s="21" t="n">
        <v>3.439931455E10</v>
      </c>
      <c r="H29" s="22" t="n">
        <f>830940300</f>
        <v>8.309403E8</v>
      </c>
    </row>
    <row r="30" spans="1:8" ht="24.9" customHeight="1">
      <c r="A30" s="51"/>
      <c r="B30" s="57"/>
      <c r="C30" s="39"/>
      <c r="D30" s="20" t="s">
        <v>17</v>
      </c>
      <c r="E30" s="21" t="n">
        <v>8302.0</v>
      </c>
      <c r="F30" s="22" t="n">
        <f>474</f>
        <v>474.0</v>
      </c>
      <c r="G30" s="21" t="n">
        <v>3.34867596E10</v>
      </c>
      <c r="H30" s="22" t="n">
        <f>1914253600</f>
        <v>1.9142536E9</v>
      </c>
    </row>
    <row r="31" spans="1:8" ht="24.9" customHeight="1">
      <c r="A31" s="51"/>
      <c r="B31" s="57"/>
      <c r="C31" s="39"/>
      <c r="D31" s="24" t="s">
        <v>18</v>
      </c>
      <c r="E31" s="25" t="n">
        <v>20498.0</v>
      </c>
      <c r="F31" s="26" t="n">
        <f>932</f>
        <v>932.0</v>
      </c>
      <c r="G31" s="25" t="n">
        <v>8.255561675E10</v>
      </c>
      <c r="H31" s="26" t="n">
        <f>3759826000</f>
        <v>3.759826E9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384.0</v>
      </c>
      <c r="F36" s="18" t="n">
        <f>0</f>
        <v>0.0</v>
      </c>
      <c r="G36" s="17" t="n">
        <v>1.406739E9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713.0</v>
      </c>
      <c r="F37" s="22" t="n">
        <f>3</f>
        <v>3.0</v>
      </c>
      <c r="G37" s="21" t="n">
        <v>2.5911595E9</v>
      </c>
      <c r="H37" s="22" t="n">
        <f>10902000</f>
        <v>1.0902E7</v>
      </c>
    </row>
    <row r="38" spans="1:8" ht="24.9" customHeight="1">
      <c r="A38" s="51"/>
      <c r="B38" s="57"/>
      <c r="C38" s="39"/>
      <c r="D38" s="20" t="s">
        <v>17</v>
      </c>
      <c r="E38" s="21" t="n">
        <v>605.0</v>
      </c>
      <c r="F38" s="22" t="n">
        <f>8</f>
        <v>8.0</v>
      </c>
      <c r="G38" s="21" t="n">
        <v>2.20808849E9</v>
      </c>
      <c r="H38" s="22" t="n">
        <f>29102490</f>
        <v>2.910249E7</v>
      </c>
    </row>
    <row r="39" spans="1:8" ht="24.9" customHeight="1">
      <c r="A39" s="51"/>
      <c r="B39" s="57"/>
      <c r="C39" s="39"/>
      <c r="D39" s="24" t="s">
        <v>18</v>
      </c>
      <c r="E39" s="25" t="n">
        <v>1702.0</v>
      </c>
      <c r="F39" s="26" t="n">
        <f>11</f>
        <v>11.0</v>
      </c>
      <c r="G39" s="25" t="n">
        <v>6.20598699E9</v>
      </c>
      <c r="H39" s="26" t="n">
        <f>40004490</f>
        <v>4.000449E7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1.0</v>
      </c>
      <c r="F41" s="22" t="n">
        <f>0</f>
        <v>0.0</v>
      </c>
      <c r="G41" s="21" t="n">
        <v>2060500.0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1.0</v>
      </c>
      <c r="F42" s="22" t="n">
        <f>0</f>
        <v>0.0</v>
      </c>
      <c r="G42" s="21" t="n">
        <v>2075500.0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2.0</v>
      </c>
      <c r="F43" s="26" t="n">
        <f>0</f>
        <v>0.0</v>
      </c>
      <c r="G43" s="25" t="n">
        <v>4136000.0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106.0</v>
      </c>
      <c r="F44" s="18" t="n">
        <f>106</f>
        <v>106.0</v>
      </c>
      <c r="G44" s="17" t="n">
        <v>7.7698E8</v>
      </c>
      <c r="H44" s="18" t="n">
        <f>776980000</f>
        <v>7.7698E8</v>
      </c>
    </row>
    <row r="45" spans="1:8" ht="24.9" customHeight="1">
      <c r="A45" s="51"/>
      <c r="B45" s="57"/>
      <c r="C45" s="39"/>
      <c r="D45" s="20" t="s">
        <v>16</v>
      </c>
      <c r="E45" s="21" t="n">
        <v>106.0</v>
      </c>
      <c r="F45" s="22" t="n">
        <f>106</f>
        <v>106.0</v>
      </c>
      <c r="G45" s="21" t="n">
        <v>7.80213E8</v>
      </c>
      <c r="H45" s="22" t="n">
        <f>780213000</f>
        <v>7.80213E8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212.0</v>
      </c>
      <c r="F47" s="26" t="n">
        <f>212</f>
        <v>212.0</v>
      </c>
      <c r="G47" s="25" t="n">
        <v>1.557193E9</v>
      </c>
      <c r="H47" s="26" t="n">
        <f>1557193000</f>
        <v>1.557193E9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0.0</v>
      </c>
      <c r="F48" s="18" t="n">
        <f>0</f>
        <v>0.0</v>
      </c>
      <c r="G48" s="17" t="n">
        <v>0.0</v>
      </c>
      <c r="H48" s="18" t="n">
        <f>0</f>
        <v>0.0</v>
      </c>
    </row>
    <row r="49" spans="1:8" ht="24.9" customHeight="1">
      <c r="A49" s="51"/>
      <c r="B49" s="57"/>
      <c r="C49" s="39"/>
      <c r="D49" s="20" t="s">
        <v>16</v>
      </c>
      <c r="E49" s="21" t="n">
        <v>44.0</v>
      </c>
      <c r="F49" s="22" t="n">
        <f>0</f>
        <v>0.0</v>
      </c>
      <c r="G49" s="21" t="n">
        <v>7.9978E7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320.0</v>
      </c>
      <c r="F50" s="22" t="n">
        <f>113</f>
        <v>113.0</v>
      </c>
      <c r="G50" s="21" t="n">
        <v>5.8359829E8</v>
      </c>
      <c r="H50" s="22" t="n">
        <f>206061790</f>
        <v>2.0606179E8</v>
      </c>
    </row>
    <row r="51" spans="1:8" ht="24.9" customHeight="1">
      <c r="A51" s="51"/>
      <c r="B51" s="57"/>
      <c r="C51" s="39"/>
      <c r="D51" s="24" t="s">
        <v>18</v>
      </c>
      <c r="E51" s="25" t="n">
        <v>364.0</v>
      </c>
      <c r="F51" s="26" t="n">
        <f>113</f>
        <v>113.0</v>
      </c>
      <c r="G51" s="25" t="n">
        <v>6.6357629E8</v>
      </c>
      <c r="H51" s="26" t="n">
        <f>206061790</f>
        <v>2.0606179E8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462.0</v>
      </c>
      <c r="F56" s="18" t="n">
        <f>16</f>
        <v>16.0</v>
      </c>
      <c r="G56" s="17" t="n">
        <v>3.28918E8</v>
      </c>
      <c r="H56" s="18" t="n">
        <f>11378000</f>
        <v>1.1378E7</v>
      </c>
    </row>
    <row r="57" spans="1:8" ht="24.9" customHeight="1">
      <c r="A57" s="51"/>
      <c r="B57" s="57"/>
      <c r="C57" s="39"/>
      <c r="D57" s="20" t="s">
        <v>16</v>
      </c>
      <c r="E57" s="21" t="n">
        <v>935.0</v>
      </c>
      <c r="F57" s="22" t="n">
        <f>28</f>
        <v>28.0</v>
      </c>
      <c r="G57" s="21" t="n">
        <v>6.598041E8</v>
      </c>
      <c r="H57" s="22" t="n">
        <f>19727100</f>
        <v>1.97271E7</v>
      </c>
    </row>
    <row r="58" spans="1:8" ht="24.9" customHeight="1">
      <c r="A58" s="51"/>
      <c r="B58" s="57"/>
      <c r="C58" s="39"/>
      <c r="D58" s="20" t="s">
        <v>17</v>
      </c>
      <c r="E58" s="21" t="n">
        <v>1274.0</v>
      </c>
      <c r="F58" s="22" t="n">
        <f>341</f>
        <v>341.0</v>
      </c>
      <c r="G58" s="21" t="n">
        <v>9.0724782E8</v>
      </c>
      <c r="H58" s="22" t="n">
        <f>245562820</f>
        <v>2.4556282E8</v>
      </c>
    </row>
    <row r="59" spans="1:8" ht="24.9" customHeight="1">
      <c r="A59" s="51"/>
      <c r="B59" s="57"/>
      <c r="C59" s="39"/>
      <c r="D59" s="24" t="s">
        <v>18</v>
      </c>
      <c r="E59" s="25" t="n">
        <v>2671.0</v>
      </c>
      <c r="F59" s="26" t="n">
        <f>385</f>
        <v>385.0</v>
      </c>
      <c r="G59" s="25" t="n">
        <v>1.89596992E9</v>
      </c>
      <c r="H59" s="26" t="n">
        <f>276667920</f>
        <v>2.7666792E8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233.0</v>
      </c>
      <c r="F60" s="18" t="n">
        <f>7</f>
        <v>7.0</v>
      </c>
      <c r="G60" s="17" t="n">
        <v>1.2308497E9</v>
      </c>
      <c r="H60" s="18" t="n">
        <f>36974200</f>
        <v>3.69742E7</v>
      </c>
    </row>
    <row r="61" spans="1:8" ht="24.9" customHeight="1">
      <c r="A61" s="51"/>
      <c r="B61" s="57"/>
      <c r="C61" s="39"/>
      <c r="D61" s="20" t="s">
        <v>16</v>
      </c>
      <c r="E61" s="21" t="n">
        <v>26.0</v>
      </c>
      <c r="F61" s="22" t="n">
        <f>3</f>
        <v>3.0</v>
      </c>
      <c r="G61" s="21" t="n">
        <v>1.368929E8</v>
      </c>
      <c r="H61" s="22" t="n">
        <f>15789900</f>
        <v>1.57899E7</v>
      </c>
    </row>
    <row r="62" spans="1:8" ht="24.9" customHeight="1">
      <c r="A62" s="51"/>
      <c r="B62" s="57"/>
      <c r="C62" s="39"/>
      <c r="D62" s="20" t="s">
        <v>17</v>
      </c>
      <c r="E62" s="21" t="n">
        <v>13.0</v>
      </c>
      <c r="F62" s="22" t="n">
        <f>2</f>
        <v>2.0</v>
      </c>
      <c r="G62" s="21" t="n">
        <v>6.84536E7</v>
      </c>
      <c r="H62" s="22" t="n">
        <f>10539800</f>
        <v>1.05398E7</v>
      </c>
    </row>
    <row r="63" spans="1:8" ht="24.9" customHeight="1">
      <c r="A63" s="51"/>
      <c r="B63" s="57"/>
      <c r="C63" s="39"/>
      <c r="D63" s="24" t="s">
        <v>18</v>
      </c>
      <c r="E63" s="25" t="n">
        <v>272.0</v>
      </c>
      <c r="F63" s="26" t="n">
        <f>12</f>
        <v>12.0</v>
      </c>
      <c r="G63" s="25" t="n">
        <v>1.4361962E9</v>
      </c>
      <c r="H63" s="26" t="n">
        <f>63303900</f>
        <v>6.33039E7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13.0</v>
      </c>
      <c r="F77" s="22" t="n">
        <f>0</f>
        <v>0.0</v>
      </c>
      <c r="G77" s="21" t="n">
        <v>4978500.0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5.0</v>
      </c>
      <c r="F78" s="22" t="n">
        <f>0</f>
        <v>0.0</v>
      </c>
      <c r="G78" s="21" t="n">
        <v>1881000.0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18.0</v>
      </c>
      <c r="F79" s="26" t="n">
        <f>0</f>
        <v>0.0</v>
      </c>
      <c r="G79" s="25" t="n">
        <v>6859500.0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224.0</v>
      </c>
      <c r="F92" s="18" t="n">
        <f>0</f>
        <v>0.0</v>
      </c>
      <c r="G92" s="17" t="n">
        <v>3.618071E8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14.0</v>
      </c>
      <c r="F93" s="22" t="n">
        <f>0</f>
        <v>0.0</v>
      </c>
      <c r="G93" s="21" t="n">
        <v>2.26106E7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0.0</v>
      </c>
      <c r="F94" s="22" t="n">
        <f>0</f>
        <v>0.0</v>
      </c>
      <c r="G94" s="21" t="n">
        <v>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238.0</v>
      </c>
      <c r="F95" s="26" t="n">
        <f>0</f>
        <v>0.0</v>
      </c>
      <c r="G95" s="25" t="n">
        <v>3.844177E8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180.0</v>
      </c>
      <c r="F96" s="18" t="n">
        <f>0</f>
        <v>0.0</v>
      </c>
      <c r="G96" s="17" t="n">
        <v>4.30456E8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196.0</v>
      </c>
      <c r="F97" s="22" t="n">
        <f>0</f>
        <v>0.0</v>
      </c>
      <c r="G97" s="21" t="n">
        <v>4.685917E8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80.0</v>
      </c>
      <c r="F98" s="22" t="n">
        <f>0</f>
        <v>0.0</v>
      </c>
      <c r="G98" s="21" t="n">
        <v>1.91156E8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456.0</v>
      </c>
      <c r="F99" s="26" t="n">
        <f>0</f>
        <v>0.0</v>
      </c>
      <c r="G99" s="25" t="n">
        <v>1.0902037E9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90.0</v>
      </c>
      <c r="F100" s="18" t="n">
        <f>0</f>
        <v>0.0</v>
      </c>
      <c r="G100" s="17" t="n">
        <v>1.6625E8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90.0</v>
      </c>
      <c r="F103" s="26" t="n">
        <f>0</f>
        <v>0.0</v>
      </c>
      <c r="G103" s="25" t="n">
        <v>1.6625E8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12702.0</v>
      </c>
      <c r="F108" s="18" t="n">
        <f>405</f>
        <v>405.0</v>
      </c>
      <c r="G108" s="17" t="n">
        <v>1.61470123E12</v>
      </c>
      <c r="H108" s="18" t="n">
        <f>51486780000</f>
        <v>5.148678E10</v>
      </c>
    </row>
    <row r="109" spans="1:8" ht="24.9" customHeight="1">
      <c r="A109" s="51"/>
      <c r="B109" s="57"/>
      <c r="C109" s="39"/>
      <c r="D109" s="20" t="s">
        <v>16</v>
      </c>
      <c r="E109" s="21" t="n">
        <v>18871.0</v>
      </c>
      <c r="F109" s="22" t="n">
        <f>476</f>
        <v>476.0</v>
      </c>
      <c r="G109" s="21" t="n">
        <v>2.39954391E12</v>
      </c>
      <c r="H109" s="22" t="n">
        <f>60522230000</f>
        <v>6.052223E10</v>
      </c>
    </row>
    <row r="110" spans="1:8" ht="24.9" customHeight="1">
      <c r="A110" s="51"/>
      <c r="B110" s="57"/>
      <c r="C110" s="39"/>
      <c r="D110" s="20" t="s">
        <v>17</v>
      </c>
      <c r="E110" s="21" t="n">
        <v>21578.0</v>
      </c>
      <c r="F110" s="22" t="n">
        <f>1035</f>
        <v>1035.0</v>
      </c>
      <c r="G110" s="21" t="n">
        <v>2.75199901E12</v>
      </c>
      <c r="H110" s="22" t="n">
        <f>131820790000</f>
        <v>1.3182079E11</v>
      </c>
    </row>
    <row r="111" spans="1:8" ht="24.9" customHeight="1">
      <c r="A111" s="51"/>
      <c r="B111" s="57"/>
      <c r="C111" s="39"/>
      <c r="D111" s="24" t="s">
        <v>18</v>
      </c>
      <c r="E111" s="25" t="n">
        <v>53151.0</v>
      </c>
      <c r="F111" s="26" t="n">
        <f>1916</f>
        <v>1916.0</v>
      </c>
      <c r="G111" s="25" t="n">
        <v>6.76624415E12</v>
      </c>
      <c r="H111" s="26" t="n">
        <f>243829800000</f>
        <v>2.438298E11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1.0</v>
      </c>
      <c r="F113" s="22" t="n">
        <f>0</f>
        <v>0.0</v>
      </c>
      <c r="G113" s="21" t="n">
        <v>1.2718E7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2.0</v>
      </c>
      <c r="F114" s="22" t="n">
        <f>0</f>
        <v>0.0</v>
      </c>
      <c r="G114" s="21" t="n">
        <v>2.5518E7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3.0</v>
      </c>
      <c r="F115" s="26" t="n">
        <f>0</f>
        <v>0.0</v>
      </c>
      <c r="G115" s="25" t="n">
        <v>3.8236E7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50.0</v>
      </c>
      <c r="F117" s="22" t="n">
        <f>0</f>
        <v>0.0</v>
      </c>
      <c r="G117" s="21" t="n">
        <v>4.5415E8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10.0</v>
      </c>
      <c r="F118" s="22" t="n">
        <f>0</f>
        <v>0.0</v>
      </c>
      <c r="G118" s="21" t="n">
        <v>9.2E7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60.0</v>
      </c>
      <c r="F119" s="26" t="n">
        <f>0</f>
        <v>0.0</v>
      </c>
      <c r="G119" s="25" t="n">
        <v>5.4615E8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3696.0</v>
      </c>
      <c r="F120" s="18" t="n">
        <f>0</f>
        <v>0.0</v>
      </c>
      <c r="G120" s="17" t="n">
        <v>9.134824875E10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681.0</v>
      </c>
      <c r="F121" s="22" t="n">
        <f>0</f>
        <v>0.0</v>
      </c>
      <c r="G121" s="21" t="n">
        <v>1.6796731875E10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445.0</v>
      </c>
      <c r="F122" s="22" t="n">
        <f>0</f>
        <v>0.0</v>
      </c>
      <c r="G122" s="21" t="n">
        <v>1.1000548125E10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4822.0</v>
      </c>
      <c r="F123" s="26" t="n">
        <f>0</f>
        <v>0.0</v>
      </c>
      <c r="G123" s="25" t="n">
        <v>1.1914552875E11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6557.0</v>
      </c>
      <c r="F124" s="18" t="n">
        <f>0</f>
        <v>0.0</v>
      </c>
      <c r="G124" s="17" t="n">
        <v>1.41226681E11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2957.0</v>
      </c>
      <c r="F125" s="22" t="n">
        <f>0</f>
        <v>0.0</v>
      </c>
      <c r="G125" s="21" t="n">
        <v>6.3078315E10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2591.0</v>
      </c>
      <c r="F126" s="22" t="n">
        <f>0</f>
        <v>0.0</v>
      </c>
      <c r="G126" s="21" t="n">
        <v>5.5565991E10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12105.0</v>
      </c>
      <c r="F127" s="26" t="n">
        <f>0</f>
        <v>0.0</v>
      </c>
      <c r="G127" s="25" t="n">
        <v>2.59870987E11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98.0</v>
      </c>
      <c r="F128" s="18" t="n">
        <f>0</f>
        <v>0.0</v>
      </c>
      <c r="G128" s="17" t="n">
        <v>2.091313E8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110.0</v>
      </c>
      <c r="F129" s="22" t="n">
        <f>0</f>
        <v>0.0</v>
      </c>
      <c r="G129" s="21" t="n">
        <v>2.335857E8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72.0</v>
      </c>
      <c r="F130" s="22" t="n">
        <f>0</f>
        <v>0.0</v>
      </c>
      <c r="G130" s="21" t="n">
        <v>1.536519E8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280.0</v>
      </c>
      <c r="F131" s="26" t="n">
        <f>0</f>
        <v>0.0</v>
      </c>
      <c r="G131" s="25" t="n">
        <v>5.963689E8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7254.0</v>
      </c>
      <c r="F132" s="18" t="n">
        <f>0</f>
        <v>0.0</v>
      </c>
      <c r="G132" s="17" t="n">
        <v>1.56174049E10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2452.0</v>
      </c>
      <c r="F133" s="22" t="n">
        <f>0</f>
        <v>0.0</v>
      </c>
      <c r="G133" s="21" t="n">
        <v>5.23593075E9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2269.0</v>
      </c>
      <c r="F134" s="22" t="n">
        <f>0</f>
        <v>0.0</v>
      </c>
      <c r="G134" s="21" t="n">
        <v>4.86915215E9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11975.0</v>
      </c>
      <c r="F135" s="26" t="n">
        <f>0</f>
        <v>0.0</v>
      </c>
      <c r="G135" s="25" t="n">
        <v>2.57224878E10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26.0</v>
      </c>
      <c r="F136" s="18" t="n">
        <f>0</f>
        <v>0.0</v>
      </c>
      <c r="G136" s="17" t="n">
        <v>5.52471E7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25.0</v>
      </c>
      <c r="F137" s="22" t="n">
        <f>0</f>
        <v>0.0</v>
      </c>
      <c r="G137" s="21" t="n">
        <v>5.29177E7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31.0</v>
      </c>
      <c r="F138" s="22" t="n">
        <f>0</f>
        <v>0.0</v>
      </c>
      <c r="G138" s="21" t="n">
        <v>6.57575E7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82.0</v>
      </c>
      <c r="F139" s="26" t="n">
        <f>0</f>
        <v>0.0</v>
      </c>
      <c r="G139" s="25" t="n">
        <v>1.739223E8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873.0</v>
      </c>
      <c r="F144" s="18" t="n">
        <f>0</f>
        <v>0.0</v>
      </c>
      <c r="G144" s="17" t="n">
        <v>3.579316E9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1057.0</v>
      </c>
      <c r="F145" s="22" t="n">
        <f>0</f>
        <v>0.0</v>
      </c>
      <c r="G145" s="21" t="n">
        <v>4.2860315E9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890.0</v>
      </c>
      <c r="F146" s="22" t="n">
        <f>0</f>
        <v>0.0</v>
      </c>
      <c r="G146" s="21" t="n">
        <v>3.625842E9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2820.0</v>
      </c>
      <c r="F147" s="26" t="n">
        <f>0</f>
        <v>0.0</v>
      </c>
      <c r="G147" s="25" t="n">
        <v>1.14911895E10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31.0</v>
      </c>
      <c r="F148" s="18" t="n">
        <f>0</f>
        <v>0.0</v>
      </c>
      <c r="G148" s="17" t="n">
        <v>2.60351E7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21.0</v>
      </c>
      <c r="F149" s="22" t="n">
        <f>0</f>
        <v>0.0</v>
      </c>
      <c r="G149" s="21" t="n">
        <v>1.74438E7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290.0</v>
      </c>
      <c r="F150" s="22" t="n">
        <f>0</f>
        <v>0.0</v>
      </c>
      <c r="G150" s="21" t="n">
        <v>2.420898E8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342.0</v>
      </c>
      <c r="F151" s="26" t="n">
        <f>0</f>
        <v>0.0</v>
      </c>
      <c r="G151" s="25" t="n">
        <v>2.855687E8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266.0</v>
      </c>
      <c r="F152" s="18" t="n">
        <f>0</f>
        <v>0.0</v>
      </c>
      <c r="G152" s="17" t="n">
        <v>2.176152E8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195.0</v>
      </c>
      <c r="F153" s="22" t="n">
        <f>0</f>
        <v>0.0</v>
      </c>
      <c r="G153" s="21" t="n">
        <v>1.581536E8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103.0</v>
      </c>
      <c r="F154" s="22" t="n">
        <f>0</f>
        <v>0.0</v>
      </c>
      <c r="G154" s="21" t="n">
        <v>8.39055E7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564.0</v>
      </c>
      <c r="F155" s="26" t="n">
        <f>0</f>
        <v>0.0</v>
      </c>
      <c r="G155" s="25" t="n">
        <v>4.596743E8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122.0</v>
      </c>
      <c r="F156" s="18" t="n">
        <f>0</f>
        <v>0.0</v>
      </c>
      <c r="G156" s="17" t="n">
        <v>1.003637E8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487.0</v>
      </c>
      <c r="F157" s="22" t="n">
        <f>0</f>
        <v>0.0</v>
      </c>
      <c r="G157" s="21" t="n">
        <v>3.933976E8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757.0</v>
      </c>
      <c r="F158" s="22" t="n">
        <f>0</f>
        <v>0.0</v>
      </c>
      <c r="G158" s="21" t="n">
        <v>6.158073E8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1366.0</v>
      </c>
      <c r="F159" s="26" t="n">
        <f>0</f>
        <v>0.0</v>
      </c>
      <c r="G159" s="25" t="n">
        <v>1.1095686E9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19.0</v>
      </c>
      <c r="F168" s="18" t="n">
        <f>0</f>
        <v>0.0</v>
      </c>
      <c r="G168" s="17" t="n">
        <v>3.99845E7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114.0</v>
      </c>
      <c r="F169" s="22" t="n">
        <f>0</f>
        <v>0.0</v>
      </c>
      <c r="G169" s="21" t="n">
        <v>2.40088E8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522.0</v>
      </c>
      <c r="F170" s="22" t="n">
        <f>0</f>
        <v>0.0</v>
      </c>
      <c r="G170" s="21" t="n">
        <v>1.108544E9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655.0</v>
      </c>
      <c r="F171" s="26" t="n">
        <f>0</f>
        <v>0.0</v>
      </c>
      <c r="G171" s="25" t="n">
        <v>1.3886165E9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52.0</v>
      </c>
      <c r="F178" s="22" t="n">
        <f>0</f>
        <v>0.0</v>
      </c>
      <c r="G178" s="21" t="n">
        <v>8.895E7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52.0</v>
      </c>
      <c r="F179" s="26" t="n">
        <f>0</f>
        <v>0.0</v>
      </c>
      <c r="G179" s="25" t="n">
        <v>8.895E7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531.0</v>
      </c>
      <c r="F204" s="18" t="n">
        <f>0</f>
        <v>0.0</v>
      </c>
      <c r="G204" s="17" t="n">
        <v>1.9792885E9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499.0</v>
      </c>
      <c r="F205" s="22" t="n">
        <f>0</f>
        <v>0.0</v>
      </c>
      <c r="G205" s="21" t="n">
        <v>1.947141E9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1989.0</v>
      </c>
      <c r="F206" s="22" t="n">
        <f>0</f>
        <v>0.0</v>
      </c>
      <c r="G206" s="21" t="n">
        <v>7.759043E9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3019.0</v>
      </c>
      <c r="F207" s="26" t="n">
        <f>0</f>
        <v>0.0</v>
      </c>
      <c r="G207" s="25" t="n">
        <v>1.16854725E10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46217.0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46217.0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2185</f>
        <v>2185.0</v>
      </c>
      <c r="E12" s="35" t="n">
        <f>1415</f>
        <v>1415.0</v>
      </c>
      <c r="F12" s="17" t="n">
        <f>1238</f>
        <v>1238.0</v>
      </c>
      <c r="G12" s="35" t="n">
        <f>559</f>
        <v>559.0</v>
      </c>
      <c r="H12" s="17" t="n">
        <f>3423</f>
        <v>3423.0</v>
      </c>
      <c r="I12" s="35" t="n">
        <f>1974</f>
        <v>1974.0</v>
      </c>
      <c r="J12" s="17" t="n">
        <f>5447134180</f>
        <v>5.44713418E9</v>
      </c>
      <c r="K12" s="35" t="n">
        <f>5021688180</f>
        <v>5.02168818E9</v>
      </c>
      <c r="L12" s="17" t="n">
        <f>1334903010</f>
        <v>1.33490301E9</v>
      </c>
      <c r="M12" s="35" t="n">
        <f>959510010</f>
        <v>9.5951001E8</v>
      </c>
      <c r="N12" s="17" t="n">
        <f>6782037190</f>
        <v>6.78203719E9</v>
      </c>
      <c r="O12" s="35" t="n">
        <f>5981198190</f>
        <v>5.98119819E9</v>
      </c>
    </row>
    <row r="13" spans="1:15" ht="24.9" customHeight="1">
      <c r="A13" s="38"/>
      <c r="B13" s="62"/>
      <c r="C13" s="20" t="s">
        <v>16</v>
      </c>
      <c r="D13" s="21" t="n">
        <f>3763</f>
        <v>3763.0</v>
      </c>
      <c r="E13" s="36" t="n">
        <f>2193</f>
        <v>2193.0</v>
      </c>
      <c r="F13" s="21" t="n">
        <f>2378</f>
        <v>2378.0</v>
      </c>
      <c r="G13" s="36" t="n">
        <f>968</f>
        <v>968.0</v>
      </c>
      <c r="H13" s="21" t="n">
        <f>6141</f>
        <v>6141.0</v>
      </c>
      <c r="I13" s="36" t="n">
        <f>3161</f>
        <v>3161.0</v>
      </c>
      <c r="J13" s="21" t="n">
        <f>6306314760</f>
        <v>6.30631476E9</v>
      </c>
      <c r="K13" s="36" t="n">
        <f>5641714760</f>
        <v>5.64171476E9</v>
      </c>
      <c r="L13" s="21" t="n">
        <f>2028769460</f>
        <v>2.02876946E9</v>
      </c>
      <c r="M13" s="36" t="n">
        <f>1097938460</f>
        <v>1.09793846E9</v>
      </c>
      <c r="N13" s="21" t="n">
        <f>8335084220</f>
        <v>8.33508422E9</v>
      </c>
      <c r="O13" s="36" t="n">
        <f>6739653220</f>
        <v>6.73965322E9</v>
      </c>
    </row>
    <row r="14" spans="1:15" ht="24.9" customHeight="1">
      <c r="A14" s="38"/>
      <c r="B14" s="62"/>
      <c r="C14" s="20" t="s">
        <v>17</v>
      </c>
      <c r="D14" s="21" t="n">
        <f>16995</f>
        <v>16995.0</v>
      </c>
      <c r="E14" s="36" t="n">
        <f>13287</f>
        <v>13287.0</v>
      </c>
      <c r="F14" s="21" t="n">
        <f>6257</f>
        <v>6257.0</v>
      </c>
      <c r="G14" s="36" t="n">
        <f>2903</f>
        <v>2903.0</v>
      </c>
      <c r="H14" s="21" t="n">
        <f>23252</f>
        <v>23252.0</v>
      </c>
      <c r="I14" s="36" t="n">
        <f>16190</f>
        <v>16190.0</v>
      </c>
      <c r="J14" s="21" t="n">
        <f>17752190362</f>
        <v>1.7752190362E10</v>
      </c>
      <c r="K14" s="36" t="n">
        <f>15433568362</f>
        <v>1.5433568362E10</v>
      </c>
      <c r="L14" s="21" t="n">
        <f>6347850260</f>
        <v>6.34785026E9</v>
      </c>
      <c r="M14" s="36" t="n">
        <f>4305095260</f>
        <v>4.30509526E9</v>
      </c>
      <c r="N14" s="21" t="n">
        <f>24100040622</f>
        <v>2.4100040622E10</v>
      </c>
      <c r="O14" s="36" t="n">
        <f>19738663622</f>
        <v>1.9738663622E10</v>
      </c>
    </row>
    <row r="15" spans="1:15" ht="24.9" customHeight="1">
      <c r="A15" s="38"/>
      <c r="B15" s="62"/>
      <c r="C15" s="24" t="s">
        <v>18</v>
      </c>
      <c r="D15" s="25" t="n">
        <f>22943</f>
        <v>22943.0</v>
      </c>
      <c r="E15" s="37" t="n">
        <f>16895</f>
        <v>16895.0</v>
      </c>
      <c r="F15" s="25" t="n">
        <f>9873</f>
        <v>9873.0</v>
      </c>
      <c r="G15" s="37" t="n">
        <f>4430</f>
        <v>4430.0</v>
      </c>
      <c r="H15" s="25" t="n">
        <f>32816</f>
        <v>32816.0</v>
      </c>
      <c r="I15" s="37" t="n">
        <f>21325</f>
        <v>21325.0</v>
      </c>
      <c r="J15" s="25" t="n">
        <f>29505639302</f>
        <v>2.9505639302E10</v>
      </c>
      <c r="K15" s="37" t="n">
        <f>26096971302</f>
        <v>2.6096971302E10</v>
      </c>
      <c r="L15" s="25" t="n">
        <f>9711522730</f>
        <v>9.71152273E9</v>
      </c>
      <c r="M15" s="37" t="n">
        <f>6362543730</f>
        <v>6.36254373E9</v>
      </c>
      <c r="N15" s="25" t="n">
        <f>39217162032</f>
        <v>3.9217162032E10</v>
      </c>
      <c r="O15" s="37" t="n">
        <f>32459515032</f>
        <v>3.2459515032E10</v>
      </c>
    </row>
    <row r="16" spans="1:15" ht="24.9" customHeight="1">
      <c r="A16" s="38"/>
      <c r="B16" s="61" t="s">
        <v>105</v>
      </c>
      <c r="C16" s="16" t="s">
        <v>15</v>
      </c>
      <c r="D16" s="17" t="n">
        <f>5544</f>
        <v>5544.0</v>
      </c>
      <c r="E16" s="35" t="n">
        <f>210</f>
        <v>210.0</v>
      </c>
      <c r="F16" s="17" t="n">
        <f>6004</f>
        <v>6004.0</v>
      </c>
      <c r="G16" s="35" t="n">
        <f>560</f>
        <v>560.0</v>
      </c>
      <c r="H16" s="17" t="n">
        <f>11548</f>
        <v>11548.0</v>
      </c>
      <c r="I16" s="35" t="n">
        <f>770</f>
        <v>770.0</v>
      </c>
      <c r="J16" s="17" t="n">
        <f>399081640</f>
        <v>3.9908164E8</v>
      </c>
      <c r="K16" s="35" t="n">
        <f>2741440</f>
        <v>2741440.0</v>
      </c>
      <c r="L16" s="17" t="n">
        <f>417461550</f>
        <v>4.1746155E8</v>
      </c>
      <c r="M16" s="35" t="n">
        <f>3623550</f>
        <v>3623550.0</v>
      </c>
      <c r="N16" s="17" t="n">
        <f>816543190</f>
        <v>8.1654319E8</v>
      </c>
      <c r="O16" s="35" t="n">
        <f>6364990</f>
        <v>6364990.0</v>
      </c>
    </row>
    <row r="17" spans="1:15" ht="24.9" customHeight="1">
      <c r="A17" s="38"/>
      <c r="B17" s="62"/>
      <c r="C17" s="20" t="s">
        <v>16</v>
      </c>
      <c r="D17" s="21" t="n">
        <f>7488</f>
        <v>7488.0</v>
      </c>
      <c r="E17" s="36" t="n">
        <f>720</f>
        <v>720.0</v>
      </c>
      <c r="F17" s="21" t="n">
        <f>7013</f>
        <v>7013.0</v>
      </c>
      <c r="G17" s="36" t="n">
        <f>580</f>
        <v>580.0</v>
      </c>
      <c r="H17" s="21" t="n">
        <f>14501</f>
        <v>14501.0</v>
      </c>
      <c r="I17" s="36" t="n">
        <f>1300</f>
        <v>1300.0</v>
      </c>
      <c r="J17" s="21" t="n">
        <f>260743190</f>
        <v>2.6074319E8</v>
      </c>
      <c r="K17" s="36" t="n">
        <f>20986790</f>
        <v>2.098679E7</v>
      </c>
      <c r="L17" s="21" t="n">
        <f>249881110</f>
        <v>2.4988111E8</v>
      </c>
      <c r="M17" s="36" t="n">
        <f>10931710</f>
        <v>1.093171E7</v>
      </c>
      <c r="N17" s="21" t="n">
        <f>510624300</f>
        <v>5.106243E8</v>
      </c>
      <c r="O17" s="36" t="n">
        <f>31918500</f>
        <v>3.19185E7</v>
      </c>
    </row>
    <row r="18" spans="1:15" ht="24.9" customHeight="1">
      <c r="A18" s="38"/>
      <c r="B18" s="62"/>
      <c r="C18" s="20" t="s">
        <v>17</v>
      </c>
      <c r="D18" s="21" t="n">
        <f>9581</f>
        <v>9581.0</v>
      </c>
      <c r="E18" s="36" t="n">
        <f>2140</f>
        <v>2140.0</v>
      </c>
      <c r="F18" s="21" t="n">
        <f>8812</f>
        <v>8812.0</v>
      </c>
      <c r="G18" s="36" t="n">
        <f>720</f>
        <v>720.0</v>
      </c>
      <c r="H18" s="21" t="n">
        <f>18393</f>
        <v>18393.0</v>
      </c>
      <c r="I18" s="36" t="n">
        <f>2860</f>
        <v>2860.0</v>
      </c>
      <c r="J18" s="21" t="n">
        <f>379462810</f>
        <v>3.7946281E8</v>
      </c>
      <c r="K18" s="36" t="n">
        <f>79059510</f>
        <v>7.905951E7</v>
      </c>
      <c r="L18" s="21" t="n">
        <f>321037720</f>
        <v>3.2103772E8</v>
      </c>
      <c r="M18" s="36" t="n">
        <f>5676620</f>
        <v>5676620.0</v>
      </c>
      <c r="N18" s="21" t="n">
        <f>700500530</f>
        <v>7.0050053E8</v>
      </c>
      <c r="O18" s="36" t="n">
        <f>84736130</f>
        <v>8.473613E7</v>
      </c>
    </row>
    <row r="19" spans="1:15" ht="24.9" customHeight="1">
      <c r="A19" s="38"/>
      <c r="B19" s="62"/>
      <c r="C19" s="24" t="s">
        <v>18</v>
      </c>
      <c r="D19" s="25" t="n">
        <f>22613</f>
        <v>22613.0</v>
      </c>
      <c r="E19" s="37" t="n">
        <f>3070</f>
        <v>3070.0</v>
      </c>
      <c r="F19" s="25" t="n">
        <f>21829</f>
        <v>21829.0</v>
      </c>
      <c r="G19" s="37" t="n">
        <f>1860</f>
        <v>1860.0</v>
      </c>
      <c r="H19" s="25" t="n">
        <f>44442</f>
        <v>44442.0</v>
      </c>
      <c r="I19" s="37" t="n">
        <f>4930</f>
        <v>4930.0</v>
      </c>
      <c r="J19" s="25" t="n">
        <f>1039287640</f>
        <v>1.03928764E9</v>
      </c>
      <c r="K19" s="37" t="n">
        <f>102787740</f>
        <v>1.0278774E8</v>
      </c>
      <c r="L19" s="25" t="n">
        <f>988380380</f>
        <v>9.8838038E8</v>
      </c>
      <c r="M19" s="37" t="n">
        <f>20231880</f>
        <v>2.023188E7</v>
      </c>
      <c r="N19" s="25" t="n">
        <f>2027668020</f>
        <v>2.02766802E9</v>
      </c>
      <c r="O19" s="37" t="n">
        <f>123019620</f>
        <v>1.2301962E8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50</f>
        <v>50.0</v>
      </c>
      <c r="E21" s="36" t="n">
        <f>50</f>
        <v>50.0</v>
      </c>
      <c r="F21" s="21" t="n">
        <f>0</f>
        <v>0.0</v>
      </c>
      <c r="G21" s="36" t="n">
        <f>0</f>
        <v>0.0</v>
      </c>
      <c r="H21" s="21" t="n">
        <f>50</f>
        <v>50.0</v>
      </c>
      <c r="I21" s="36" t="n">
        <f>50</f>
        <v>50.0</v>
      </c>
      <c r="J21" s="21" t="n">
        <f>26000000</f>
        <v>2.6E7</v>
      </c>
      <c r="K21" s="36" t="n">
        <f>26000000</f>
        <v>2.6E7</v>
      </c>
      <c r="L21" s="21" t="n">
        <f>0</f>
        <v>0.0</v>
      </c>
      <c r="M21" s="36" t="n">
        <f>0</f>
        <v>0.0</v>
      </c>
      <c r="N21" s="21" t="n">
        <f>26000000</f>
        <v>2.6E7</v>
      </c>
      <c r="O21" s="36" t="n">
        <f>26000000</f>
        <v>2.6E7</v>
      </c>
    </row>
    <row r="22" spans="1:15" ht="24.9" customHeight="1">
      <c r="A22" s="38"/>
      <c r="B22" s="62"/>
      <c r="C22" s="20" t="s">
        <v>17</v>
      </c>
      <c r="D22" s="21" t="n">
        <f>300</f>
        <v>300.0</v>
      </c>
      <c r="E22" s="36" t="n">
        <f>300</f>
        <v>300.0</v>
      </c>
      <c r="F22" s="21" t="n">
        <f>100</f>
        <v>100.0</v>
      </c>
      <c r="G22" s="36" t="n">
        <f>100</f>
        <v>100.0</v>
      </c>
      <c r="H22" s="21" t="n">
        <f>400</f>
        <v>400.0</v>
      </c>
      <c r="I22" s="36" t="n">
        <f>400</f>
        <v>400.0</v>
      </c>
      <c r="J22" s="21" t="n">
        <f>169700000</f>
        <v>1.697E8</v>
      </c>
      <c r="K22" s="36" t="n">
        <f>169700000</f>
        <v>1.697E8</v>
      </c>
      <c r="L22" s="21" t="n">
        <f>150000000</f>
        <v>1.5E8</v>
      </c>
      <c r="M22" s="36" t="n">
        <f>150000000</f>
        <v>1.5E8</v>
      </c>
      <c r="N22" s="21" t="n">
        <f>319700000</f>
        <v>3.197E8</v>
      </c>
      <c r="O22" s="36" t="n">
        <f>319700000</f>
        <v>3.197E8</v>
      </c>
    </row>
    <row r="23" spans="1:15" ht="24.9" customHeight="1">
      <c r="A23" s="38"/>
      <c r="B23" s="62"/>
      <c r="C23" s="24" t="s">
        <v>18</v>
      </c>
      <c r="D23" s="25" t="n">
        <f>350</f>
        <v>350.0</v>
      </c>
      <c r="E23" s="37" t="n">
        <f>350</f>
        <v>350.0</v>
      </c>
      <c r="F23" s="25" t="n">
        <f>100</f>
        <v>100.0</v>
      </c>
      <c r="G23" s="37" t="n">
        <f>100</f>
        <v>100.0</v>
      </c>
      <c r="H23" s="25" t="n">
        <f>450</f>
        <v>450.0</v>
      </c>
      <c r="I23" s="37" t="n">
        <f>450</f>
        <v>450.0</v>
      </c>
      <c r="J23" s="25" t="n">
        <f>195700000</f>
        <v>1.957E8</v>
      </c>
      <c r="K23" s="37" t="n">
        <f>195700000</f>
        <v>1.957E8</v>
      </c>
      <c r="L23" s="25" t="n">
        <f>150000000</f>
        <v>1.5E8</v>
      </c>
      <c r="M23" s="37" t="n">
        <f>150000000</f>
        <v>1.5E8</v>
      </c>
      <c r="N23" s="25" t="n">
        <f>345700000</f>
        <v>3.457E8</v>
      </c>
      <c r="O23" s="37" t="n">
        <f>345700000</f>
        <v>3.457E8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0</f>
        <v>0.0</v>
      </c>
      <c r="E37" s="22" t="n">
        <f>0</f>
        <v>0.0</v>
      </c>
      <c r="F37" s="21" t="n">
        <f>3</f>
        <v>3.0</v>
      </c>
      <c r="G37" s="22" t="n">
        <f>0</f>
        <v>0.0</v>
      </c>
      <c r="H37" s="21" t="n">
        <f>3</f>
        <v>3.0</v>
      </c>
      <c r="I37" s="22" t="n">
        <f>0</f>
        <v>0.0</v>
      </c>
      <c r="J37" s="21" t="n">
        <f>0</f>
        <v>0.0</v>
      </c>
      <c r="K37" s="22" t="n">
        <f>0</f>
        <v>0.0</v>
      </c>
      <c r="L37" s="21" t="n">
        <f>330000</f>
        <v>330000.0</v>
      </c>
      <c r="M37" s="22" t="n">
        <f>0</f>
        <v>0.0</v>
      </c>
      <c r="N37" s="21" t="n">
        <f>330000</f>
        <v>330000.0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66</f>
        <v>66.0</v>
      </c>
      <c r="E38" s="36" t="n">
        <f>0</f>
        <v>0.0</v>
      </c>
      <c r="F38" s="21" t="n">
        <f>134</f>
        <v>134.0</v>
      </c>
      <c r="G38" s="36" t="n">
        <f>50</f>
        <v>50.0</v>
      </c>
      <c r="H38" s="21" t="n">
        <f>200</f>
        <v>200.0</v>
      </c>
      <c r="I38" s="36" t="n">
        <f>50</f>
        <v>50.0</v>
      </c>
      <c r="J38" s="21" t="n">
        <f>1770000</f>
        <v>1770000.0</v>
      </c>
      <c r="K38" s="36" t="n">
        <f>0</f>
        <v>0.0</v>
      </c>
      <c r="L38" s="21" t="n">
        <f>25360000</f>
        <v>2.536E7</v>
      </c>
      <c r="M38" s="36" t="n">
        <f>16250000</f>
        <v>1.625E7</v>
      </c>
      <c r="N38" s="21" t="n">
        <f>27130000</f>
        <v>2.713E7</v>
      </c>
      <c r="O38" s="36" t="n">
        <f>16250000</f>
        <v>1.625E7</v>
      </c>
    </row>
    <row r="39" spans="1:15" ht="24.9" customHeight="1">
      <c r="A39" s="38"/>
      <c r="B39" s="62"/>
      <c r="C39" s="24" t="s">
        <v>18</v>
      </c>
      <c r="D39" s="25" t="n">
        <f>66</f>
        <v>66.0</v>
      </c>
      <c r="E39" s="37" t="n">
        <f>0</f>
        <v>0.0</v>
      </c>
      <c r="F39" s="25" t="n">
        <f>137</f>
        <v>137.0</v>
      </c>
      <c r="G39" s="37" t="n">
        <f>50</f>
        <v>50.0</v>
      </c>
      <c r="H39" s="25" t="n">
        <f>203</f>
        <v>203.0</v>
      </c>
      <c r="I39" s="37" t="n">
        <f>50</f>
        <v>50.0</v>
      </c>
      <c r="J39" s="25" t="n">
        <f>1770000</f>
        <v>1770000.0</v>
      </c>
      <c r="K39" s="37" t="n">
        <f>0</f>
        <v>0.0</v>
      </c>
      <c r="L39" s="25" t="n">
        <f>25690000</f>
        <v>2.569E7</v>
      </c>
      <c r="M39" s="37" t="n">
        <f>16250000</f>
        <v>1.625E7</v>
      </c>
      <c r="N39" s="25" t="n">
        <f>27460000</f>
        <v>2.746E7</v>
      </c>
      <c r="O39" s="37" t="n">
        <f>16250000</f>
        <v>1.625E7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20796</f>
        <v>20796.0</v>
      </c>
      <c r="E41" s="36" t="n">
        <f>0</f>
        <v>0.0</v>
      </c>
      <c r="F41" s="21" t="n">
        <f>12644</f>
        <v>12644.0</v>
      </c>
      <c r="G41" s="36" t="n">
        <f>1000</f>
        <v>1000.0</v>
      </c>
      <c r="H41" s="21" t="n">
        <f>33440</f>
        <v>33440.0</v>
      </c>
      <c r="I41" s="36" t="n">
        <f>1000</f>
        <v>1000.0</v>
      </c>
      <c r="J41" s="21" t="n">
        <f>21362490</f>
        <v>2.136249E7</v>
      </c>
      <c r="K41" s="36" t="n">
        <f>0</f>
        <v>0.0</v>
      </c>
      <c r="L41" s="21" t="n">
        <f>95287860</f>
        <v>9.528786E7</v>
      </c>
      <c r="M41" s="36" t="n">
        <f>81800000</f>
        <v>8.18E7</v>
      </c>
      <c r="N41" s="21" t="n">
        <f>116650350</f>
        <v>1.1665035E8</v>
      </c>
      <c r="O41" s="36" t="n">
        <f>81800000</f>
        <v>8.18E7</v>
      </c>
    </row>
    <row r="42" spans="1:15" ht="24.9" customHeight="1">
      <c r="A42" s="38"/>
      <c r="B42" s="62"/>
      <c r="C42" s="20" t="s">
        <v>17</v>
      </c>
      <c r="D42" s="21" t="n">
        <f>408</f>
        <v>408.0</v>
      </c>
      <c r="E42" s="36" t="n">
        <f>150</f>
        <v>150.0</v>
      </c>
      <c r="F42" s="21" t="n">
        <f>3318</f>
        <v>3318.0</v>
      </c>
      <c r="G42" s="36" t="n">
        <f>0</f>
        <v>0.0</v>
      </c>
      <c r="H42" s="21" t="n">
        <f>3726</f>
        <v>3726.0</v>
      </c>
      <c r="I42" s="36" t="n">
        <f>150</f>
        <v>150.0</v>
      </c>
      <c r="J42" s="21" t="n">
        <f>3981998</f>
        <v>3981998.0</v>
      </c>
      <c r="K42" s="36" t="n">
        <f>862500</f>
        <v>862500.0</v>
      </c>
      <c r="L42" s="21" t="n">
        <f>12788906</f>
        <v>1.2788906E7</v>
      </c>
      <c r="M42" s="36" t="n">
        <f>0</f>
        <v>0.0</v>
      </c>
      <c r="N42" s="21" t="n">
        <f>16770904</f>
        <v>1.6770904E7</v>
      </c>
      <c r="O42" s="36" t="n">
        <f>862500</f>
        <v>862500.0</v>
      </c>
    </row>
    <row r="43" spans="1:15" ht="24.9" customHeight="1">
      <c r="A43" s="38"/>
      <c r="B43" s="62"/>
      <c r="C43" s="24" t="s">
        <v>18</v>
      </c>
      <c r="D43" s="25" t="n">
        <f>21204</f>
        <v>21204.0</v>
      </c>
      <c r="E43" s="37" t="n">
        <f>150</f>
        <v>150.0</v>
      </c>
      <c r="F43" s="25" t="n">
        <f>15962</f>
        <v>15962.0</v>
      </c>
      <c r="G43" s="37" t="n">
        <f>1000</f>
        <v>1000.0</v>
      </c>
      <c r="H43" s="25" t="n">
        <f>37166</f>
        <v>37166.0</v>
      </c>
      <c r="I43" s="37" t="n">
        <f>1150</f>
        <v>1150.0</v>
      </c>
      <c r="J43" s="25" t="n">
        <f>25344488</f>
        <v>2.5344488E7</v>
      </c>
      <c r="K43" s="37" t="n">
        <f>862500</f>
        <v>862500.0</v>
      </c>
      <c r="L43" s="25" t="n">
        <f>108076766</f>
        <v>1.08076766E8</v>
      </c>
      <c r="M43" s="37" t="n">
        <f>81800000</f>
        <v>8.18E7</v>
      </c>
      <c r="N43" s="25" t="n">
        <f>133421254</f>
        <v>1.33421254E8</v>
      </c>
      <c r="O43" s="37" t="n">
        <f>82662500</f>
        <v>8.26625E7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