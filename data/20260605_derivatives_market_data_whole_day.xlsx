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<sst xmlns="http://schemas.openxmlformats.org/spreadsheetml/2006/main" count="528" uniqueCount="129">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</sst>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DATE(2026,06,05)</f>
        <v>46178.0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DATE(2026,06,05)</f>
        <v>46178.0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822274.0</f>
        <v>822274.0</v>
      </c>
      <c r="E12" s="18" t="n">
        <f>36400.0</f>
        <v>36400.0</v>
      </c>
      <c r="F12" s="19" t="n">
        <f>1.0</f>
        <v>1.0</v>
      </c>
      <c r="G12" s="17" t="n">
        <f>5594055668345.0</f>
        <v>5.594055668345E12</v>
      </c>
      <c r="H12" s="18" t="n">
        <f>360056968220.0</f>
        <v>3.6005696822E11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630284.0</f>
        <v>630284.0</v>
      </c>
      <c r="E13" s="22" t="n">
        <f>83808.0</f>
        <v>83808.0</v>
      </c>
      <c r="F13" s="23" t="n">
        <f>1.0</f>
        <v>1.0</v>
      </c>
      <c r="G13" s="21" t="n">
        <f>6592258536685.0</f>
        <v>6.592258536685E12</v>
      </c>
      <c r="H13" s="22" t="n">
        <f>1362439572010.0</f>
        <v>1.36243957201E12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553816.0</f>
        <v>553816.0</v>
      </c>
      <c r="E14" s="22" t="n">
        <f>120093.0</f>
        <v>120093.0</v>
      </c>
      <c r="F14" s="23" t="n">
        <f>1.0</f>
        <v>1.0</v>
      </c>
      <c r="G14" s="21" t="n">
        <f>6176985626088.0</f>
        <v>6.176985626088E12</v>
      </c>
      <c r="H14" s="22" t="n">
        <f>1782811452138.0</f>
        <v>1.782811452138E12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2006374.0</f>
        <v>2006374.0</v>
      </c>
      <c r="E15" s="26" t="n">
        <f>240301.0</f>
        <v>240301.0</v>
      </c>
      <c r="F15" s="27" t="n">
        <f>1.0</f>
        <v>1.0</v>
      </c>
      <c r="G15" s="25" t="n">
        <f>18363299831118.0</f>
        <v>1.8363299831118E13</v>
      </c>
      <c r="H15" s="26" t="n">
        <f>3505307992368.0</f>
        <v>3.505307992368E12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10607.0</f>
        <v>10607.0</v>
      </c>
      <c r="E16" s="18" t="n">
        <f>327.0</f>
        <v>327.0</v>
      </c>
      <c r="F16" s="19" t="n">
        <f>0.013</f>
        <v>0.013</v>
      </c>
      <c r="G16" s="17" t="n">
        <f>1287520834375.0</f>
        <v>1.287520834375E12</v>
      </c>
      <c r="H16" s="18" t="n">
        <f>42160860000.0</f>
        <v>4.216086E10</v>
      </c>
      <c r="I16" s="19" t="n">
        <f>0.23</f>
        <v>0.23</v>
      </c>
    </row>
    <row r="17" spans="1:9" ht="24.9" customHeight="1">
      <c r="A17" s="41"/>
      <c r="B17" s="39"/>
      <c r="C17" s="20" t="s">
        <v>16</v>
      </c>
      <c r="D17" s="21" t="n">
        <f>55112.0</f>
        <v>55112.0</v>
      </c>
      <c r="E17" s="22" t="n">
        <f>41899.0</f>
        <v>41899.0</v>
      </c>
      <c r="F17" s="23" t="n">
        <f>0.087</f>
        <v>0.087</v>
      </c>
      <c r="G17" s="21" t="n">
        <f>2218508435875.0</f>
        <v>2.218508435875E12</v>
      </c>
      <c r="H17" s="22" t="n">
        <f>576151025000.0</f>
        <v>5.76151025E11</v>
      </c>
      <c r="I17" s="23" t="n">
        <f>0.337</f>
        <v>0.337</v>
      </c>
    </row>
    <row r="18" spans="1:9" ht="24.9" customHeight="1">
      <c r="A18" s="41"/>
      <c r="B18" s="39"/>
      <c r="C18" s="20" t="s">
        <v>17</v>
      </c>
      <c r="D18" s="21" t="n">
        <f>13304.0</f>
        <v>13304.0</v>
      </c>
      <c r="E18" s="22" t="n">
        <f>2121.0</f>
        <v>2121.0</v>
      </c>
      <c r="F18" s="23" t="n">
        <f>0.024</f>
        <v>0.024</v>
      </c>
      <c r="G18" s="21" t="n">
        <f>1399940355250.0</f>
        <v>1.39994035525E12</v>
      </c>
      <c r="H18" s="22" t="n">
        <f>263346994000.0</f>
        <v>2.63346994E11</v>
      </c>
      <c r="I18" s="23" t="n">
        <f>0.227</f>
        <v>0.227</v>
      </c>
    </row>
    <row r="19" spans="1:9" ht="24.9" customHeight="1">
      <c r="A19" s="41"/>
      <c r="B19" s="39"/>
      <c r="C19" s="24" t="s">
        <v>18</v>
      </c>
      <c r="D19" s="25" t="n">
        <f>79023.0</f>
        <v>79023.0</v>
      </c>
      <c r="E19" s="26" t="n">
        <f>44347.0</f>
        <v>44347.0</v>
      </c>
      <c r="F19" s="27" t="n">
        <f>0.039</f>
        <v>0.039</v>
      </c>
      <c r="G19" s="25" t="n">
        <f>4905969625500.0</f>
        <v>4.9059696255E12</v>
      </c>
      <c r="H19" s="26" t="n">
        <f>881658879000.0</f>
        <v>8.81658879E11</v>
      </c>
      <c r="I19" s="27" t="n">
        <f>0.267</f>
        <v>0.267</v>
      </c>
    </row>
    <row r="20" spans="1:9" ht="24.9" customHeight="1">
      <c r="A20" s="41"/>
      <c r="B20" s="39" t="s">
        <v>21</v>
      </c>
      <c r="C20" s="16" t="s">
        <v>15</v>
      </c>
      <c r="D20" s="17" t="n">
        <f>800225.0</f>
        <v>800225.0</v>
      </c>
      <c r="E20" s="18" t="n">
        <f>36073.0</f>
        <v>36073.0</v>
      </c>
      <c r="F20" s="19" t="n">
        <f>0.973</f>
        <v>0.973</v>
      </c>
      <c r="G20" s="17" t="n">
        <f>4175825553870.0</f>
        <v>4.17582555387E12</v>
      </c>
      <c r="H20" s="18" t="n">
        <f>317896108220.0</f>
        <v>3.1789610822E11</v>
      </c>
      <c r="I20" s="19" t="n">
        <f>0.746</f>
        <v>0.746</v>
      </c>
    </row>
    <row r="21" spans="1:9" ht="24.9" customHeight="1">
      <c r="A21" s="41"/>
      <c r="B21" s="39"/>
      <c r="C21" s="20" t="s">
        <v>16</v>
      </c>
      <c r="D21" s="21" t="n">
        <f>569023.0</f>
        <v>569023.0</v>
      </c>
      <c r="E21" s="22" t="n">
        <f>41909.0</f>
        <v>41909.0</v>
      </c>
      <c r="F21" s="23" t="n">
        <f>0.903</f>
        <v>0.903</v>
      </c>
      <c r="G21" s="21" t="n">
        <f>4316730364010.0</f>
        <v>4.31673036401E12</v>
      </c>
      <c r="H21" s="22" t="n">
        <f>786288547010.0</f>
        <v>7.8628854701E11</v>
      </c>
      <c r="I21" s="23" t="n">
        <f>0.655</f>
        <v>0.655</v>
      </c>
    </row>
    <row r="22" spans="1:9" ht="24.9" customHeight="1">
      <c r="A22" s="41"/>
      <c r="B22" s="39"/>
      <c r="C22" s="20" t="s">
        <v>17</v>
      </c>
      <c r="D22" s="21" t="n">
        <f>529789.0</f>
        <v>529789.0</v>
      </c>
      <c r="E22" s="22" t="n">
        <f>117970.0</f>
        <v>117970.0</v>
      </c>
      <c r="F22" s="23" t="n">
        <f>0.957</f>
        <v>0.957</v>
      </c>
      <c r="G22" s="21" t="n">
        <f>4691917865588.0</f>
        <v>4.691917865588E12</v>
      </c>
      <c r="H22" s="22" t="n">
        <f>1519455508138.0</f>
        <v>1.519455508138E12</v>
      </c>
      <c r="I22" s="23" t="n">
        <f>0.76</f>
        <v>0.76</v>
      </c>
    </row>
    <row r="23" spans="1:9" ht="24.9" customHeight="1">
      <c r="A23" s="41"/>
      <c r="B23" s="39"/>
      <c r="C23" s="24" t="s">
        <v>18</v>
      </c>
      <c r="D23" s="25" t="n">
        <f>1899037.0</f>
        <v>1899037.0</v>
      </c>
      <c r="E23" s="26" t="n">
        <f>195952.0</f>
        <v>195952.0</v>
      </c>
      <c r="F23" s="27" t="n">
        <f>0.947</f>
        <v>0.947</v>
      </c>
      <c r="G23" s="25" t="n">
        <f>13184473783468.0</f>
        <v>1.3184473783468E13</v>
      </c>
      <c r="H23" s="26" t="n">
        <f>2623640163368.0</f>
        <v>2.623640163368E12</v>
      </c>
      <c r="I23" s="27" t="n">
        <f>0.718</f>
        <v>0.718</v>
      </c>
    </row>
    <row r="24" spans="1:9" ht="24.9" customHeight="1">
      <c r="A24" s="41"/>
      <c r="B24" s="39" t="s">
        <v>22</v>
      </c>
      <c r="C24" s="16" t="s">
        <v>15</v>
      </c>
      <c r="D24" s="17" t="n">
        <f>11111.0</f>
        <v>11111.0</v>
      </c>
      <c r="E24" s="18" t="n">
        <f>0.0</f>
        <v>0.0</v>
      </c>
      <c r="F24" s="19" t="n">
        <f>0.014</f>
        <v>0.014</v>
      </c>
      <c r="G24" s="17" t="n">
        <f>129323007600.0</f>
        <v>1.293230076E11</v>
      </c>
      <c r="H24" s="18" t="n">
        <f>0.0</f>
        <v>0.0</v>
      </c>
      <c r="I24" s="19" t="n">
        <f>0.023</f>
        <v>0.023</v>
      </c>
    </row>
    <row r="25" spans="1:9" ht="24.9" customHeight="1">
      <c r="A25" s="41"/>
      <c r="B25" s="39"/>
      <c r="C25" s="20" t="s">
        <v>16</v>
      </c>
      <c r="D25" s="21" t="n">
        <f>6035.0</f>
        <v>6035.0</v>
      </c>
      <c r="E25" s="22" t="n">
        <f>0.0</f>
        <v>0.0</v>
      </c>
      <c r="F25" s="23" t="n">
        <f>0.01</f>
        <v>0.01</v>
      </c>
      <c r="G25" s="21" t="n">
        <f>56546880800.0</f>
        <v>5.65468808E10</v>
      </c>
      <c r="H25" s="22" t="n">
        <f>0.0</f>
        <v>0.0</v>
      </c>
      <c r="I25" s="23" t="n">
        <f>0.009</f>
        <v>0.009</v>
      </c>
    </row>
    <row r="26" spans="1:9" ht="24.9" customHeight="1">
      <c r="A26" s="41"/>
      <c r="B26" s="39"/>
      <c r="C26" s="20" t="s">
        <v>17</v>
      </c>
      <c r="D26" s="21" t="n">
        <f>6753.0</f>
        <v>6753.0</v>
      </c>
      <c r="E26" s="22" t="n">
        <f>0.0</f>
        <v>0.0</v>
      </c>
      <c r="F26" s="23" t="n">
        <f>0.012</f>
        <v>0.012</v>
      </c>
      <c r="G26" s="21" t="n">
        <f>68770409250.0</f>
        <v>6.877040925E10</v>
      </c>
      <c r="H26" s="22" t="n">
        <f>0.0</f>
        <v>0.0</v>
      </c>
      <c r="I26" s="23" t="n">
        <f>0.011</f>
        <v>0.011</v>
      </c>
    </row>
    <row r="27" spans="1:9" ht="24.9" customHeight="1">
      <c r="A27" s="42"/>
      <c r="B27" s="39"/>
      <c r="C27" s="24" t="s">
        <v>18</v>
      </c>
      <c r="D27" s="25" t="n">
        <f>23899.0</f>
        <v>23899.0</v>
      </c>
      <c r="E27" s="26" t="n">
        <f>0.0</f>
        <v>0.0</v>
      </c>
      <c r="F27" s="27" t="n">
        <f>0.012</f>
        <v>0.012</v>
      </c>
      <c r="G27" s="25" t="n">
        <f>254640297650.0</f>
        <v>2.5464029765E11</v>
      </c>
      <c r="H27" s="26" t="n">
        <f>0.0</f>
        <v>0.0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331.0</f>
        <v>331.0</v>
      </c>
      <c r="E28" s="18" t="n">
        <f>0.0</f>
        <v>0.0</v>
      </c>
      <c r="F28" s="19" t="n">
        <f>0.0</f>
        <v>0.0</v>
      </c>
      <c r="G28" s="17" t="n">
        <f>1386272500.0</f>
        <v>1.3862725E9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114.0</f>
        <v>114.0</v>
      </c>
      <c r="E29" s="22" t="n">
        <f>0.0</f>
        <v>0.0</v>
      </c>
      <c r="F29" s="23" t="n">
        <f>0.0</f>
        <v>0.0</v>
      </c>
      <c r="G29" s="21" t="n">
        <f>472856000.0</f>
        <v>4.72856E8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3970.0</f>
        <v>3970.0</v>
      </c>
      <c r="E30" s="22" t="n">
        <f>2.0</f>
        <v>2.0</v>
      </c>
      <c r="F30" s="23" t="n">
        <f>0.007</f>
        <v>0.007</v>
      </c>
      <c r="G30" s="21" t="n">
        <f>16356996000.0</f>
        <v>1.6356996E10</v>
      </c>
      <c r="H30" s="22" t="n">
        <f>8950000.0</f>
        <v>8950000.0</v>
      </c>
      <c r="I30" s="23" t="n">
        <f>0.003</f>
        <v>0.003</v>
      </c>
    </row>
    <row r="31" spans="1:9" ht="24.9" customHeight="1">
      <c r="A31" s="38"/>
      <c r="B31" s="39"/>
      <c r="C31" s="24" t="s">
        <v>18</v>
      </c>
      <c r="D31" s="25" t="n">
        <f>4415.0</f>
        <v>4415.0</v>
      </c>
      <c r="E31" s="26" t="n">
        <f>2.0</f>
        <v>2.0</v>
      </c>
      <c r="F31" s="27" t="n">
        <f>0.002</f>
        <v>0.002</v>
      </c>
      <c r="G31" s="25" t="n">
        <f>18216124500.0</f>
        <v>1.82161245E10</v>
      </c>
      <c r="H31" s="26" t="n">
        <f>8950000.0</f>
        <v>8950000.0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46178.0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46178.0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19442</f>
        <v>19442.0</v>
      </c>
      <c r="E11" s="18" t="n">
        <f>6180</f>
        <v>6180.0</v>
      </c>
      <c r="F11" s="19" t="n">
        <f>1</f>
        <v>1.0</v>
      </c>
      <c r="G11" s="17" t="n">
        <f>17746345170</f>
        <v>1.774634517E10</v>
      </c>
      <c r="H11" s="18" t="n">
        <f>16250874870</f>
        <v>1.625087487E10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28486</f>
        <v>28486.0</v>
      </c>
      <c r="E12" s="22" t="n">
        <f>4459</f>
        <v>4459.0</v>
      </c>
      <c r="F12" s="23" t="n">
        <f>1</f>
        <v>1.0</v>
      </c>
      <c r="G12" s="21" t="n">
        <f>6991310146</f>
        <v>6.991310146E9</v>
      </c>
      <c r="H12" s="22" t="n">
        <f>4239663610</f>
        <v>4.23966361E9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46324</f>
        <v>46324.0</v>
      </c>
      <c r="E13" s="22" t="n">
        <f>24804</f>
        <v>24804.0</v>
      </c>
      <c r="F13" s="23" t="n">
        <f>1</f>
        <v>1.0</v>
      </c>
      <c r="G13" s="21" t="n">
        <f>77445123948</f>
        <v>7.7445123948E10</v>
      </c>
      <c r="H13" s="22" t="n">
        <f>73568184312</f>
        <v>7.3568184312E10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94252</f>
        <v>94252.0</v>
      </c>
      <c r="E14" s="26" t="n">
        <f>35443</f>
        <v>35443.0</v>
      </c>
      <c r="F14" s="27" t="n">
        <f>1</f>
        <v>1.0</v>
      </c>
      <c r="G14" s="25" t="n">
        <f>102182779264</f>
        <v>1.02182779264E11</v>
      </c>
      <c r="H14" s="26" t="n">
        <f>94058722792</f>
        <v>9.4058722792E10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66</f>
        <v>66.0</v>
      </c>
      <c r="E16" s="22" t="n">
        <f>0</f>
        <v>0.0</v>
      </c>
      <c r="F16" s="23" t="n">
        <f>0.002</f>
        <v>0.002</v>
      </c>
      <c r="G16" s="21" t="n">
        <f>4290000</f>
        <v>4290000.0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164</f>
        <v>164.0</v>
      </c>
      <c r="E17" s="22" t="n">
        <f>0</f>
        <v>0.0</v>
      </c>
      <c r="F17" s="23" t="n">
        <f>0.004</f>
        <v>0.004</v>
      </c>
      <c r="G17" s="21" t="n">
        <f>53630000</f>
        <v>5.363E7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230</f>
        <v>230.0</v>
      </c>
      <c r="E18" s="26" t="n">
        <f>0</f>
        <v>0.0</v>
      </c>
      <c r="F18" s="27" t="n">
        <f>0.002</f>
        <v>0.002</v>
      </c>
      <c r="G18" s="25" t="n">
        <f>57920000</f>
        <v>5.792E7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19442</f>
        <v>19442.0</v>
      </c>
      <c r="E19" s="18" t="n">
        <f>6180</f>
        <v>6180.0</v>
      </c>
      <c r="F19" s="19" t="n">
        <f>1</f>
        <v>1.0</v>
      </c>
      <c r="G19" s="17" t="n">
        <f>17746345170</f>
        <v>1.774634517E10</v>
      </c>
      <c r="H19" s="18" t="n">
        <f>16250874870</f>
        <v>1.625087487E10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26900</f>
        <v>26900.0</v>
      </c>
      <c r="E20" s="22" t="n">
        <f>4459</f>
        <v>4459.0</v>
      </c>
      <c r="F20" s="23" t="n">
        <f>0.944</f>
        <v>0.944</v>
      </c>
      <c r="G20" s="21" t="n">
        <f>6950822310</f>
        <v>6.95082231E9</v>
      </c>
      <c r="H20" s="22" t="n">
        <f>4239663610</f>
        <v>4.23966361E9</v>
      </c>
      <c r="I20" s="23" t="n">
        <f>0.994</f>
        <v>0.994</v>
      </c>
    </row>
    <row r="21" spans="1:9" ht="24.9" customHeight="1">
      <c r="A21" s="41"/>
      <c r="B21" s="39"/>
      <c r="C21" s="20" t="s">
        <v>17</v>
      </c>
      <c r="D21" s="21" t="n">
        <f>41748</f>
        <v>41748.0</v>
      </c>
      <c r="E21" s="22" t="n">
        <f>21504</f>
        <v>21504.0</v>
      </c>
      <c r="F21" s="23" t="n">
        <f>0.901</f>
        <v>0.901</v>
      </c>
      <c r="G21" s="21" t="n">
        <f>77210933612</f>
        <v>7.7210933612E10</v>
      </c>
      <c r="H21" s="22" t="n">
        <f>73410434312</f>
        <v>7.3410434312E10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88090</f>
        <v>88090.0</v>
      </c>
      <c r="E22" s="26" t="n">
        <f>32143</f>
        <v>32143.0</v>
      </c>
      <c r="F22" s="27" t="n">
        <f>0.935</f>
        <v>0.935</v>
      </c>
      <c r="G22" s="25" t="n">
        <f>101908101092</f>
        <v>1.01908101092E11</v>
      </c>
      <c r="H22" s="26" t="n">
        <f>93900972792</f>
        <v>9.3900972792E10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1520</f>
        <v>1520.0</v>
      </c>
      <c r="E24" s="22" t="n">
        <f>0</f>
        <v>0.0</v>
      </c>
      <c r="F24" s="23" t="n">
        <f>0.053</f>
        <v>0.053</v>
      </c>
      <c r="G24" s="21" t="n">
        <f>36197836</f>
        <v>3.6197836E7</v>
      </c>
      <c r="H24" s="22" t="n">
        <f>0</f>
        <v>0.0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4412</f>
        <v>4412.0</v>
      </c>
      <c r="E25" s="22" t="n">
        <f>3300</f>
        <v>3300.0</v>
      </c>
      <c r="F25" s="23" t="n">
        <f>0.095</f>
        <v>0.095</v>
      </c>
      <c r="G25" s="21" t="n">
        <f>180560336</f>
        <v>1.80560336E8</v>
      </c>
      <c r="H25" s="22" t="n">
        <f>157750000</f>
        <v>1.5775E8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5932</f>
        <v>5932.0</v>
      </c>
      <c r="E26" s="26" t="n">
        <f>3300</f>
        <v>3300.0</v>
      </c>
      <c r="F26" s="27" t="n">
        <f>0.063</f>
        <v>0.063</v>
      </c>
      <c r="G26" s="25" t="n">
        <f>216758172</f>
        <v>2.16758172E8</v>
      </c>
      <c r="H26" s="26" t="n">
        <f>157750000</f>
        <v>1.5775E8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46178.0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46178.0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14585.0</v>
      </c>
      <c r="F12" s="18" t="n">
        <f>857</f>
        <v>857.0</v>
      </c>
      <c r="G12" s="17" t="n">
        <v>9.8238807832E11</v>
      </c>
      <c r="H12" s="18" t="n">
        <f>57786147320</f>
        <v>5.778614732E10</v>
      </c>
    </row>
    <row r="13" spans="1:8" ht="24.9" customHeight="1">
      <c r="A13" s="51"/>
      <c r="B13" s="57"/>
      <c r="C13" s="39"/>
      <c r="D13" s="20" t="s">
        <v>16</v>
      </c>
      <c r="E13" s="21" t="n">
        <v>17307.0</v>
      </c>
      <c r="F13" s="22" t="n">
        <f>1262</f>
        <v>1262.0</v>
      </c>
      <c r="G13" s="21" t="n">
        <v>1.15046589837E12</v>
      </c>
      <c r="H13" s="22" t="n">
        <f>83860746370</f>
        <v>8.386074637E10</v>
      </c>
    </row>
    <row r="14" spans="1:8" ht="24.9" customHeight="1">
      <c r="A14" s="51"/>
      <c r="B14" s="57"/>
      <c r="C14" s="39"/>
      <c r="D14" s="20" t="s">
        <v>17</v>
      </c>
      <c r="E14" s="21" t="n">
        <v>20270.0</v>
      </c>
      <c r="F14" s="22" t="n">
        <f>6795</f>
        <v>6795.0</v>
      </c>
      <c r="G14" s="21" t="n">
        <v>1.35011433022E12</v>
      </c>
      <c r="H14" s="22" t="n">
        <f>452583558220</f>
        <v>4.5258355822E11</v>
      </c>
    </row>
    <row r="15" spans="1:8" ht="24.9" customHeight="1">
      <c r="A15" s="51"/>
      <c r="B15" s="57"/>
      <c r="C15" s="39"/>
      <c r="D15" s="24" t="s">
        <v>18</v>
      </c>
      <c r="E15" s="25" t="n">
        <v>52162.0</v>
      </c>
      <c r="F15" s="26" t="n">
        <f>8914</f>
        <v>8914.0</v>
      </c>
      <c r="G15" s="25" t="n">
        <v>3.48296830691E12</v>
      </c>
      <c r="H15" s="26" t="n">
        <f>594230451910</f>
        <v>5.9423045191E11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311905.0</v>
      </c>
      <c r="F16" s="18" t="n">
        <f>33810</f>
        <v>33810.0</v>
      </c>
      <c r="G16" s="17" t="n">
        <v>2.10076305975E12</v>
      </c>
      <c r="H16" s="18" t="n">
        <f>227635915450</f>
        <v>2.2763591545E11</v>
      </c>
    </row>
    <row r="17" spans="1:8" ht="24.9" customHeight="1">
      <c r="A17" s="51"/>
      <c r="B17" s="57"/>
      <c r="C17" s="39"/>
      <c r="D17" s="20" t="s">
        <v>16</v>
      </c>
      <c r="E17" s="21" t="n">
        <v>237784.0</v>
      </c>
      <c r="F17" s="22" t="n">
        <f>26859</f>
        <v>26859.0</v>
      </c>
      <c r="G17" s="21" t="n">
        <v>1.58016535493E12</v>
      </c>
      <c r="H17" s="22" t="n">
        <f>178431994830</f>
        <v>1.7843199483E11</v>
      </c>
    </row>
    <row r="18" spans="1:8" ht="24.9" customHeight="1">
      <c r="A18" s="51"/>
      <c r="B18" s="57"/>
      <c r="C18" s="39"/>
      <c r="D18" s="20" t="s">
        <v>17</v>
      </c>
      <c r="E18" s="21" t="n">
        <v>187921.0</v>
      </c>
      <c r="F18" s="22" t="n">
        <f>22001</f>
        <v>22001.0</v>
      </c>
      <c r="G18" s="21" t="n">
        <v>1.251353735798E12</v>
      </c>
      <c r="H18" s="22" t="n">
        <f>146493315998</f>
        <v>1.46493315998E11</v>
      </c>
    </row>
    <row r="19" spans="1:8" ht="24.9" customHeight="1">
      <c r="A19" s="51"/>
      <c r="B19" s="57"/>
      <c r="C19" s="39"/>
      <c r="D19" s="24" t="s">
        <v>18</v>
      </c>
      <c r="E19" s="25" t="n">
        <v>737610.0</v>
      </c>
      <c r="F19" s="26" t="n">
        <f>82670</f>
        <v>82670.0</v>
      </c>
      <c r="G19" s="25" t="n">
        <v>4.932282150478E12</v>
      </c>
      <c r="H19" s="26" t="n">
        <f>552561226278</f>
        <v>5.52561226278E11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445384.0</v>
      </c>
      <c r="F20" s="18" t="str">
        <f>"－"</f>
        <v>－</v>
      </c>
      <c r="G20" s="17" t="n">
        <v>2.9995525305E11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266660.0</v>
      </c>
      <c r="F21" s="22" t="str">
        <f>"－"</f>
        <v>－</v>
      </c>
      <c r="G21" s="21" t="n">
        <v>1.772380813E11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196580.0</v>
      </c>
      <c r="F22" s="22" t="str">
        <f>"－"</f>
        <v>－</v>
      </c>
      <c r="G22" s="21" t="n">
        <v>1.3090545175E11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908624.0</v>
      </c>
      <c r="F23" s="26" t="str">
        <f>"－"</f>
        <v>－</v>
      </c>
      <c r="G23" s="25" t="n">
        <v>6.080987861E11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19198.0</v>
      </c>
      <c r="F24" s="18" t="n">
        <f>763</f>
        <v>763.0</v>
      </c>
      <c r="G24" s="17" t="n">
        <v>7.61711532E11</v>
      </c>
      <c r="H24" s="18" t="n">
        <f>30095675000</f>
        <v>3.0095675E10</v>
      </c>
    </row>
    <row r="25" spans="1:8" ht="24.9" customHeight="1">
      <c r="A25" s="51"/>
      <c r="B25" s="57"/>
      <c r="C25" s="39"/>
      <c r="D25" s="20" t="s">
        <v>16</v>
      </c>
      <c r="E25" s="21" t="n">
        <v>34608.0</v>
      </c>
      <c r="F25" s="22" t="n">
        <f>13191</f>
        <v>13191.0</v>
      </c>
      <c r="G25" s="21" t="n">
        <v>1.3688603097E12</v>
      </c>
      <c r="H25" s="22" t="n">
        <f>521941301700</f>
        <v>5.219413017E11</v>
      </c>
    </row>
    <row r="26" spans="1:8" ht="24.9" customHeight="1">
      <c r="A26" s="51"/>
      <c r="B26" s="57"/>
      <c r="C26" s="39"/>
      <c r="D26" s="20" t="s">
        <v>17</v>
      </c>
      <c r="E26" s="21" t="n">
        <v>45852.0</v>
      </c>
      <c r="F26" s="22" t="n">
        <f>20379</f>
        <v>20379.0</v>
      </c>
      <c r="G26" s="21" t="n">
        <v>1.813314347029E12</v>
      </c>
      <c r="H26" s="22" t="n">
        <f>806038240029</f>
        <v>8.06038240029E11</v>
      </c>
    </row>
    <row r="27" spans="1:8" ht="24.9" customHeight="1">
      <c r="A27" s="51"/>
      <c r="B27" s="57"/>
      <c r="C27" s="39"/>
      <c r="D27" s="24" t="s">
        <v>18</v>
      </c>
      <c r="E27" s="25" t="n">
        <v>99658.0</v>
      </c>
      <c r="F27" s="26" t="n">
        <f>34333</f>
        <v>34333.0</v>
      </c>
      <c r="G27" s="25" t="n">
        <v>3.943886188729E12</v>
      </c>
      <c r="H27" s="26" t="n">
        <f>1358075216729</f>
        <v>1.358075216729E12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6400.0</v>
      </c>
      <c r="F28" s="18" t="n">
        <f>584</f>
        <v>584.0</v>
      </c>
      <c r="G28" s="17" t="n">
        <v>2.538818875E10</v>
      </c>
      <c r="H28" s="18" t="n">
        <f>2316895250</f>
        <v>2.31689525E9</v>
      </c>
    </row>
    <row r="29" spans="1:8" ht="24.9" customHeight="1">
      <c r="A29" s="51"/>
      <c r="B29" s="57"/>
      <c r="C29" s="39"/>
      <c r="D29" s="20" t="s">
        <v>16</v>
      </c>
      <c r="E29" s="21" t="n">
        <v>8333.0</v>
      </c>
      <c r="F29" s="22" t="n">
        <f>501</f>
        <v>501.0</v>
      </c>
      <c r="G29" s="21" t="n">
        <v>3.29285998E10</v>
      </c>
      <c r="H29" s="22" t="n">
        <f>1978903100</f>
        <v>1.9789031E9</v>
      </c>
    </row>
    <row r="30" spans="1:8" ht="24.9" customHeight="1">
      <c r="A30" s="51"/>
      <c r="B30" s="57"/>
      <c r="C30" s="39"/>
      <c r="D30" s="20" t="s">
        <v>17</v>
      </c>
      <c r="E30" s="21" t="n">
        <v>7033.0</v>
      </c>
      <c r="F30" s="22" t="n">
        <f>342</f>
        <v>342.0</v>
      </c>
      <c r="G30" s="21" t="n">
        <v>2.780063953E10</v>
      </c>
      <c r="H30" s="22" t="n">
        <f>1351343430</f>
        <v>1.35134343E9</v>
      </c>
    </row>
    <row r="31" spans="1:8" ht="24.9" customHeight="1">
      <c r="A31" s="51"/>
      <c r="B31" s="57"/>
      <c r="C31" s="39"/>
      <c r="D31" s="24" t="s">
        <v>18</v>
      </c>
      <c r="E31" s="25" t="n">
        <v>21766.0</v>
      </c>
      <c r="F31" s="26" t="n">
        <f>1427</f>
        <v>1427.0</v>
      </c>
      <c r="G31" s="25" t="n">
        <v>8.611742808E10</v>
      </c>
      <c r="H31" s="26" t="n">
        <f>5647141780</f>
        <v>5.64714178E9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941.0</v>
      </c>
      <c r="F36" s="18" t="n">
        <f>0</f>
        <v>0.0</v>
      </c>
      <c r="G36" s="17" t="n">
        <v>3.383341E9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1080.0</v>
      </c>
      <c r="F37" s="22" t="n">
        <f>1</f>
        <v>1.0</v>
      </c>
      <c r="G37" s="21" t="n">
        <v>3.86445601E9</v>
      </c>
      <c r="H37" s="22" t="n">
        <f>3578010</f>
        <v>3578010.0</v>
      </c>
    </row>
    <row r="38" spans="1:8" ht="24.9" customHeight="1">
      <c r="A38" s="51"/>
      <c r="B38" s="57"/>
      <c r="C38" s="39"/>
      <c r="D38" s="20" t="s">
        <v>17</v>
      </c>
      <c r="E38" s="21" t="n">
        <v>1193.0</v>
      </c>
      <c r="F38" s="22" t="n">
        <f>348</f>
        <v>348.0</v>
      </c>
      <c r="G38" s="21" t="n">
        <v>4.262810641E9</v>
      </c>
      <c r="H38" s="22" t="n">
        <f>1245620641</f>
        <v>1.245620641E9</v>
      </c>
    </row>
    <row r="39" spans="1:8" ht="24.9" customHeight="1">
      <c r="A39" s="51"/>
      <c r="B39" s="57"/>
      <c r="C39" s="39"/>
      <c r="D39" s="24" t="s">
        <v>18</v>
      </c>
      <c r="E39" s="25" t="n">
        <v>3214.0</v>
      </c>
      <c r="F39" s="26" t="n">
        <f>349</f>
        <v>349.0</v>
      </c>
      <c r="G39" s="25" t="n">
        <v>1.1510607651E10</v>
      </c>
      <c r="H39" s="26" t="n">
        <f>1249198651</f>
        <v>1.249198651E9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120.0</v>
      </c>
      <c r="F46" s="22" t="n">
        <f>120</f>
        <v>120.0</v>
      </c>
      <c r="G46" s="21" t="n">
        <v>8.0376E8</v>
      </c>
      <c r="H46" s="22" t="n">
        <f>803760000</f>
        <v>8.0376E8</v>
      </c>
    </row>
    <row r="47" spans="1:8" ht="24.9" customHeight="1">
      <c r="A47" s="51"/>
      <c r="B47" s="57"/>
      <c r="C47" s="39"/>
      <c r="D47" s="24" t="s">
        <v>18</v>
      </c>
      <c r="E47" s="25" t="n">
        <v>120.0</v>
      </c>
      <c r="F47" s="26" t="n">
        <f>120</f>
        <v>120.0</v>
      </c>
      <c r="G47" s="25" t="n">
        <v>8.0376E8</v>
      </c>
      <c r="H47" s="26" t="n">
        <f>803760000</f>
        <v>8.0376E8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573.0</v>
      </c>
      <c r="F49" s="22" t="n">
        <f>0</f>
        <v>0.0</v>
      </c>
      <c r="G49" s="21" t="n">
        <v>1.0060145E9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60200.0</v>
      </c>
      <c r="F50" s="22" t="n">
        <f>59978</f>
        <v>59978.0</v>
      </c>
      <c r="G50" s="21" t="n">
        <v>1.0495793532E11</v>
      </c>
      <c r="H50" s="22" t="n">
        <f>104569161620</f>
        <v>1.0456916162E11</v>
      </c>
    </row>
    <row r="51" spans="1:8" ht="24.9" customHeight="1">
      <c r="A51" s="51"/>
      <c r="B51" s="57"/>
      <c r="C51" s="39"/>
      <c r="D51" s="24" t="s">
        <v>18</v>
      </c>
      <c r="E51" s="25" t="n">
        <v>60773.0</v>
      </c>
      <c r="F51" s="26" t="n">
        <f>59978</f>
        <v>59978.0</v>
      </c>
      <c r="G51" s="25" t="n">
        <v>1.0596394982E11</v>
      </c>
      <c r="H51" s="26" t="n">
        <f>104569161620</f>
        <v>1.0456916162E11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1586.0</v>
      </c>
      <c r="F56" s="18" t="n">
        <f>55</f>
        <v>55.0</v>
      </c>
      <c r="G56" s="17" t="n">
        <v>1.1771178E9</v>
      </c>
      <c r="H56" s="18" t="n">
        <f>41012800</f>
        <v>4.10128E7</v>
      </c>
    </row>
    <row r="57" spans="1:8" ht="24.9" customHeight="1">
      <c r="A57" s="51"/>
      <c r="B57" s="57"/>
      <c r="C57" s="39"/>
      <c r="D57" s="20" t="s">
        <v>16</v>
      </c>
      <c r="E57" s="21" t="n">
        <v>2636.0</v>
      </c>
      <c r="F57" s="22" t="n">
        <f>95</f>
        <v>95.0</v>
      </c>
      <c r="G57" s="21" t="n">
        <v>1.995921E9</v>
      </c>
      <c r="H57" s="22" t="n">
        <f>72023000</f>
        <v>7.2023E7</v>
      </c>
    </row>
    <row r="58" spans="1:8" ht="24.9" customHeight="1">
      <c r="A58" s="51"/>
      <c r="B58" s="57"/>
      <c r="C58" s="39"/>
      <c r="D58" s="20" t="s">
        <v>17</v>
      </c>
      <c r="E58" s="21" t="n">
        <v>10374.0</v>
      </c>
      <c r="F58" s="22" t="n">
        <f>7776</f>
        <v>7776.0</v>
      </c>
      <c r="G58" s="21" t="n">
        <v>7.9229589E9</v>
      </c>
      <c r="H58" s="22" t="n">
        <f>5951321900</f>
        <v>5.9513219E9</v>
      </c>
    </row>
    <row r="59" spans="1:8" ht="24.9" customHeight="1">
      <c r="A59" s="51"/>
      <c r="B59" s="57"/>
      <c r="C59" s="39"/>
      <c r="D59" s="24" t="s">
        <v>18</v>
      </c>
      <c r="E59" s="25" t="n">
        <v>14596.0</v>
      </c>
      <c r="F59" s="26" t="n">
        <f>7926</f>
        <v>7926.0</v>
      </c>
      <c r="G59" s="25" t="n">
        <v>1.10959977E10</v>
      </c>
      <c r="H59" s="26" t="n">
        <f>6064357700</f>
        <v>6.0643577E9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193.0</v>
      </c>
      <c r="F60" s="18" t="n">
        <f>4</f>
        <v>4.0</v>
      </c>
      <c r="G60" s="17" t="n">
        <v>9.926702E8</v>
      </c>
      <c r="H60" s="18" t="n">
        <f>20462400</f>
        <v>2.04624E7</v>
      </c>
    </row>
    <row r="61" spans="1:8" ht="24.9" customHeight="1">
      <c r="A61" s="51"/>
      <c r="B61" s="57"/>
      <c r="C61" s="39"/>
      <c r="D61" s="20" t="s">
        <v>16</v>
      </c>
      <c r="E61" s="21" t="n">
        <v>38.0</v>
      </c>
      <c r="F61" s="22" t="n">
        <f>0</f>
        <v>0.0</v>
      </c>
      <c r="G61" s="21" t="n">
        <v>1.962913E8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11.0</v>
      </c>
      <c r="F62" s="22" t="n">
        <f>0</f>
        <v>0.0</v>
      </c>
      <c r="G62" s="21" t="n">
        <v>5.68096E7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242.0</v>
      </c>
      <c r="F63" s="26" t="n">
        <f>4</f>
        <v>4.0</v>
      </c>
      <c r="G63" s="25" t="n">
        <v>1.2457711E9</v>
      </c>
      <c r="H63" s="26" t="n">
        <f>20462400</f>
        <v>2.04624E7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0.0</v>
      </c>
      <c r="F77" s="22" t="n">
        <f>0</f>
        <v>0.0</v>
      </c>
      <c r="G77" s="21" t="n">
        <v>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343500.0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1.0</v>
      </c>
      <c r="F79" s="26" t="n">
        <f>0</f>
        <v>0.0</v>
      </c>
      <c r="G79" s="25" t="n">
        <v>343500.0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2.0</v>
      </c>
      <c r="F92" s="18" t="n">
        <f>0</f>
        <v>0.0</v>
      </c>
      <c r="G92" s="17" t="n">
        <v>3193700.0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82.0</v>
      </c>
      <c r="F94" s="22" t="n">
        <f>80</f>
        <v>80.0</v>
      </c>
      <c r="G94" s="21" t="n">
        <v>1.310687E8</v>
      </c>
      <c r="H94" s="22" t="n">
        <f>127872000</f>
        <v>1.27872E8</v>
      </c>
    </row>
    <row r="95" spans="1:8" ht="24.9" customHeight="1">
      <c r="A95" s="51"/>
      <c r="B95" s="57"/>
      <c r="C95" s="39"/>
      <c r="D95" s="24" t="s">
        <v>18</v>
      </c>
      <c r="E95" s="25" t="n">
        <v>84.0</v>
      </c>
      <c r="F95" s="26" t="n">
        <f>80</f>
        <v>80.0</v>
      </c>
      <c r="G95" s="25" t="n">
        <v>1.342624E8</v>
      </c>
      <c r="H95" s="26" t="n">
        <f>127872000</f>
        <v>1.27872E8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11.0</v>
      </c>
      <c r="F96" s="18" t="n">
        <f>0</f>
        <v>0.0</v>
      </c>
      <c r="G96" s="17" t="n">
        <v>2.59613E7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4.0</v>
      </c>
      <c r="F97" s="22" t="n">
        <f>0</f>
        <v>0.0</v>
      </c>
      <c r="G97" s="21" t="n">
        <v>9437100.0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22.0</v>
      </c>
      <c r="F98" s="22" t="n">
        <f>21</f>
        <v>21.0</v>
      </c>
      <c r="G98" s="21" t="n">
        <v>5.19266E7</v>
      </c>
      <c r="H98" s="22" t="n">
        <f>49566300</f>
        <v>4.95663E7</v>
      </c>
    </row>
    <row r="99" spans="1:8" ht="24.9" customHeight="1">
      <c r="A99" s="51"/>
      <c r="B99" s="57"/>
      <c r="C99" s="39"/>
      <c r="D99" s="24" t="s">
        <v>18</v>
      </c>
      <c r="E99" s="25" t="n">
        <v>37.0</v>
      </c>
      <c r="F99" s="26" t="n">
        <f>21</f>
        <v>21.0</v>
      </c>
      <c r="G99" s="25" t="n">
        <v>8.7325E7</v>
      </c>
      <c r="H99" s="26" t="n">
        <f>49566300</f>
        <v>4.95663E7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20.0</v>
      </c>
      <c r="F100" s="18" t="n">
        <f>0</f>
        <v>0.0</v>
      </c>
      <c r="G100" s="17" t="n">
        <v>3.7158E7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130.0</v>
      </c>
      <c r="F102" s="22" t="n">
        <f>130</f>
        <v>130.0</v>
      </c>
      <c r="G102" s="21" t="n">
        <v>2.41748E8</v>
      </c>
      <c r="H102" s="22" t="n">
        <f>241748000</f>
        <v>2.41748E8</v>
      </c>
    </row>
    <row r="103" spans="1:8" ht="24.9" customHeight="1">
      <c r="A103" s="51"/>
      <c r="B103" s="58"/>
      <c r="C103" s="39"/>
      <c r="D103" s="24" t="s">
        <v>18</v>
      </c>
      <c r="E103" s="25" t="n">
        <v>150.0</v>
      </c>
      <c r="F103" s="26" t="n">
        <f>130</f>
        <v>130.0</v>
      </c>
      <c r="G103" s="25" t="n">
        <v>2.78906E8</v>
      </c>
      <c r="H103" s="26" t="n">
        <f>241748000</f>
        <v>2.41748E8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9853.0</v>
      </c>
      <c r="F108" s="18" t="n">
        <f>327</f>
        <v>327.0</v>
      </c>
      <c r="G108" s="17" t="n">
        <v>1.26883885E12</v>
      </c>
      <c r="H108" s="18" t="n">
        <f>42160860000</f>
        <v>4.216086E10</v>
      </c>
    </row>
    <row r="109" spans="1:8" ht="24.9" customHeight="1">
      <c r="A109" s="51"/>
      <c r="B109" s="57"/>
      <c r="C109" s="39"/>
      <c r="D109" s="20" t="s">
        <v>16</v>
      </c>
      <c r="E109" s="21" t="n">
        <v>14240.0</v>
      </c>
      <c r="F109" s="22" t="n">
        <f>1589</f>
        <v>1589.0</v>
      </c>
      <c r="G109" s="21" t="n">
        <v>1.8343859E12</v>
      </c>
      <c r="H109" s="22" t="n">
        <f>204633910000</f>
        <v>2.0463391E11</v>
      </c>
    </row>
    <row r="110" spans="1:8" ht="24.9" customHeight="1">
      <c r="A110" s="51"/>
      <c r="B110" s="57"/>
      <c r="C110" s="39"/>
      <c r="D110" s="20" t="s">
        <v>17</v>
      </c>
      <c r="E110" s="21" t="n">
        <v>10323.0</v>
      </c>
      <c r="F110" s="22" t="n">
        <f>2045</f>
        <v>2045.0</v>
      </c>
      <c r="G110" s="21" t="n">
        <v>1.32855077E12</v>
      </c>
      <c r="H110" s="22" t="n">
        <f>262646540000</f>
        <v>2.6264654E11</v>
      </c>
    </row>
    <row r="111" spans="1:8" ht="24.9" customHeight="1">
      <c r="A111" s="51"/>
      <c r="B111" s="57"/>
      <c r="C111" s="39"/>
      <c r="D111" s="24" t="s">
        <v>18</v>
      </c>
      <c r="E111" s="25" t="n">
        <v>34416.0</v>
      </c>
      <c r="F111" s="26" t="n">
        <f>3961</f>
        <v>3961.0</v>
      </c>
      <c r="G111" s="25" t="n">
        <v>4.43177552E12</v>
      </c>
      <c r="H111" s="26" t="n">
        <f>509441310000</f>
        <v>5.0944131E11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100.0</v>
      </c>
      <c r="F113" s="22" t="n">
        <f>0</f>
        <v>0.0</v>
      </c>
      <c r="G113" s="21" t="n">
        <v>1.28945E9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90.0</v>
      </c>
      <c r="F114" s="22" t="n">
        <f>0</f>
        <v>0.0</v>
      </c>
      <c r="G114" s="21" t="n">
        <v>1.1601E9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190.0</v>
      </c>
      <c r="F115" s="26" t="n">
        <f>0</f>
        <v>0.0</v>
      </c>
      <c r="G115" s="25" t="n">
        <v>2.44955E9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40316.0</v>
      </c>
      <c r="F117" s="22" t="n">
        <f>40310</f>
        <v>40310.0</v>
      </c>
      <c r="G117" s="21" t="n">
        <v>3.71572429E11</v>
      </c>
      <c r="H117" s="22" t="n">
        <f>371517115000</f>
        <v>3.71517115E11</v>
      </c>
    </row>
    <row r="118" spans="1:8" ht="24.9" customHeight="1">
      <c r="A118" s="51"/>
      <c r="B118" s="57"/>
      <c r="C118" s="39"/>
      <c r="D118" s="20" t="s">
        <v>17</v>
      </c>
      <c r="E118" s="21" t="n">
        <v>76.0</v>
      </c>
      <c r="F118" s="22" t="n">
        <f>76</f>
        <v>76.0</v>
      </c>
      <c r="G118" s="21" t="n">
        <v>7.00454E8</v>
      </c>
      <c r="H118" s="22" t="n">
        <f>700454000</f>
        <v>7.00454E8</v>
      </c>
    </row>
    <row r="119" spans="1:8" ht="24.9" customHeight="1">
      <c r="A119" s="51"/>
      <c r="B119" s="58"/>
      <c r="C119" s="39"/>
      <c r="D119" s="24" t="s">
        <v>18</v>
      </c>
      <c r="E119" s="25" t="n">
        <v>40392.0</v>
      </c>
      <c r="F119" s="26" t="n">
        <f>40386</f>
        <v>40386.0</v>
      </c>
      <c r="G119" s="25" t="n">
        <v>3.72272883E11</v>
      </c>
      <c r="H119" s="26" t="n">
        <f>372217569000</f>
        <v>3.72217569E11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754.0</v>
      </c>
      <c r="F120" s="18" t="n">
        <f>0</f>
        <v>0.0</v>
      </c>
      <c r="G120" s="17" t="n">
        <v>1.8681984375E10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456.0</v>
      </c>
      <c r="F121" s="22" t="n">
        <f>0</f>
        <v>0.0</v>
      </c>
      <c r="G121" s="21" t="n">
        <v>1.1260656875E10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2815.0</v>
      </c>
      <c r="F122" s="22" t="n">
        <f>0</f>
        <v>0.0</v>
      </c>
      <c r="G122" s="21" t="n">
        <v>6.952903125E10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4025.0</v>
      </c>
      <c r="F123" s="26" t="n">
        <f>0</f>
        <v>0.0</v>
      </c>
      <c r="G123" s="25" t="n">
        <v>9.94716725E10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4758.0</v>
      </c>
      <c r="F124" s="18" t="n">
        <f>0</f>
        <v>0.0</v>
      </c>
      <c r="G124" s="17" t="n">
        <v>1.12729921E11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1950.0</v>
      </c>
      <c r="F125" s="22" t="n">
        <f>0</f>
        <v>0.0</v>
      </c>
      <c r="G125" s="21" t="n">
        <v>4.5877973E10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2505.0</v>
      </c>
      <c r="F126" s="22" t="n">
        <f>0</f>
        <v>0.0</v>
      </c>
      <c r="G126" s="21" t="n">
        <v>5.8814175E10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9213.0</v>
      </c>
      <c r="F127" s="26" t="n">
        <f>0</f>
        <v>0.0</v>
      </c>
      <c r="G127" s="25" t="n">
        <v>2.17422069E11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26.0</v>
      </c>
      <c r="F128" s="18" t="n">
        <f>0</f>
        <v>0.0</v>
      </c>
      <c r="G128" s="17" t="n">
        <v>6.16189E7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129.0</v>
      </c>
      <c r="F129" s="22" t="n">
        <f>0</f>
        <v>0.0</v>
      </c>
      <c r="G129" s="21" t="n">
        <v>3.039101E8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81.0</v>
      </c>
      <c r="F130" s="22" t="n">
        <f>0</f>
        <v>0.0</v>
      </c>
      <c r="G130" s="21" t="n">
        <v>1.90385E8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236.0</v>
      </c>
      <c r="F131" s="26" t="n">
        <f>0</f>
        <v>0.0</v>
      </c>
      <c r="G131" s="25" t="n">
        <v>5.55914E8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4845.0</v>
      </c>
      <c r="F132" s="18" t="n">
        <f>0</f>
        <v>0.0</v>
      </c>
      <c r="G132" s="17" t="n">
        <v>1.15037485E10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2409.0</v>
      </c>
      <c r="F133" s="22" t="n">
        <f>0</f>
        <v>0.0</v>
      </c>
      <c r="G133" s="21" t="n">
        <v>5.6874007E9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2294.0</v>
      </c>
      <c r="F134" s="22" t="n">
        <f>0</f>
        <v>0.0</v>
      </c>
      <c r="G134" s="21" t="n">
        <v>5.39532995E9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9548.0</v>
      </c>
      <c r="F135" s="26" t="n">
        <f>0</f>
        <v>0.0</v>
      </c>
      <c r="G135" s="25" t="n">
        <v>2.258647915E10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58.0</v>
      </c>
      <c r="F136" s="18" t="n">
        <f>0</f>
        <v>0.0</v>
      </c>
      <c r="G136" s="17" t="n">
        <v>1.365041E8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58.0</v>
      </c>
      <c r="F137" s="22" t="n">
        <f>0</f>
        <v>0.0</v>
      </c>
      <c r="G137" s="21" t="n">
        <v>1.359094E8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69.0</v>
      </c>
      <c r="F138" s="22" t="n">
        <f>0</f>
        <v>0.0</v>
      </c>
      <c r="G138" s="21" t="n">
        <v>1.609394E8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185.0</v>
      </c>
      <c r="F139" s="26" t="n">
        <f>0</f>
        <v>0.0</v>
      </c>
      <c r="G139" s="25" t="n">
        <v>4.333529E8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801.0</v>
      </c>
      <c r="F144" s="18" t="n">
        <f>0</f>
        <v>0.0</v>
      </c>
      <c r="G144" s="17" t="n">
        <v>3.847864E9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731.0</v>
      </c>
      <c r="F145" s="22" t="n">
        <f>0</f>
        <v>0.0</v>
      </c>
      <c r="G145" s="21" t="n">
        <v>3.4913425E9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559.0</v>
      </c>
      <c r="F146" s="22" t="n">
        <f>0</f>
        <v>0.0</v>
      </c>
      <c r="G146" s="21" t="n">
        <v>2.664647E9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2091.0</v>
      </c>
      <c r="F147" s="26" t="n">
        <f>0</f>
        <v>0.0</v>
      </c>
      <c r="G147" s="25" t="n">
        <v>1.00038535E10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3.0</v>
      </c>
      <c r="F148" s="18" t="n">
        <f>0</f>
        <v>0.0</v>
      </c>
      <c r="G148" s="17" t="n">
        <v>2960400.0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94.0</v>
      </c>
      <c r="F149" s="22" t="n">
        <f>0</f>
        <v>0.0</v>
      </c>
      <c r="G149" s="21" t="n">
        <v>9.16581E7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102.0</v>
      </c>
      <c r="F150" s="22" t="n">
        <f>0</f>
        <v>0.0</v>
      </c>
      <c r="G150" s="21" t="n">
        <v>9.94833E7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199.0</v>
      </c>
      <c r="F151" s="26" t="n">
        <f>0</f>
        <v>0.0</v>
      </c>
      <c r="G151" s="25" t="n">
        <v>1.941018E8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197.0</v>
      </c>
      <c r="F152" s="18" t="n">
        <f>0</f>
        <v>0.0</v>
      </c>
      <c r="G152" s="17" t="n">
        <v>1.899067E8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107.0</v>
      </c>
      <c r="F153" s="22" t="n">
        <f>0</f>
        <v>0.0</v>
      </c>
      <c r="G153" s="21" t="n">
        <v>1.025876E8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170.0</v>
      </c>
      <c r="F154" s="22" t="n">
        <f>0</f>
        <v>0.0</v>
      </c>
      <c r="G154" s="21" t="n">
        <v>1.628336E8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474.0</v>
      </c>
      <c r="F155" s="26" t="n">
        <f>0</f>
        <v>0.0</v>
      </c>
      <c r="G155" s="25" t="n">
        <v>4.553279E8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48.0</v>
      </c>
      <c r="F156" s="18" t="n">
        <f>0</f>
        <v>0.0</v>
      </c>
      <c r="G156" s="17" t="n">
        <v>4.72045E7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292.0</v>
      </c>
      <c r="F157" s="22" t="n">
        <f>0</f>
        <v>0.0</v>
      </c>
      <c r="G157" s="21" t="n">
        <v>2.860314E8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687.0</v>
      </c>
      <c r="F158" s="22" t="n">
        <f>0</f>
        <v>0.0</v>
      </c>
      <c r="G158" s="21" t="n">
        <v>6.69151E8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1027.0</v>
      </c>
      <c r="F159" s="26" t="n">
        <f>0</f>
        <v>0.0</v>
      </c>
      <c r="G159" s="25" t="n">
        <v>1.0023869E9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375.0</v>
      </c>
      <c r="F168" s="18" t="n">
        <f>0</f>
        <v>0.0</v>
      </c>
      <c r="G168" s="17" t="n">
        <v>8.032795E8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265.0</v>
      </c>
      <c r="F169" s="22" t="n">
        <f>0</f>
        <v>0.0</v>
      </c>
      <c r="G169" s="21" t="n">
        <v>5.70068E8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286.0</v>
      </c>
      <c r="F170" s="22" t="n">
        <f>0</f>
        <v>0.0</v>
      </c>
      <c r="G170" s="21" t="n">
        <v>6.13465E8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926.0</v>
      </c>
      <c r="F171" s="26" t="n">
        <f>0</f>
        <v>0.0</v>
      </c>
      <c r="G171" s="25" t="n">
        <v>1.9868125E9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331.0</v>
      </c>
      <c r="F204" s="18" t="n">
        <f>0</f>
        <v>0.0</v>
      </c>
      <c r="G204" s="17" t="n">
        <v>1.3862725E9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114.0</v>
      </c>
      <c r="F205" s="22" t="n">
        <f>0</f>
        <v>0.0</v>
      </c>
      <c r="G205" s="21" t="n">
        <v>4.72856E8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3970.0</v>
      </c>
      <c r="F206" s="22" t="n">
        <f>2</f>
        <v>2.0</v>
      </c>
      <c r="G206" s="21" t="n">
        <v>1.6356996E10</v>
      </c>
      <c r="H206" s="22" t="n">
        <f>8950000</f>
        <v>8950000.0</v>
      </c>
    </row>
    <row r="207" spans="1:8" ht="24.9" customHeight="1">
      <c r="A207" s="57"/>
      <c r="B207" s="59"/>
      <c r="C207" s="39"/>
      <c r="D207" s="24" t="s">
        <v>18</v>
      </c>
      <c r="E207" s="25" t="n">
        <v>4415.0</v>
      </c>
      <c r="F207" s="26" t="n">
        <f>2</f>
        <v>2.0</v>
      </c>
      <c r="G207" s="25" t="n">
        <v>1.82161245E10</v>
      </c>
      <c r="H207" s="26" t="n">
        <f>8950000</f>
        <v>8950000.0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46178.0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46178.0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5140</f>
        <v>5140.0</v>
      </c>
      <c r="E12" s="35" t="n">
        <f>2499</f>
        <v>2499.0</v>
      </c>
      <c r="F12" s="17" t="n">
        <f>5047</f>
        <v>5047.0</v>
      </c>
      <c r="G12" s="35" t="n">
        <f>3055</f>
        <v>3055.0</v>
      </c>
      <c r="H12" s="17" t="n">
        <f>10187</f>
        <v>10187.0</v>
      </c>
      <c r="I12" s="35" t="n">
        <f>5554</f>
        <v>5554.0</v>
      </c>
      <c r="J12" s="17" t="n">
        <f>4291053780</f>
        <v>4.29105378E9</v>
      </c>
      <c r="K12" s="35" t="n">
        <f>3821692780</f>
        <v>3.82169278E9</v>
      </c>
      <c r="L12" s="17" t="n">
        <f>13065270480</f>
        <v>1.306527048E10</v>
      </c>
      <c r="M12" s="35" t="n">
        <f>12391545480</f>
        <v>1.239154548E10</v>
      </c>
      <c r="N12" s="17" t="n">
        <f>17356324260</f>
        <v>1.735632426E10</v>
      </c>
      <c r="O12" s="35" t="n">
        <f>16213238260</f>
        <v>1.621323826E10</v>
      </c>
    </row>
    <row r="13" spans="1:15" ht="24.9" customHeight="1">
      <c r="A13" s="38"/>
      <c r="B13" s="62"/>
      <c r="C13" s="20" t="s">
        <v>16</v>
      </c>
      <c r="D13" s="21" t="n">
        <f>6828</f>
        <v>6828.0</v>
      </c>
      <c r="E13" s="36" t="n">
        <f>1277</f>
        <v>1277.0</v>
      </c>
      <c r="F13" s="21" t="n">
        <f>5523</f>
        <v>5523.0</v>
      </c>
      <c r="G13" s="36" t="n">
        <f>1172</f>
        <v>1172.0</v>
      </c>
      <c r="H13" s="21" t="n">
        <f>12351</f>
        <v>12351.0</v>
      </c>
      <c r="I13" s="36" t="n">
        <f>2449</f>
        <v>2449.0</v>
      </c>
      <c r="J13" s="21" t="n">
        <f>1592343250</f>
        <v>1.59234325E9</v>
      </c>
      <c r="K13" s="36" t="n">
        <f>336124250</f>
        <v>3.3612425E8</v>
      </c>
      <c r="L13" s="21" t="n">
        <f>1346077250</f>
        <v>1.34607725E9</v>
      </c>
      <c r="M13" s="36" t="n">
        <f>304546250</f>
        <v>3.0454625E8</v>
      </c>
      <c r="N13" s="21" t="n">
        <f>2938420500</f>
        <v>2.9384205E9</v>
      </c>
      <c r="O13" s="36" t="n">
        <f>640670500</f>
        <v>6.406705E8</v>
      </c>
    </row>
    <row r="14" spans="1:15" ht="24.9" customHeight="1">
      <c r="A14" s="38"/>
      <c r="B14" s="62"/>
      <c r="C14" s="20" t="s">
        <v>17</v>
      </c>
      <c r="D14" s="21" t="n">
        <f>17380</f>
        <v>17380.0</v>
      </c>
      <c r="E14" s="36" t="n">
        <f>11375</f>
        <v>11375.0</v>
      </c>
      <c r="F14" s="21" t="n">
        <f>13398</f>
        <v>13398.0</v>
      </c>
      <c r="G14" s="36" t="n">
        <f>9409</f>
        <v>9409.0</v>
      </c>
      <c r="H14" s="21" t="n">
        <f>30778</f>
        <v>30778.0</v>
      </c>
      <c r="I14" s="36" t="n">
        <f>20784</f>
        <v>20784.0</v>
      </c>
      <c r="J14" s="21" t="n">
        <f>12739510982</f>
        <v>1.2739510982E10</v>
      </c>
      <c r="K14" s="36" t="n">
        <f>10813860982</f>
        <v>1.0813860982E10</v>
      </c>
      <c r="L14" s="21" t="n">
        <f>63495160570</f>
        <v>6.349516057E10</v>
      </c>
      <c r="M14" s="36" t="n">
        <f>62154481570</f>
        <v>6.215448157E10</v>
      </c>
      <c r="N14" s="21" t="n">
        <f>76234671552</f>
        <v>7.6234671552E10</v>
      </c>
      <c r="O14" s="36" t="n">
        <f>72968342552</f>
        <v>7.2968342552E10</v>
      </c>
    </row>
    <row r="15" spans="1:15" ht="24.9" customHeight="1">
      <c r="A15" s="38"/>
      <c r="B15" s="62"/>
      <c r="C15" s="24" t="s">
        <v>18</v>
      </c>
      <c r="D15" s="25" t="n">
        <f>29348</f>
        <v>29348.0</v>
      </c>
      <c r="E15" s="37" t="n">
        <f>15151</f>
        <v>15151.0</v>
      </c>
      <c r="F15" s="25" t="n">
        <f>23968</f>
        <v>23968.0</v>
      </c>
      <c r="G15" s="37" t="n">
        <f>13636</f>
        <v>13636.0</v>
      </c>
      <c r="H15" s="25" t="n">
        <f>53316</f>
        <v>53316.0</v>
      </c>
      <c r="I15" s="37" t="n">
        <f>28787</f>
        <v>28787.0</v>
      </c>
      <c r="J15" s="25" t="n">
        <f>18622908012</f>
        <v>1.8622908012E10</v>
      </c>
      <c r="K15" s="37" t="n">
        <f>14971678012</f>
        <v>1.4971678012E10</v>
      </c>
      <c r="L15" s="25" t="n">
        <f>77906508300</f>
        <v>7.79065083E10</v>
      </c>
      <c r="M15" s="37" t="n">
        <f>74850573300</f>
        <v>7.48505733E10</v>
      </c>
      <c r="N15" s="25" t="n">
        <f>96529416312</f>
        <v>9.6529416312E10</v>
      </c>
      <c r="O15" s="37" t="n">
        <f>89822251312</f>
        <v>8.9822251312E10</v>
      </c>
    </row>
    <row r="16" spans="1:15" ht="24.9" customHeight="1">
      <c r="A16" s="38"/>
      <c r="B16" s="61" t="s">
        <v>105</v>
      </c>
      <c r="C16" s="16" t="s">
        <v>15</v>
      </c>
      <c r="D16" s="17" t="n">
        <f>5537</f>
        <v>5537.0</v>
      </c>
      <c r="E16" s="35" t="n">
        <f>470</f>
        <v>470.0</v>
      </c>
      <c r="F16" s="17" t="n">
        <f>3692</f>
        <v>3692.0</v>
      </c>
      <c r="G16" s="35" t="n">
        <f>130</f>
        <v>130.0</v>
      </c>
      <c r="H16" s="17" t="n">
        <f>9229</f>
        <v>9229.0</v>
      </c>
      <c r="I16" s="35" t="n">
        <f>600</f>
        <v>600.0</v>
      </c>
      <c r="J16" s="17" t="n">
        <f>169874360</f>
        <v>1.6987436E8</v>
      </c>
      <c r="K16" s="35" t="n">
        <f>6644960</f>
        <v>6644960.0</v>
      </c>
      <c r="L16" s="17" t="n">
        <f>194212250</f>
        <v>1.9421225E8</v>
      </c>
      <c r="M16" s="35" t="n">
        <f>5057350</f>
        <v>5057350.0</v>
      </c>
      <c r="N16" s="17" t="n">
        <f>364086610</f>
        <v>3.6408661E8</v>
      </c>
      <c r="O16" s="35" t="n">
        <f>11702310</f>
        <v>1.170231E7</v>
      </c>
    </row>
    <row r="17" spans="1:15" ht="24.9" customHeight="1">
      <c r="A17" s="38"/>
      <c r="B17" s="62"/>
      <c r="C17" s="20" t="s">
        <v>16</v>
      </c>
      <c r="D17" s="21" t="n">
        <f>7259</f>
        <v>7259.0</v>
      </c>
      <c r="E17" s="36" t="n">
        <f>180</f>
        <v>180.0</v>
      </c>
      <c r="F17" s="21" t="n">
        <f>5570</f>
        <v>5570.0</v>
      </c>
      <c r="G17" s="36" t="n">
        <f>110</f>
        <v>110.0</v>
      </c>
      <c r="H17" s="21" t="n">
        <f>12829</f>
        <v>12829.0</v>
      </c>
      <c r="I17" s="36" t="n">
        <f>290</f>
        <v>290.0</v>
      </c>
      <c r="J17" s="21" t="n">
        <f>228791260</f>
        <v>2.2879126E8</v>
      </c>
      <c r="K17" s="36" t="n">
        <f>5559660</f>
        <v>5559660.0</v>
      </c>
      <c r="L17" s="21" t="n">
        <f>192422550</f>
        <v>1.9242255E8</v>
      </c>
      <c r="M17" s="36" t="n">
        <f>2245450</f>
        <v>2245450.0</v>
      </c>
      <c r="N17" s="21" t="n">
        <f>421213810</f>
        <v>4.2121381E8</v>
      </c>
      <c r="O17" s="36" t="n">
        <f>7805110</f>
        <v>7805110.0</v>
      </c>
    </row>
    <row r="18" spans="1:15" ht="24.9" customHeight="1">
      <c r="A18" s="38"/>
      <c r="B18" s="62"/>
      <c r="C18" s="20" t="s">
        <v>17</v>
      </c>
      <c r="D18" s="21" t="n">
        <f>6960</f>
        <v>6960.0</v>
      </c>
      <c r="E18" s="36" t="n">
        <f>260</f>
        <v>260.0</v>
      </c>
      <c r="F18" s="21" t="n">
        <f>3667</f>
        <v>3667.0</v>
      </c>
      <c r="G18" s="36" t="n">
        <f>140</f>
        <v>140.0</v>
      </c>
      <c r="H18" s="21" t="n">
        <f>10627</f>
        <v>10627.0</v>
      </c>
      <c r="I18" s="36" t="n">
        <f>400</f>
        <v>400.0</v>
      </c>
      <c r="J18" s="21" t="n">
        <f>234730880</f>
        <v>2.3473088E8</v>
      </c>
      <c r="K18" s="36" t="n">
        <f>3923880</f>
        <v>3923880.0</v>
      </c>
      <c r="L18" s="21" t="n">
        <f>306411540</f>
        <v>3.0641154E8</v>
      </c>
      <c r="M18" s="36" t="n">
        <f>4588240</f>
        <v>4588240.0</v>
      </c>
      <c r="N18" s="21" t="n">
        <f>541142420</f>
        <v>5.4114242E8</v>
      </c>
      <c r="O18" s="36" t="n">
        <f>8512120</f>
        <v>8512120.0</v>
      </c>
    </row>
    <row r="19" spans="1:15" ht="24.9" customHeight="1">
      <c r="A19" s="38"/>
      <c r="B19" s="62"/>
      <c r="C19" s="24" t="s">
        <v>18</v>
      </c>
      <c r="D19" s="25" t="n">
        <f>19756</f>
        <v>19756.0</v>
      </c>
      <c r="E19" s="37" t="n">
        <f>910</f>
        <v>910.0</v>
      </c>
      <c r="F19" s="25" t="n">
        <f>12929</f>
        <v>12929.0</v>
      </c>
      <c r="G19" s="37" t="n">
        <f>380</f>
        <v>380.0</v>
      </c>
      <c r="H19" s="25" t="n">
        <f>32685</f>
        <v>32685.0</v>
      </c>
      <c r="I19" s="37" t="n">
        <f>1290</f>
        <v>1290.0</v>
      </c>
      <c r="J19" s="25" t="n">
        <f>633396500</f>
        <v>6.333965E8</v>
      </c>
      <c r="K19" s="37" t="n">
        <f>16128500</f>
        <v>1.61285E7</v>
      </c>
      <c r="L19" s="25" t="n">
        <f>693046340</f>
        <v>6.9304634E8</v>
      </c>
      <c r="M19" s="37" t="n">
        <f>11891040</f>
        <v>1.189104E7</v>
      </c>
      <c r="N19" s="25" t="n">
        <f>1326442840</f>
        <v>1.32644284E9</v>
      </c>
      <c r="O19" s="37" t="n">
        <f>28019540</f>
        <v>2.801954E7</v>
      </c>
    </row>
    <row r="20" spans="1:15" ht="24.9" customHeight="1">
      <c r="A20" s="38"/>
      <c r="B20" s="61" t="s">
        <v>106</v>
      </c>
      <c r="C20" s="16" t="s">
        <v>15</v>
      </c>
      <c r="D20" s="17" t="n">
        <f>26</f>
        <v>26.0</v>
      </c>
      <c r="E20" s="35" t="n">
        <f>26</f>
        <v>26.0</v>
      </c>
      <c r="F20" s="17" t="n">
        <f>0</f>
        <v>0.0</v>
      </c>
      <c r="G20" s="35" t="n">
        <f>0</f>
        <v>0.0</v>
      </c>
      <c r="H20" s="17" t="n">
        <f>26</f>
        <v>26.0</v>
      </c>
      <c r="I20" s="35" t="n">
        <f>26</f>
        <v>26.0</v>
      </c>
      <c r="J20" s="17" t="n">
        <f>25934300</f>
        <v>2.59343E7</v>
      </c>
      <c r="K20" s="35" t="n">
        <f>25934300</f>
        <v>2.59343E7</v>
      </c>
      <c r="L20" s="17" t="n">
        <f>0</f>
        <v>0.0</v>
      </c>
      <c r="M20" s="35" t="n">
        <f>0</f>
        <v>0.0</v>
      </c>
      <c r="N20" s="17" t="n">
        <f>25934300</f>
        <v>2.59343E7</v>
      </c>
      <c r="O20" s="35" t="n">
        <f>25934300</f>
        <v>2.59343E7</v>
      </c>
    </row>
    <row r="21" spans="1:15" ht="24.9" customHeight="1">
      <c r="A21" s="38"/>
      <c r="B21" s="62"/>
      <c r="C21" s="20" t="s">
        <v>16</v>
      </c>
      <c r="D21" s="21" t="n">
        <f>860</f>
        <v>860.0</v>
      </c>
      <c r="E21" s="36" t="n">
        <f>860</f>
        <v>860.0</v>
      </c>
      <c r="F21" s="21" t="n">
        <f>860</f>
        <v>860.0</v>
      </c>
      <c r="G21" s="36" t="n">
        <f>860</f>
        <v>860.0</v>
      </c>
      <c r="H21" s="21" t="n">
        <f>1720</f>
        <v>1720.0</v>
      </c>
      <c r="I21" s="36" t="n">
        <f>1720</f>
        <v>1720.0</v>
      </c>
      <c r="J21" s="21" t="n">
        <f>434300000</f>
        <v>4.343E8</v>
      </c>
      <c r="K21" s="36" t="n">
        <f>434300000</f>
        <v>4.343E8</v>
      </c>
      <c r="L21" s="21" t="n">
        <f>3156888000</f>
        <v>3.156888E9</v>
      </c>
      <c r="M21" s="36" t="n">
        <f>3156888000</f>
        <v>3.156888E9</v>
      </c>
      <c r="N21" s="21" t="n">
        <f>3591188000</f>
        <v>3.591188E9</v>
      </c>
      <c r="O21" s="36" t="n">
        <f>3591188000</f>
        <v>3.591188E9</v>
      </c>
    </row>
    <row r="22" spans="1:15" ht="24.9" customHeight="1">
      <c r="A22" s="38"/>
      <c r="B22" s="62"/>
      <c r="C22" s="20" t="s">
        <v>17</v>
      </c>
      <c r="D22" s="21" t="n">
        <f>330</f>
        <v>330.0</v>
      </c>
      <c r="E22" s="36" t="n">
        <f>320</f>
        <v>320.0</v>
      </c>
      <c r="F22" s="21" t="n">
        <f>13</f>
        <v>13.0</v>
      </c>
      <c r="G22" s="36" t="n">
        <f>0</f>
        <v>0.0</v>
      </c>
      <c r="H22" s="21" t="n">
        <f>343</f>
        <v>343.0</v>
      </c>
      <c r="I22" s="36" t="n">
        <f>320</f>
        <v>320.0</v>
      </c>
      <c r="J22" s="21" t="n">
        <f>434079640</f>
        <v>4.3407964E8</v>
      </c>
      <c r="K22" s="36" t="n">
        <f>433579640</f>
        <v>4.3357964E8</v>
      </c>
      <c r="L22" s="21" t="n">
        <f>1040000</f>
        <v>1040000.0</v>
      </c>
      <c r="M22" s="36" t="n">
        <f>0</f>
        <v>0.0</v>
      </c>
      <c r="N22" s="21" t="n">
        <f>435119640</f>
        <v>4.3511964E8</v>
      </c>
      <c r="O22" s="36" t="n">
        <f>433579640</f>
        <v>4.3357964E8</v>
      </c>
    </row>
    <row r="23" spans="1:15" ht="24.9" customHeight="1">
      <c r="A23" s="38"/>
      <c r="B23" s="62"/>
      <c r="C23" s="24" t="s">
        <v>18</v>
      </c>
      <c r="D23" s="25" t="n">
        <f>1216</f>
        <v>1216.0</v>
      </c>
      <c r="E23" s="37" t="n">
        <f>1206</f>
        <v>1206.0</v>
      </c>
      <c r="F23" s="25" t="n">
        <f>873</f>
        <v>873.0</v>
      </c>
      <c r="G23" s="37" t="n">
        <f>860</f>
        <v>860.0</v>
      </c>
      <c r="H23" s="25" t="n">
        <f>2089</f>
        <v>2089.0</v>
      </c>
      <c r="I23" s="37" t="n">
        <f>2066</f>
        <v>2066.0</v>
      </c>
      <c r="J23" s="25" t="n">
        <f>894313940</f>
        <v>8.9431394E8</v>
      </c>
      <c r="K23" s="37" t="n">
        <f>893813940</f>
        <v>8.9381394E8</v>
      </c>
      <c r="L23" s="25" t="n">
        <f>3157928000</f>
        <v>3.157928E9</v>
      </c>
      <c r="M23" s="37" t="n">
        <f>3156888000</f>
        <v>3.156888E9</v>
      </c>
      <c r="N23" s="25" t="n">
        <f>4052241940</f>
        <v>4.05224194E9</v>
      </c>
      <c r="O23" s="37" t="n">
        <f>4050701940</f>
        <v>4.05070194E9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50</f>
        <v>50.0</v>
      </c>
      <c r="E37" s="22" t="n">
        <f>0</f>
        <v>0.0</v>
      </c>
      <c r="F37" s="21" t="n">
        <f>16</f>
        <v>16.0</v>
      </c>
      <c r="G37" s="22" t="n">
        <f>0</f>
        <v>0.0</v>
      </c>
      <c r="H37" s="21" t="n">
        <f>66</f>
        <v>66.0</v>
      </c>
      <c r="I37" s="22" t="n">
        <f>0</f>
        <v>0.0</v>
      </c>
      <c r="J37" s="21" t="n">
        <f>3650000</f>
        <v>3650000.0</v>
      </c>
      <c r="K37" s="22" t="n">
        <f>0</f>
        <v>0.0</v>
      </c>
      <c r="L37" s="21" t="n">
        <f>640000</f>
        <v>640000.0</v>
      </c>
      <c r="M37" s="22" t="n">
        <f>0</f>
        <v>0.0</v>
      </c>
      <c r="N37" s="21" t="n">
        <f>4290000</f>
        <v>4290000.0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116</f>
        <v>116.0</v>
      </c>
      <c r="E38" s="36" t="n">
        <f>0</f>
        <v>0.0</v>
      </c>
      <c r="F38" s="21" t="n">
        <f>48</f>
        <v>48.0</v>
      </c>
      <c r="G38" s="36" t="n">
        <f>0</f>
        <v>0.0</v>
      </c>
      <c r="H38" s="21" t="n">
        <f>164</f>
        <v>164.0</v>
      </c>
      <c r="I38" s="36" t="n">
        <f>0</f>
        <v>0.0</v>
      </c>
      <c r="J38" s="21" t="n">
        <f>36650000</f>
        <v>3.665E7</v>
      </c>
      <c r="K38" s="36" t="n">
        <f>0</f>
        <v>0.0</v>
      </c>
      <c r="L38" s="21" t="n">
        <f>16980000</f>
        <v>1.698E7</v>
      </c>
      <c r="M38" s="36" t="n">
        <f>0</f>
        <v>0.0</v>
      </c>
      <c r="N38" s="21" t="n">
        <f>53630000</f>
        <v>5.363E7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166</f>
        <v>166.0</v>
      </c>
      <c r="E39" s="37" t="n">
        <f>0</f>
        <v>0.0</v>
      </c>
      <c r="F39" s="25" t="n">
        <f>64</f>
        <v>64.0</v>
      </c>
      <c r="G39" s="37" t="n">
        <f>0</f>
        <v>0.0</v>
      </c>
      <c r="H39" s="25" t="n">
        <f>230</f>
        <v>230.0</v>
      </c>
      <c r="I39" s="37" t="n">
        <f>0</f>
        <v>0.0</v>
      </c>
      <c r="J39" s="25" t="n">
        <f>40300000</f>
        <v>4.03E7</v>
      </c>
      <c r="K39" s="37" t="n">
        <f>0</f>
        <v>0.0</v>
      </c>
      <c r="L39" s="25" t="n">
        <f>17620000</f>
        <v>1.762E7</v>
      </c>
      <c r="M39" s="37" t="n">
        <f>0</f>
        <v>0.0</v>
      </c>
      <c r="N39" s="25" t="n">
        <f>57920000</f>
        <v>5.792E7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817</f>
        <v>817.0</v>
      </c>
      <c r="E41" s="36" t="n">
        <f>0</f>
        <v>0.0</v>
      </c>
      <c r="F41" s="21" t="n">
        <f>703</f>
        <v>703.0</v>
      </c>
      <c r="G41" s="36" t="n">
        <f>0</f>
        <v>0.0</v>
      </c>
      <c r="H41" s="21" t="n">
        <f>1520</f>
        <v>1520.0</v>
      </c>
      <c r="I41" s="36" t="n">
        <f>0</f>
        <v>0.0</v>
      </c>
      <c r="J41" s="21" t="n">
        <f>21648211</f>
        <v>2.1648211E7</v>
      </c>
      <c r="K41" s="36" t="n">
        <f>0</f>
        <v>0.0</v>
      </c>
      <c r="L41" s="21" t="n">
        <f>14549625</f>
        <v>1.4549625E7</v>
      </c>
      <c r="M41" s="36" t="n">
        <f>0</f>
        <v>0.0</v>
      </c>
      <c r="N41" s="21" t="n">
        <f>36197836</f>
        <v>3.6197836E7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1790</f>
        <v>1790.0</v>
      </c>
      <c r="E42" s="36" t="n">
        <f>1150</f>
        <v>1150.0</v>
      </c>
      <c r="F42" s="21" t="n">
        <f>2622</f>
        <v>2622.0</v>
      </c>
      <c r="G42" s="36" t="n">
        <f>2150</f>
        <v>2150.0</v>
      </c>
      <c r="H42" s="21" t="n">
        <f>4412</f>
        <v>4412.0</v>
      </c>
      <c r="I42" s="36" t="n">
        <f>3300</f>
        <v>3300.0</v>
      </c>
      <c r="J42" s="21" t="n">
        <f>69324276</f>
        <v>6.9324276E7</v>
      </c>
      <c r="K42" s="36" t="n">
        <f>61400000</f>
        <v>6.14E7</v>
      </c>
      <c r="L42" s="21" t="n">
        <f>111236060</f>
        <v>1.1123606E8</v>
      </c>
      <c r="M42" s="36" t="n">
        <f>96350000</f>
        <v>9.635E7</v>
      </c>
      <c r="N42" s="21" t="n">
        <f>180560336</f>
        <v>1.80560336E8</v>
      </c>
      <c r="O42" s="36" t="n">
        <f>157750000</f>
        <v>1.5775E8</v>
      </c>
    </row>
    <row r="43" spans="1:15" ht="24.9" customHeight="1">
      <c r="A43" s="38"/>
      <c r="B43" s="62"/>
      <c r="C43" s="24" t="s">
        <v>18</v>
      </c>
      <c r="D43" s="25" t="n">
        <f>2607</f>
        <v>2607.0</v>
      </c>
      <c r="E43" s="37" t="n">
        <f>1150</f>
        <v>1150.0</v>
      </c>
      <c r="F43" s="25" t="n">
        <f>3325</f>
        <v>3325.0</v>
      </c>
      <c r="G43" s="37" t="n">
        <f>2150</f>
        <v>2150.0</v>
      </c>
      <c r="H43" s="25" t="n">
        <f>5932</f>
        <v>5932.0</v>
      </c>
      <c r="I43" s="37" t="n">
        <f>3300</f>
        <v>3300.0</v>
      </c>
      <c r="J43" s="25" t="n">
        <f>90972487</f>
        <v>9.0972487E7</v>
      </c>
      <c r="K43" s="37" t="n">
        <f>61400000</f>
        <v>6.14E7</v>
      </c>
      <c r="L43" s="25" t="n">
        <f>125785685</f>
        <v>1.25785685E8</v>
      </c>
      <c r="M43" s="37" t="n">
        <f>96350000</f>
        <v>9.635E7</v>
      </c>
      <c r="N43" s="25" t="n">
        <f>216758172</f>
        <v>2.16758172E8</v>
      </c>
      <c r="O43" s="37" t="n">
        <f>157750000</f>
        <v>1.5775E8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