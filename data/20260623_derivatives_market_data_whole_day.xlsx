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<sst xmlns="http://schemas.openxmlformats.org/spreadsheetml/2006/main" count="528" uniqueCount="129">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</sst>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DATE(2026,06,23)</f>
        <v>46196.0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DATE(2026,06,23)</f>
        <v>46196.0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717092.0</f>
        <v>717092.0</v>
      </c>
      <c r="E12" s="18" t="n">
        <f>35993.0</f>
        <v>35993.0</v>
      </c>
      <c r="F12" s="19" t="n">
        <f>1.0</f>
        <v>1.0</v>
      </c>
      <c r="G12" s="17" t="n">
        <f>5055060122058.0</f>
        <v>5.055060122058E12</v>
      </c>
      <c r="H12" s="18" t="n">
        <f>409116079908.0</f>
        <v>4.09116079908E11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483293.0</f>
        <v>483293.0</v>
      </c>
      <c r="E13" s="22" t="n">
        <f>20641.0</f>
        <v>20641.0</v>
      </c>
      <c r="F13" s="23" t="n">
        <f>1.0</f>
        <v>1.0</v>
      </c>
      <c r="G13" s="21" t="n">
        <f>4677387610275.0</f>
        <v>4.677387610275E12</v>
      </c>
      <c r="H13" s="22" t="n">
        <f>267513785300.0</f>
        <v>2.675137853E11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806561.0</f>
        <v>806561.0</v>
      </c>
      <c r="E14" s="22" t="n">
        <f>58649.0</f>
        <v>58649.0</v>
      </c>
      <c r="F14" s="23" t="n">
        <f>1.0</f>
        <v>1.0</v>
      </c>
      <c r="G14" s="21" t="n">
        <f>8992198707537.0</f>
        <v>8.992198707537E12</v>
      </c>
      <c r="H14" s="22" t="n">
        <f>1706257823437.0</f>
        <v>1.706257823437E12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2006946.0</f>
        <v>2006946.0</v>
      </c>
      <c r="E15" s="26" t="n">
        <f>115283.0</f>
        <v>115283.0</v>
      </c>
      <c r="F15" s="27" t="n">
        <f>1.0</f>
        <v>1.0</v>
      </c>
      <c r="G15" s="25" t="n">
        <f>18724646439870.0</f>
        <v>1.872464643987E13</v>
      </c>
      <c r="H15" s="26" t="n">
        <f>2382887688645.0</f>
        <v>2.382887688645E12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18230.0</f>
        <v>18230.0</v>
      </c>
      <c r="E16" s="18" t="n">
        <f>352.0</f>
        <v>352.0</v>
      </c>
      <c r="F16" s="19" t="n">
        <f>0.025</f>
        <v>0.025</v>
      </c>
      <c r="G16" s="17" t="n">
        <f>1297806737500.0</f>
        <v>1.2978067375E12</v>
      </c>
      <c r="H16" s="18" t="n">
        <f>44924020000.0</f>
        <v>4.492402E10</v>
      </c>
      <c r="I16" s="19" t="n">
        <f>0.257</f>
        <v>0.257</v>
      </c>
    </row>
    <row r="17" spans="1:9" ht="24.9" customHeight="1">
      <c r="A17" s="41"/>
      <c r="B17" s="39"/>
      <c r="C17" s="20" t="s">
        <v>16</v>
      </c>
      <c r="D17" s="21" t="n">
        <f>14541.0</f>
        <v>14541.0</v>
      </c>
      <c r="E17" s="22" t="n">
        <f>699.0</f>
        <v>699.0</v>
      </c>
      <c r="F17" s="23" t="n">
        <f>0.03</f>
        <v>0.03</v>
      </c>
      <c r="G17" s="21" t="n">
        <f>1625051039125.0</f>
        <v>1.625051039125E12</v>
      </c>
      <c r="H17" s="22" t="n">
        <f>89193715000.0</f>
        <v>8.9193715E10</v>
      </c>
      <c r="I17" s="23" t="n">
        <f>0.347</f>
        <v>0.347</v>
      </c>
    </row>
    <row r="18" spans="1:9" ht="24.9" customHeight="1">
      <c r="A18" s="41"/>
      <c r="B18" s="39"/>
      <c r="C18" s="20" t="s">
        <v>17</v>
      </c>
      <c r="D18" s="21" t="n">
        <f>18359.0</f>
        <v>18359.0</v>
      </c>
      <c r="E18" s="22" t="n">
        <f>3177.0</f>
        <v>3177.0</v>
      </c>
      <c r="F18" s="23" t="n">
        <f>0.023</f>
        <v>0.023</v>
      </c>
      <c r="G18" s="21" t="n">
        <f>2240392570250.0</f>
        <v>2.24039257025E12</v>
      </c>
      <c r="H18" s="22" t="n">
        <f>405529570000.0</f>
        <v>4.0552957E11</v>
      </c>
      <c r="I18" s="23" t="n">
        <f>0.249</f>
        <v>0.249</v>
      </c>
    </row>
    <row r="19" spans="1:9" ht="24.9" customHeight="1">
      <c r="A19" s="41"/>
      <c r="B19" s="39"/>
      <c r="C19" s="24" t="s">
        <v>18</v>
      </c>
      <c r="D19" s="25" t="n">
        <f>51130.0</f>
        <v>51130.0</v>
      </c>
      <c r="E19" s="26" t="n">
        <f>4228.0</f>
        <v>4228.0</v>
      </c>
      <c r="F19" s="27" t="n">
        <f>0.025</f>
        <v>0.025</v>
      </c>
      <c r="G19" s="25" t="n">
        <f>5163250346875.0</f>
        <v>5.163250346875E12</v>
      </c>
      <c r="H19" s="26" t="n">
        <f>539647305000.0</f>
        <v>5.39647305E11</v>
      </c>
      <c r="I19" s="27" t="n">
        <f>0.276</f>
        <v>0.276</v>
      </c>
    </row>
    <row r="20" spans="1:9" ht="24.9" customHeight="1">
      <c r="A20" s="41"/>
      <c r="B20" s="39" t="s">
        <v>21</v>
      </c>
      <c r="C20" s="16" t="s">
        <v>15</v>
      </c>
      <c r="D20" s="17" t="n">
        <f>686577.0</f>
        <v>686577.0</v>
      </c>
      <c r="E20" s="18" t="n">
        <f>35641.0</f>
        <v>35641.0</v>
      </c>
      <c r="F20" s="19" t="n">
        <f>0.957</f>
        <v>0.957</v>
      </c>
      <c r="G20" s="17" t="n">
        <f>3638055151358.0</f>
        <v>3.638055151358E12</v>
      </c>
      <c r="H20" s="18" t="n">
        <f>364192059908.0</f>
        <v>3.64192059908E11</v>
      </c>
      <c r="I20" s="19" t="n">
        <f>0.72</f>
        <v>0.72</v>
      </c>
    </row>
    <row r="21" spans="1:9" ht="24.9" customHeight="1">
      <c r="A21" s="41"/>
      <c r="B21" s="39"/>
      <c r="C21" s="20" t="s">
        <v>16</v>
      </c>
      <c r="D21" s="21" t="n">
        <f>462386.0</f>
        <v>462386.0</v>
      </c>
      <c r="E21" s="22" t="n">
        <f>19917.0</f>
        <v>19917.0</v>
      </c>
      <c r="F21" s="23" t="n">
        <f>0.957</f>
        <v>0.957</v>
      </c>
      <c r="G21" s="21" t="n">
        <f>2992244936900.0</f>
        <v>2.9922449369E12</v>
      </c>
      <c r="H21" s="22" t="n">
        <f>178266057800.0</f>
        <v>1.782660578E11</v>
      </c>
      <c r="I21" s="23" t="n">
        <f>0.64</f>
        <v>0.64</v>
      </c>
    </row>
    <row r="22" spans="1:9" ht="24.9" customHeight="1">
      <c r="A22" s="41"/>
      <c r="B22" s="39"/>
      <c r="C22" s="20" t="s">
        <v>17</v>
      </c>
      <c r="D22" s="21" t="n">
        <f>776854.0</f>
        <v>776854.0</v>
      </c>
      <c r="E22" s="22" t="n">
        <f>55225.0</f>
        <v>55225.0</v>
      </c>
      <c r="F22" s="23" t="n">
        <f>0.963</f>
        <v>0.963</v>
      </c>
      <c r="G22" s="21" t="n">
        <f>6659140013237.0</f>
        <v>6.659140013237E12</v>
      </c>
      <c r="H22" s="22" t="n">
        <f>1300117810437.0</f>
        <v>1.300117810437E12</v>
      </c>
      <c r="I22" s="23" t="n">
        <f>0.741</f>
        <v>0.741</v>
      </c>
    </row>
    <row r="23" spans="1:9" ht="24.9" customHeight="1">
      <c r="A23" s="41"/>
      <c r="B23" s="39"/>
      <c r="C23" s="24" t="s">
        <v>18</v>
      </c>
      <c r="D23" s="25" t="n">
        <f>1925817.0</f>
        <v>1925817.0</v>
      </c>
      <c r="E23" s="26" t="n">
        <f>110783.0</f>
        <v>110783.0</v>
      </c>
      <c r="F23" s="27" t="n">
        <f>0.96</f>
        <v>0.96</v>
      </c>
      <c r="G23" s="25" t="n">
        <f>13289440101495.0</f>
        <v>1.3289440101495E13</v>
      </c>
      <c r="H23" s="26" t="n">
        <f>1842575928145.0</f>
        <v>1.842575928145E12</v>
      </c>
      <c r="I23" s="27" t="n">
        <f>0.71</f>
        <v>0.71</v>
      </c>
    </row>
    <row r="24" spans="1:9" ht="24.9" customHeight="1">
      <c r="A24" s="41"/>
      <c r="B24" s="39" t="s">
        <v>22</v>
      </c>
      <c r="C24" s="16" t="s">
        <v>15</v>
      </c>
      <c r="D24" s="17" t="n">
        <f>11960.0</f>
        <v>11960.0</v>
      </c>
      <c r="E24" s="18" t="n">
        <f>0.0</f>
        <v>0.0</v>
      </c>
      <c r="F24" s="19" t="n">
        <f>0.017</f>
        <v>0.017</v>
      </c>
      <c r="G24" s="17" t="n">
        <f>118018011200.0</f>
        <v>1.180180112E11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6227.0</f>
        <v>6227.0</v>
      </c>
      <c r="E25" s="22" t="n">
        <f>25.0</f>
        <v>25.0</v>
      </c>
      <c r="F25" s="23" t="n">
        <f>0.013</f>
        <v>0.013</v>
      </c>
      <c r="G25" s="21" t="n">
        <f>59643778250.0</f>
        <v>5.964377825E10</v>
      </c>
      <c r="H25" s="22" t="n">
        <f>54012500.0</f>
        <v>5.40125E7</v>
      </c>
      <c r="I25" s="23" t="n">
        <f>0.013</f>
        <v>0.013</v>
      </c>
    </row>
    <row r="26" spans="1:9" ht="24.9" customHeight="1">
      <c r="A26" s="41"/>
      <c r="B26" s="39"/>
      <c r="C26" s="20" t="s">
        <v>17</v>
      </c>
      <c r="D26" s="21" t="n">
        <f>9939.0</f>
        <v>9939.0</v>
      </c>
      <c r="E26" s="22" t="n">
        <f>247.0</f>
        <v>247.0</v>
      </c>
      <c r="F26" s="23" t="n">
        <f>0.012</f>
        <v>0.012</v>
      </c>
      <c r="G26" s="21" t="n">
        <f>87642197050.0</f>
        <v>8.764219705E10</v>
      </c>
      <c r="H26" s="22" t="n">
        <f>610443000.0</f>
        <v>6.10443E8</v>
      </c>
      <c r="I26" s="23" t="n">
        <f>0.01</f>
        <v>0.01</v>
      </c>
    </row>
    <row r="27" spans="1:9" ht="24.9" customHeight="1">
      <c r="A27" s="42"/>
      <c r="B27" s="39"/>
      <c r="C27" s="24" t="s">
        <v>18</v>
      </c>
      <c r="D27" s="25" t="n">
        <f>28126.0</f>
        <v>28126.0</v>
      </c>
      <c r="E27" s="26" t="n">
        <f>272.0</f>
        <v>272.0</v>
      </c>
      <c r="F27" s="27" t="n">
        <f>0.014</f>
        <v>0.014</v>
      </c>
      <c r="G27" s="25" t="n">
        <f>265303986500.0</f>
        <v>2.653039865E11</v>
      </c>
      <c r="H27" s="26" t="n">
        <f>664455500.0</f>
        <v>6.644555E8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325.0</f>
        <v>325.0</v>
      </c>
      <c r="E28" s="18" t="n">
        <f>0.0</f>
        <v>0.0</v>
      </c>
      <c r="F28" s="19" t="n">
        <f>0.0</f>
        <v>0.0</v>
      </c>
      <c r="G28" s="17" t="n">
        <f>1180222000.0</f>
        <v>1.180222E9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139.0</f>
        <v>139.0</v>
      </c>
      <c r="E29" s="22" t="n">
        <f>0.0</f>
        <v>0.0</v>
      </c>
      <c r="F29" s="23" t="n">
        <f>0.0</f>
        <v>0.0</v>
      </c>
      <c r="G29" s="21" t="n">
        <f>447856000.0</f>
        <v>4.47856E8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1409.0</f>
        <v>1409.0</v>
      </c>
      <c r="E30" s="22" t="n">
        <f>0.0</f>
        <v>0.0</v>
      </c>
      <c r="F30" s="23" t="n">
        <f>0.002</f>
        <v>0.002</v>
      </c>
      <c r="G30" s="21" t="n">
        <f>5023927000.0</f>
        <v>5.023927E9</v>
      </c>
      <c r="H30" s="22" t="n">
        <f>0.0</f>
        <v>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1873.0</f>
        <v>1873.0</v>
      </c>
      <c r="E31" s="26" t="n">
        <f>0.0</f>
        <v>0.0</v>
      </c>
      <c r="F31" s="27" t="n">
        <f>0.001</f>
        <v>0.001</v>
      </c>
      <c r="G31" s="25" t="n">
        <f>6652005000.0</f>
        <v>6.652005E9</v>
      </c>
      <c r="H31" s="26" t="n">
        <f>0.0</f>
        <v>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46196.0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46196.0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27579</f>
        <v>27579.0</v>
      </c>
      <c r="E11" s="18" t="n">
        <f>4803</f>
        <v>4803.0</v>
      </c>
      <c r="F11" s="19" t="n">
        <f>1</f>
        <v>1.0</v>
      </c>
      <c r="G11" s="17" t="n">
        <f>6527241440</f>
        <v>6.52724144E9</v>
      </c>
      <c r="H11" s="18" t="n">
        <f>3098790840</f>
        <v>3.09879084E9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36511</f>
        <v>36511.0</v>
      </c>
      <c r="E12" s="22" t="n">
        <f>5987</f>
        <v>5987.0</v>
      </c>
      <c r="F12" s="23" t="n">
        <f>1</f>
        <v>1.0</v>
      </c>
      <c r="G12" s="21" t="n">
        <f>13760527110</f>
        <v>1.376052711E10</v>
      </c>
      <c r="H12" s="22" t="n">
        <f>11022585420</f>
        <v>1.102258542E10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92722</f>
        <v>92722.0</v>
      </c>
      <c r="E13" s="22" t="n">
        <f>37554</f>
        <v>37554.0</v>
      </c>
      <c r="F13" s="23" t="n">
        <f>1</f>
        <v>1.0</v>
      </c>
      <c r="G13" s="21" t="n">
        <f>79421674825</f>
        <v>7.9421674825E10</v>
      </c>
      <c r="H13" s="22" t="n">
        <f>72375977430</f>
        <v>7.237597743E10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156812</f>
        <v>156812.0</v>
      </c>
      <c r="E14" s="26" t="n">
        <f>48344</f>
        <v>48344.0</v>
      </c>
      <c r="F14" s="27" t="n">
        <f>1</f>
        <v>1.0</v>
      </c>
      <c r="G14" s="25" t="n">
        <f>99709443375</f>
        <v>9.9709443375E10</v>
      </c>
      <c r="H14" s="26" t="n">
        <f>86497353690</f>
        <v>8.649735369E10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6</f>
        <v>6.0</v>
      </c>
      <c r="E16" s="22" t="n">
        <f>0</f>
        <v>0.0</v>
      </c>
      <c r="F16" s="23" t="n">
        <f>0</f>
        <v>0.0</v>
      </c>
      <c r="G16" s="21" t="n">
        <f>1040000</f>
        <v>1040000.0</v>
      </c>
      <c r="H16" s="22" t="n">
        <f>0</f>
        <v>0.0</v>
      </c>
      <c r="I16" s="23" t="n">
        <f>0</f>
        <v>0.0</v>
      </c>
    </row>
    <row r="17" spans="1:9" ht="24.9" customHeight="1">
      <c r="A17" s="41"/>
      <c r="B17" s="39"/>
      <c r="C17" s="20" t="s">
        <v>17</v>
      </c>
      <c r="D17" s="21" t="n">
        <f>28</f>
        <v>28.0</v>
      </c>
      <c r="E17" s="22" t="n">
        <f>0</f>
        <v>0.0</v>
      </c>
      <c r="F17" s="23" t="n">
        <f>0</f>
        <v>0.0</v>
      </c>
      <c r="G17" s="21" t="n">
        <f>4890000</f>
        <v>4890000.0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34</f>
        <v>34.0</v>
      </c>
      <c r="E18" s="26" t="n">
        <f>0</f>
        <v>0.0</v>
      </c>
      <c r="F18" s="27" t="n">
        <f>0</f>
        <v>0.0</v>
      </c>
      <c r="G18" s="25" t="n">
        <f>5930000</f>
        <v>5930000.0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27579</f>
        <v>27579.0</v>
      </c>
      <c r="E19" s="18" t="n">
        <f>4803</f>
        <v>4803.0</v>
      </c>
      <c r="F19" s="19" t="n">
        <f>1</f>
        <v>1.0</v>
      </c>
      <c r="G19" s="17" t="n">
        <f>6527241440</f>
        <v>6.52724144E9</v>
      </c>
      <c r="H19" s="18" t="n">
        <f>3098790840</f>
        <v>3.09879084E9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27719</f>
        <v>27719.0</v>
      </c>
      <c r="E20" s="22" t="n">
        <f>5987</f>
        <v>5987.0</v>
      </c>
      <c r="F20" s="23" t="n">
        <f>0.759</f>
        <v>0.759</v>
      </c>
      <c r="G20" s="21" t="n">
        <f>13598445820</f>
        <v>1.359844582E10</v>
      </c>
      <c r="H20" s="22" t="n">
        <f>11022585420</f>
        <v>1.102258542E10</v>
      </c>
      <c r="I20" s="23" t="n">
        <f>0.988</f>
        <v>0.988</v>
      </c>
    </row>
    <row r="21" spans="1:9" ht="24.9" customHeight="1">
      <c r="A21" s="41"/>
      <c r="B21" s="39"/>
      <c r="C21" s="20" t="s">
        <v>17</v>
      </c>
      <c r="D21" s="21" t="n">
        <f>75611</f>
        <v>75611.0</v>
      </c>
      <c r="E21" s="22" t="n">
        <f>33468</f>
        <v>33468.0</v>
      </c>
      <c r="F21" s="23" t="n">
        <f>0.815</f>
        <v>0.815</v>
      </c>
      <c r="G21" s="21" t="n">
        <f>79307979310</f>
        <v>7.930797931E10</v>
      </c>
      <c r="H21" s="22" t="n">
        <f>72355465710</f>
        <v>7.235546571E10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130909</f>
        <v>130909.0</v>
      </c>
      <c r="E22" s="26" t="n">
        <f>44258</f>
        <v>44258.0</v>
      </c>
      <c r="F22" s="27" t="n">
        <f>0.835</f>
        <v>0.835</v>
      </c>
      <c r="G22" s="25" t="n">
        <f>99433666570</f>
        <v>9.943366657E10</v>
      </c>
      <c r="H22" s="26" t="n">
        <f>86476841970</f>
        <v>8.647684197E10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8786</f>
        <v>8786.0</v>
      </c>
      <c r="E24" s="22" t="n">
        <f>0</f>
        <v>0.0</v>
      </c>
      <c r="F24" s="23" t="n">
        <f>0.241</f>
        <v>0.241</v>
      </c>
      <c r="G24" s="21" t="n">
        <f>161041290</f>
        <v>1.6104129E8</v>
      </c>
      <c r="H24" s="22" t="n">
        <f>0</f>
        <v>0.0</v>
      </c>
      <c r="I24" s="23" t="n">
        <f>0.012</f>
        <v>0.012</v>
      </c>
    </row>
    <row r="25" spans="1:9" ht="24.9" customHeight="1">
      <c r="A25" s="41"/>
      <c r="B25" s="39"/>
      <c r="C25" s="20" t="s">
        <v>17</v>
      </c>
      <c r="D25" s="21" t="n">
        <f>17083</f>
        <v>17083.0</v>
      </c>
      <c r="E25" s="22" t="n">
        <f>4086</f>
        <v>4086.0</v>
      </c>
      <c r="F25" s="23" t="n">
        <f>0.184</f>
        <v>0.184</v>
      </c>
      <c r="G25" s="21" t="n">
        <f>108805515</f>
        <v>1.08805515E8</v>
      </c>
      <c r="H25" s="22" t="n">
        <f>20511720</f>
        <v>2.051172E7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25869</f>
        <v>25869.0</v>
      </c>
      <c r="E26" s="26" t="n">
        <f>4086</f>
        <v>4086.0</v>
      </c>
      <c r="F26" s="27" t="n">
        <f>0.165</f>
        <v>0.165</v>
      </c>
      <c r="G26" s="25" t="n">
        <f>269846805</f>
        <v>2.69846805E8</v>
      </c>
      <c r="H26" s="26" t="n">
        <f>20511720</f>
        <v>2.051172E7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46196.0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46196.0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12098.0</v>
      </c>
      <c r="F12" s="18" t="n">
        <f>1519</f>
        <v>1519.0</v>
      </c>
      <c r="G12" s="17" t="n">
        <v>8.8570908726E11</v>
      </c>
      <c r="H12" s="18" t="n">
        <f>110651038260</f>
        <v>1.1065103826E11</v>
      </c>
    </row>
    <row r="13" spans="1:8" ht="24.9" customHeight="1">
      <c r="A13" s="51"/>
      <c r="B13" s="57"/>
      <c r="C13" s="39"/>
      <c r="D13" s="20" t="s">
        <v>16</v>
      </c>
      <c r="E13" s="21" t="n">
        <v>11839.0</v>
      </c>
      <c r="F13" s="22" t="n">
        <f>485</f>
        <v>485.0</v>
      </c>
      <c r="G13" s="21" t="n">
        <v>8.561453344E11</v>
      </c>
      <c r="H13" s="22" t="n">
        <f>35053273400</f>
        <v>3.50532734E10</v>
      </c>
    </row>
    <row r="14" spans="1:8" ht="24.9" customHeight="1">
      <c r="A14" s="51"/>
      <c r="B14" s="57"/>
      <c r="C14" s="39"/>
      <c r="D14" s="20" t="s">
        <v>17</v>
      </c>
      <c r="E14" s="21" t="n">
        <v>38432.0</v>
      </c>
      <c r="F14" s="22" t="n">
        <f>11096</f>
        <v>11096.0</v>
      </c>
      <c r="G14" s="21" t="n">
        <v>2.71876586545E12</v>
      </c>
      <c r="H14" s="22" t="n">
        <f>786088258450</f>
        <v>7.8608825845E11</v>
      </c>
    </row>
    <row r="15" spans="1:8" ht="24.9" customHeight="1">
      <c r="A15" s="51"/>
      <c r="B15" s="57"/>
      <c r="C15" s="39"/>
      <c r="D15" s="24" t="s">
        <v>18</v>
      </c>
      <c r="E15" s="25" t="n">
        <v>62369.0</v>
      </c>
      <c r="F15" s="26" t="n">
        <f>13100</f>
        <v>13100.0</v>
      </c>
      <c r="G15" s="25" t="n">
        <v>4.46062028711E12</v>
      </c>
      <c r="H15" s="26" t="n">
        <f>931792570110</f>
        <v>9.3179257011E11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233509.0</v>
      </c>
      <c r="F16" s="18" t="n">
        <f>32471</f>
        <v>32471.0</v>
      </c>
      <c r="G16" s="17" t="n">
        <v>1.710893579538E12</v>
      </c>
      <c r="H16" s="18" t="n">
        <f>237944493038</f>
        <v>2.37944493038E11</v>
      </c>
    </row>
    <row r="17" spans="1:8" ht="24.9" customHeight="1">
      <c r="A17" s="51"/>
      <c r="B17" s="57"/>
      <c r="C17" s="39"/>
      <c r="D17" s="20" t="s">
        <v>16</v>
      </c>
      <c r="E17" s="21" t="n">
        <v>193745.0</v>
      </c>
      <c r="F17" s="22" t="n">
        <f>18594</f>
        <v>18594.0</v>
      </c>
      <c r="G17" s="21" t="n">
        <v>1.4009710175E12</v>
      </c>
      <c r="H17" s="22" t="n">
        <f>134425302500</f>
        <v>1.344253025E11</v>
      </c>
    </row>
    <row r="18" spans="1:8" ht="24.9" customHeight="1">
      <c r="A18" s="51"/>
      <c r="B18" s="57"/>
      <c r="C18" s="39"/>
      <c r="D18" s="20" t="s">
        <v>17</v>
      </c>
      <c r="E18" s="21" t="n">
        <v>312075.0</v>
      </c>
      <c r="F18" s="22" t="n">
        <f>29198</f>
        <v>29198.0</v>
      </c>
      <c r="G18" s="21" t="n">
        <v>2.21344609293E12</v>
      </c>
      <c r="H18" s="22" t="n">
        <f>207293530430</f>
        <v>2.0729353043E11</v>
      </c>
    </row>
    <row r="19" spans="1:8" ht="24.9" customHeight="1">
      <c r="A19" s="51"/>
      <c r="B19" s="57"/>
      <c r="C19" s="39"/>
      <c r="D19" s="24" t="s">
        <v>18</v>
      </c>
      <c r="E19" s="25" t="n">
        <v>739329.0</v>
      </c>
      <c r="F19" s="26" t="n">
        <f>80263</f>
        <v>80263.0</v>
      </c>
      <c r="G19" s="25" t="n">
        <v>5.325310689968E12</v>
      </c>
      <c r="H19" s="26" t="n">
        <f>579663325968</f>
        <v>5.79663325968E11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415132.0</v>
      </c>
      <c r="F20" s="18" t="str">
        <f>"－"</f>
        <v>－</v>
      </c>
      <c r="G20" s="17" t="n">
        <v>3.04153216E11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234027.0</v>
      </c>
      <c r="F21" s="22" t="str">
        <f>"－"</f>
        <v>－</v>
      </c>
      <c r="G21" s="21" t="n">
        <v>1.6920686605E11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370092.0</v>
      </c>
      <c r="F22" s="22" t="str">
        <f>"－"</f>
        <v>－</v>
      </c>
      <c r="G22" s="21" t="n">
        <v>2.6268890635E11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1019251.0</v>
      </c>
      <c r="F23" s="26" t="str">
        <f>"－"</f>
        <v>－</v>
      </c>
      <c r="G23" s="25" t="n">
        <v>7.360489884E11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17037.0</v>
      </c>
      <c r="F24" s="18" t="n">
        <f>230</f>
        <v>230.0</v>
      </c>
      <c r="G24" s="17" t="n">
        <v>7.03622505E11</v>
      </c>
      <c r="H24" s="18" t="n">
        <f>9469775000</f>
        <v>9.469775E9</v>
      </c>
    </row>
    <row r="25" spans="1:8" ht="24.9" customHeight="1">
      <c r="A25" s="51"/>
      <c r="B25" s="57"/>
      <c r="C25" s="39"/>
      <c r="D25" s="20" t="s">
        <v>16</v>
      </c>
      <c r="E25" s="21" t="n">
        <v>13015.0</v>
      </c>
      <c r="F25" s="22" t="n">
        <f>164</f>
        <v>164.0</v>
      </c>
      <c r="G25" s="21" t="n">
        <v>5.324764746E11</v>
      </c>
      <c r="H25" s="22" t="n">
        <f>6701774600</f>
        <v>6.7017746E9</v>
      </c>
    </row>
    <row r="26" spans="1:8" ht="24.9" customHeight="1">
      <c r="A26" s="51"/>
      <c r="B26" s="57"/>
      <c r="C26" s="39"/>
      <c r="D26" s="20" t="s">
        <v>17</v>
      </c>
      <c r="E26" s="21" t="n">
        <v>34621.0</v>
      </c>
      <c r="F26" s="22" t="n">
        <f>7158</f>
        <v>7158.0</v>
      </c>
      <c r="G26" s="21" t="n">
        <v>1.3946954721E12</v>
      </c>
      <c r="H26" s="22" t="n">
        <f>288060837100</f>
        <v>2.880608371E11</v>
      </c>
    </row>
    <row r="27" spans="1:8" ht="24.9" customHeight="1">
      <c r="A27" s="51"/>
      <c r="B27" s="57"/>
      <c r="C27" s="39"/>
      <c r="D27" s="24" t="s">
        <v>18</v>
      </c>
      <c r="E27" s="25" t="n">
        <v>64673.0</v>
      </c>
      <c r="F27" s="26" t="n">
        <f>7552</f>
        <v>7552.0</v>
      </c>
      <c r="G27" s="25" t="n">
        <v>2.6307944517E12</v>
      </c>
      <c r="H27" s="26" t="n">
        <f>304232386700</f>
        <v>3.042323867E11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6833.0</v>
      </c>
      <c r="F28" s="18" t="n">
        <f>1232</f>
        <v>1232.0</v>
      </c>
      <c r="G28" s="17" t="n">
        <v>2.821132025E10</v>
      </c>
      <c r="H28" s="18" t="n">
        <f>5090514500</f>
        <v>5.0905145E9</v>
      </c>
    </row>
    <row r="29" spans="1:8" ht="24.9" customHeight="1">
      <c r="A29" s="51"/>
      <c r="B29" s="57"/>
      <c r="C29" s="39"/>
      <c r="D29" s="20" t="s">
        <v>16</v>
      </c>
      <c r="E29" s="21" t="n">
        <v>7125.0</v>
      </c>
      <c r="F29" s="22" t="n">
        <f>415</f>
        <v>415.0</v>
      </c>
      <c r="G29" s="21" t="n">
        <v>2.914313115E10</v>
      </c>
      <c r="H29" s="22" t="n">
        <f>1696185400</f>
        <v>1.6961854E9</v>
      </c>
    </row>
    <row r="30" spans="1:8" ht="24.9" customHeight="1">
      <c r="A30" s="51"/>
      <c r="B30" s="57"/>
      <c r="C30" s="39"/>
      <c r="D30" s="20" t="s">
        <v>17</v>
      </c>
      <c r="E30" s="21" t="n">
        <v>12687.0</v>
      </c>
      <c r="F30" s="22" t="n">
        <f>1662</f>
        <v>1662.0</v>
      </c>
      <c r="G30" s="21" t="n">
        <v>5.120112695E10</v>
      </c>
      <c r="H30" s="22" t="n">
        <f>6743629700</f>
        <v>6.7436297E9</v>
      </c>
    </row>
    <row r="31" spans="1:8" ht="24.9" customHeight="1">
      <c r="A31" s="51"/>
      <c r="B31" s="57"/>
      <c r="C31" s="39"/>
      <c r="D31" s="24" t="s">
        <v>18</v>
      </c>
      <c r="E31" s="25" t="n">
        <v>26645.0</v>
      </c>
      <c r="F31" s="26" t="n">
        <f>3309</f>
        <v>3309.0</v>
      </c>
      <c r="G31" s="25" t="n">
        <v>1.0855557835E11</v>
      </c>
      <c r="H31" s="26" t="n">
        <f>13530329600</f>
        <v>1.35303296E10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505.0</v>
      </c>
      <c r="F36" s="18" t="n">
        <f>57</f>
        <v>57.0</v>
      </c>
      <c r="G36" s="17" t="n">
        <v>1.89134671E9</v>
      </c>
      <c r="H36" s="18" t="n">
        <f>212569210</f>
        <v>2.1256921E8</v>
      </c>
    </row>
    <row r="37" spans="1:8" ht="24.9" customHeight="1">
      <c r="A37" s="51"/>
      <c r="B37" s="57"/>
      <c r="C37" s="39"/>
      <c r="D37" s="20" t="s">
        <v>16</v>
      </c>
      <c r="E37" s="21" t="n">
        <v>677.0</v>
      </c>
      <c r="F37" s="22" t="n">
        <f>0</f>
        <v>0.0</v>
      </c>
      <c r="G37" s="21" t="n">
        <v>2.514114E9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1782.0</v>
      </c>
      <c r="F38" s="22" t="n">
        <f>377</f>
        <v>377.0</v>
      </c>
      <c r="G38" s="21" t="n">
        <v>6.519754277E9</v>
      </c>
      <c r="H38" s="22" t="n">
        <f>1372211777</f>
        <v>1.372211777E9</v>
      </c>
    </row>
    <row r="39" spans="1:8" ht="24.9" customHeight="1">
      <c r="A39" s="51"/>
      <c r="B39" s="57"/>
      <c r="C39" s="39"/>
      <c r="D39" s="24" t="s">
        <v>18</v>
      </c>
      <c r="E39" s="25" t="n">
        <v>2964.0</v>
      </c>
      <c r="F39" s="26" t="n">
        <f>434</f>
        <v>434.0</v>
      </c>
      <c r="G39" s="25" t="n">
        <v>1.0925214987E10</v>
      </c>
      <c r="H39" s="26" t="n">
        <f>1584780987</f>
        <v>1.584780987E9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112.0</v>
      </c>
      <c r="F44" s="18" t="n">
        <f>112</f>
        <v>112.0</v>
      </c>
      <c r="G44" s="17" t="n">
        <v>7.80416E8</v>
      </c>
      <c r="H44" s="18" t="n">
        <f>780416000</f>
        <v>7.80416E8</v>
      </c>
    </row>
    <row r="45" spans="1:8" ht="24.9" customHeight="1">
      <c r="A45" s="51"/>
      <c r="B45" s="57"/>
      <c r="C45" s="39"/>
      <c r="D45" s="20" t="s">
        <v>16</v>
      </c>
      <c r="E45" s="21" t="n">
        <v>3.0</v>
      </c>
      <c r="F45" s="22" t="n">
        <f>3</f>
        <v>3.0</v>
      </c>
      <c r="G45" s="21" t="n">
        <v>2.11095E7</v>
      </c>
      <c r="H45" s="22" t="n">
        <f>21109500</f>
        <v>2.11095E7</v>
      </c>
    </row>
    <row r="46" spans="1:8" ht="24.9" customHeight="1">
      <c r="A46" s="51"/>
      <c r="B46" s="57"/>
      <c r="C46" s="39"/>
      <c r="D46" s="20" t="s">
        <v>17</v>
      </c>
      <c r="E46" s="21" t="n">
        <v>116.0</v>
      </c>
      <c r="F46" s="22" t="n">
        <f>116</f>
        <v>116.0</v>
      </c>
      <c r="G46" s="21" t="n">
        <v>8.030216E8</v>
      </c>
      <c r="H46" s="22" t="n">
        <f>803021600</f>
        <v>8.030216E8</v>
      </c>
    </row>
    <row r="47" spans="1:8" ht="24.9" customHeight="1">
      <c r="A47" s="51"/>
      <c r="B47" s="57"/>
      <c r="C47" s="39"/>
      <c r="D47" s="24" t="s">
        <v>18</v>
      </c>
      <c r="E47" s="25" t="n">
        <v>231.0</v>
      </c>
      <c r="F47" s="26" t="n">
        <f>231</f>
        <v>231.0</v>
      </c>
      <c r="G47" s="25" t="n">
        <v>1.6045471E9</v>
      </c>
      <c r="H47" s="26" t="n">
        <f>1604547100</f>
        <v>1.6045471E9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3506000.0</v>
      </c>
      <c r="H48" s="18" t="n">
        <f>3506000</f>
        <v>3506000.0</v>
      </c>
    </row>
    <row r="49" spans="1:8" ht="24.9" customHeight="1">
      <c r="A49" s="51"/>
      <c r="B49" s="57"/>
      <c r="C49" s="39"/>
      <c r="D49" s="20" t="s">
        <v>16</v>
      </c>
      <c r="E49" s="21" t="n">
        <v>202.0</v>
      </c>
      <c r="F49" s="22" t="n">
        <f>180</f>
        <v>180.0</v>
      </c>
      <c r="G49" s="21" t="n">
        <v>3.53911E8</v>
      </c>
      <c r="H49" s="22" t="n">
        <f>315342000</f>
        <v>3.15342E8</v>
      </c>
    </row>
    <row r="50" spans="1:8" ht="24.9" customHeight="1">
      <c r="A50" s="51"/>
      <c r="B50" s="57"/>
      <c r="C50" s="39"/>
      <c r="D50" s="20" t="s">
        <v>17</v>
      </c>
      <c r="E50" s="21" t="n">
        <v>5624.0</v>
      </c>
      <c r="F50" s="22" t="n">
        <f>5539</f>
        <v>5539.0</v>
      </c>
      <c r="G50" s="21" t="n">
        <v>9.83680023E9</v>
      </c>
      <c r="H50" s="22" t="n">
        <f>9687944230</f>
        <v>9.68794423E9</v>
      </c>
    </row>
    <row r="51" spans="1:8" ht="24.9" customHeight="1">
      <c r="A51" s="51"/>
      <c r="B51" s="57"/>
      <c r="C51" s="39"/>
      <c r="D51" s="24" t="s">
        <v>18</v>
      </c>
      <c r="E51" s="25" t="n">
        <v>5828.0</v>
      </c>
      <c r="F51" s="26" t="n">
        <f>5721</f>
        <v>5721.0</v>
      </c>
      <c r="G51" s="25" t="n">
        <v>1.019421723E10</v>
      </c>
      <c r="H51" s="26" t="n">
        <f>10006792230</f>
        <v>1.000679223E10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306.0</v>
      </c>
      <c r="F56" s="18" t="n">
        <f>12</f>
        <v>12.0</v>
      </c>
      <c r="G56" s="17" t="n">
        <v>2.156449E8</v>
      </c>
      <c r="H56" s="18" t="n">
        <f>8466900</f>
        <v>8466900.0</v>
      </c>
    </row>
    <row r="57" spans="1:8" ht="24.9" customHeight="1">
      <c r="A57" s="51"/>
      <c r="B57" s="57"/>
      <c r="C57" s="39"/>
      <c r="D57" s="20" t="s">
        <v>16</v>
      </c>
      <c r="E57" s="21" t="n">
        <v>1624.0</v>
      </c>
      <c r="F57" s="22" t="n">
        <f>76</f>
        <v>76.0</v>
      </c>
      <c r="G57" s="21" t="n">
        <v>1.1361534E9</v>
      </c>
      <c r="H57" s="22" t="n">
        <f>53070400</f>
        <v>5.30704E7</v>
      </c>
    </row>
    <row r="58" spans="1:8" ht="24.9" customHeight="1">
      <c r="A58" s="51"/>
      <c r="B58" s="57"/>
      <c r="C58" s="39"/>
      <c r="D58" s="20" t="s">
        <v>17</v>
      </c>
      <c r="E58" s="21" t="n">
        <v>1304.0</v>
      </c>
      <c r="F58" s="22" t="n">
        <f>76</f>
        <v>76.0</v>
      </c>
      <c r="G58" s="21" t="n">
        <v>9.0143745E8</v>
      </c>
      <c r="H58" s="22" t="n">
        <f>52807450</f>
        <v>5.280745E7</v>
      </c>
    </row>
    <row r="59" spans="1:8" ht="24.9" customHeight="1">
      <c r="A59" s="51"/>
      <c r="B59" s="57"/>
      <c r="C59" s="39"/>
      <c r="D59" s="24" t="s">
        <v>18</v>
      </c>
      <c r="E59" s="25" t="n">
        <v>3234.0</v>
      </c>
      <c r="F59" s="26" t="n">
        <f>164</f>
        <v>164.0</v>
      </c>
      <c r="G59" s="25" t="n">
        <v>2.25323575E9</v>
      </c>
      <c r="H59" s="26" t="n">
        <f>114344750</f>
        <v>1.1434475E8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212.0</v>
      </c>
      <c r="F60" s="18" t="n">
        <f>6</f>
        <v>6.0</v>
      </c>
      <c r="G60" s="17" t="n">
        <v>1.1042349E9</v>
      </c>
      <c r="H60" s="18" t="n">
        <f>31281000</f>
        <v>3.1281E7</v>
      </c>
    </row>
    <row r="61" spans="1:8" ht="24.9" customHeight="1">
      <c r="A61" s="51"/>
      <c r="B61" s="57"/>
      <c r="C61" s="39"/>
      <c r="D61" s="20" t="s">
        <v>16</v>
      </c>
      <c r="E61" s="21" t="n">
        <v>11.0</v>
      </c>
      <c r="F61" s="22" t="n">
        <f>0</f>
        <v>0.0</v>
      </c>
      <c r="G61" s="21" t="n">
        <v>5.73935E7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30.0</v>
      </c>
      <c r="F62" s="22" t="n">
        <f>3</f>
        <v>3.0</v>
      </c>
      <c r="G62" s="21" t="n">
        <v>1.560329E8</v>
      </c>
      <c r="H62" s="22" t="n">
        <f>15569700</f>
        <v>1.55697E7</v>
      </c>
    </row>
    <row r="63" spans="1:8" ht="24.9" customHeight="1">
      <c r="A63" s="51"/>
      <c r="B63" s="57"/>
      <c r="C63" s="39"/>
      <c r="D63" s="24" t="s">
        <v>18</v>
      </c>
      <c r="E63" s="25" t="n">
        <v>253.0</v>
      </c>
      <c r="F63" s="26" t="n">
        <f>9</f>
        <v>9.0</v>
      </c>
      <c r="G63" s="25" t="n">
        <v>1.3176613E9</v>
      </c>
      <c r="H63" s="26" t="n">
        <f>46850700</f>
        <v>4.68507E7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386500.0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45.0</v>
      </c>
      <c r="F78" s="22" t="n">
        <f>0</f>
        <v>0.0</v>
      </c>
      <c r="G78" s="21" t="n">
        <v>1.67685E7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46.0</v>
      </c>
      <c r="F79" s="26" t="n">
        <f>0</f>
        <v>0.0</v>
      </c>
      <c r="G79" s="25" t="n">
        <v>1.7155E7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374.0</v>
      </c>
      <c r="F92" s="18" t="n">
        <f>0</f>
        <v>0.0</v>
      </c>
      <c r="G92" s="17" t="n">
        <v>6.002117E8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7.0</v>
      </c>
      <c r="F93" s="22" t="n">
        <f>0</f>
        <v>0.0</v>
      </c>
      <c r="G93" s="21" t="n">
        <v>1.12343E7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1606400.0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382.0</v>
      </c>
      <c r="F95" s="26" t="n">
        <f>0</f>
        <v>0.0</v>
      </c>
      <c r="G95" s="25" t="n">
        <v>6.130524E8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51.0</v>
      </c>
      <c r="F96" s="18" t="n">
        <f>0</f>
        <v>0.0</v>
      </c>
      <c r="G96" s="17" t="n">
        <v>1.214609E8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10.0</v>
      </c>
      <c r="F97" s="22" t="n">
        <f>0</f>
        <v>0.0</v>
      </c>
      <c r="G97" s="21" t="n">
        <v>2.3806E7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45.0</v>
      </c>
      <c r="F98" s="22" t="n">
        <f>0</f>
        <v>0.0</v>
      </c>
      <c r="G98" s="21" t="n">
        <v>1.071281E8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106.0</v>
      </c>
      <c r="F99" s="26" t="n">
        <f>0</f>
        <v>0.0</v>
      </c>
      <c r="G99" s="25" t="n">
        <v>2.52395E8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406.0</v>
      </c>
      <c r="F100" s="18" t="n">
        <f>0</f>
        <v>0.0</v>
      </c>
      <c r="G100" s="17" t="n">
        <v>7.486222E8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100.0</v>
      </c>
      <c r="F101" s="22" t="n">
        <f>0</f>
        <v>0.0</v>
      </c>
      <c r="G101" s="21" t="n">
        <v>1.84005E8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506.0</v>
      </c>
      <c r="F103" s="26" t="n">
        <f>0</f>
        <v>0.0</v>
      </c>
      <c r="G103" s="25" t="n">
        <v>9.326272E8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8238.0</v>
      </c>
      <c r="F108" s="18" t="n">
        <f>352</f>
        <v>352.0</v>
      </c>
      <c r="G108" s="17" t="n">
        <v>1.05070104E12</v>
      </c>
      <c r="H108" s="18" t="n">
        <f>44924020000</f>
        <v>4.492402E10</v>
      </c>
    </row>
    <row r="109" spans="1:8" ht="24.9" customHeight="1">
      <c r="A109" s="51"/>
      <c r="B109" s="57"/>
      <c r="C109" s="39"/>
      <c r="D109" s="20" t="s">
        <v>16</v>
      </c>
      <c r="E109" s="21" t="n">
        <v>12303.0</v>
      </c>
      <c r="F109" s="22" t="n">
        <f>699</f>
        <v>699.0</v>
      </c>
      <c r="G109" s="21" t="n">
        <v>1.569785125E12</v>
      </c>
      <c r="H109" s="22" t="n">
        <f>89193715000</f>
        <v>8.9193715E10</v>
      </c>
    </row>
    <row r="110" spans="1:8" ht="24.9" customHeight="1">
      <c r="A110" s="51"/>
      <c r="B110" s="57"/>
      <c r="C110" s="39"/>
      <c r="D110" s="20" t="s">
        <v>17</v>
      </c>
      <c r="E110" s="21" t="n">
        <v>17430.0</v>
      </c>
      <c r="F110" s="22" t="n">
        <f>3177</f>
        <v>3177.0</v>
      </c>
      <c r="G110" s="21" t="n">
        <v>2.22468341E12</v>
      </c>
      <c r="H110" s="22" t="n">
        <f>405529570000</f>
        <v>4.0552957E11</v>
      </c>
    </row>
    <row r="111" spans="1:8" ht="24.9" customHeight="1">
      <c r="A111" s="51"/>
      <c r="B111" s="57"/>
      <c r="C111" s="39"/>
      <c r="D111" s="24" t="s">
        <v>18</v>
      </c>
      <c r="E111" s="25" t="n">
        <v>37971.0</v>
      </c>
      <c r="F111" s="26" t="n">
        <f>4228</f>
        <v>4228.0</v>
      </c>
      <c r="G111" s="25" t="n">
        <v>4.845169575E12</v>
      </c>
      <c r="H111" s="26" t="n">
        <f>539647305000</f>
        <v>5.39647305E11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2.0</v>
      </c>
      <c r="F113" s="22" t="n">
        <f>0</f>
        <v>0.0</v>
      </c>
      <c r="G113" s="21" t="n">
        <v>2.5511E7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2.5511E7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467.0</v>
      </c>
      <c r="F118" s="22" t="n">
        <f>0</f>
        <v>0.0</v>
      </c>
      <c r="G118" s="21" t="n">
        <v>4.298174E9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467.0</v>
      </c>
      <c r="F119" s="26" t="n">
        <f>0</f>
        <v>0.0</v>
      </c>
      <c r="G119" s="25" t="n">
        <v>4.298174E9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9992.0</v>
      </c>
      <c r="F120" s="18" t="n">
        <f>0</f>
        <v>0.0</v>
      </c>
      <c r="G120" s="17" t="n">
        <v>2.471056975E11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2236.0</v>
      </c>
      <c r="F121" s="22" t="n">
        <f>0</f>
        <v>0.0</v>
      </c>
      <c r="G121" s="21" t="n">
        <v>5.5240403125E10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462.0</v>
      </c>
      <c r="F122" s="22" t="n">
        <f>0</f>
        <v>0.0</v>
      </c>
      <c r="G122" s="21" t="n">
        <v>1.141098625E10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12690.0</v>
      </c>
      <c r="F123" s="26" t="n">
        <f>0</f>
        <v>0.0</v>
      </c>
      <c r="G123" s="25" t="n">
        <v>3.13757086875E11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4509.0</v>
      </c>
      <c r="F124" s="18" t="n">
        <f>0</f>
        <v>0.0</v>
      </c>
      <c r="G124" s="17" t="n">
        <v>1.00598613E11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2252.0</v>
      </c>
      <c r="F125" s="22" t="n">
        <f>0</f>
        <v>0.0</v>
      </c>
      <c r="G125" s="21" t="n">
        <v>4.9999092E10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3255.0</v>
      </c>
      <c r="F126" s="22" t="n">
        <f>1</f>
        <v>1.0</v>
      </c>
      <c r="G126" s="21" t="n">
        <v>7.1483666E10</v>
      </c>
      <c r="H126" s="22" t="n">
        <f>21910000</f>
        <v>2.191E7</v>
      </c>
    </row>
    <row r="127" spans="1:8" ht="24.9" customHeight="1">
      <c r="A127" s="51"/>
      <c r="B127" s="57"/>
      <c r="C127" s="39"/>
      <c r="D127" s="24" t="s">
        <v>18</v>
      </c>
      <c r="E127" s="25" t="n">
        <v>10016.0</v>
      </c>
      <c r="F127" s="26" t="n">
        <f>1</f>
        <v>1.0</v>
      </c>
      <c r="G127" s="25" t="n">
        <v>2.22081371E11</v>
      </c>
      <c r="H127" s="26" t="n">
        <f>21910000</f>
        <v>2.191E7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43.0</v>
      </c>
      <c r="F128" s="18" t="n">
        <f>0</f>
        <v>0.0</v>
      </c>
      <c r="G128" s="17" t="n">
        <v>9.59286E7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32.0</v>
      </c>
      <c r="F129" s="22" t="n">
        <f>0</f>
        <v>0.0</v>
      </c>
      <c r="G129" s="21" t="n">
        <v>7.08636E7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69.0</v>
      </c>
      <c r="F130" s="22" t="n">
        <f>0</f>
        <v>0.0</v>
      </c>
      <c r="G130" s="21" t="n">
        <v>1.51449E8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144.0</v>
      </c>
      <c r="F131" s="26" t="n">
        <f>0</f>
        <v>0.0</v>
      </c>
      <c r="G131" s="25" t="n">
        <v>3.182412E8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5290.0</v>
      </c>
      <c r="F132" s="18" t="n">
        <f>0</f>
        <v>0.0</v>
      </c>
      <c r="G132" s="17" t="n">
        <v>1.180904795E10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2204.0</v>
      </c>
      <c r="F133" s="22" t="n">
        <f>0</f>
        <v>0.0</v>
      </c>
      <c r="G133" s="21" t="n">
        <v>4.8895622E9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3796.0</v>
      </c>
      <c r="F134" s="22" t="n">
        <f>0</f>
        <v>0.0</v>
      </c>
      <c r="G134" s="21" t="n">
        <v>8.34344455E9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11290.0</v>
      </c>
      <c r="F135" s="26" t="n">
        <f>0</f>
        <v>0.0</v>
      </c>
      <c r="G135" s="25" t="n">
        <v>2.50420547E10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58.0</v>
      </c>
      <c r="F136" s="18" t="n">
        <f>0</f>
        <v>0.0</v>
      </c>
      <c r="G136" s="17" t="n">
        <v>1.28122E8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0.0</v>
      </c>
      <c r="F137" s="22" t="n">
        <f>0</f>
        <v>0.0</v>
      </c>
      <c r="G137" s="21" t="n">
        <v>0.0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44.0</v>
      </c>
      <c r="F138" s="22" t="n">
        <f>0</f>
        <v>0.0</v>
      </c>
      <c r="G138" s="21" t="n">
        <v>9.58871E7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102.0</v>
      </c>
      <c r="F139" s="26" t="n">
        <f>0</f>
        <v>0.0</v>
      </c>
      <c r="G139" s="25" t="n">
        <v>2.240091E8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1005.0</v>
      </c>
      <c r="F144" s="18" t="n">
        <f>0</f>
        <v>0.0</v>
      </c>
      <c r="G144" s="17" t="n">
        <v>4.289806E9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829.0</v>
      </c>
      <c r="F145" s="22" t="n">
        <f>0</f>
        <v>0.0</v>
      </c>
      <c r="G145" s="21" t="n">
        <v>3.4995695E9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1380.0</v>
      </c>
      <c r="F146" s="22" t="n">
        <f>21</f>
        <v>21.0</v>
      </c>
      <c r="G146" s="21" t="n">
        <v>5.7385805E9</v>
      </c>
      <c r="H146" s="22" t="n">
        <f>89218500</f>
        <v>8.92185E7</v>
      </c>
    </row>
    <row r="147" spans="1:8" ht="24.9" customHeight="1">
      <c r="A147" s="51"/>
      <c r="B147" s="57"/>
      <c r="C147" s="39"/>
      <c r="D147" s="24" t="s">
        <v>18</v>
      </c>
      <c r="E147" s="25" t="n">
        <v>3214.0</v>
      </c>
      <c r="F147" s="26" t="n">
        <f>21</f>
        <v>21.0</v>
      </c>
      <c r="G147" s="25" t="n">
        <v>1.3527956E10</v>
      </c>
      <c r="H147" s="26" t="n">
        <f>89218500</f>
        <v>8.92185E7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31.0</v>
      </c>
      <c r="F148" s="18" t="n">
        <f>0</f>
        <v>0.0</v>
      </c>
      <c r="G148" s="17" t="n">
        <v>2.70651E7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33.0</v>
      </c>
      <c r="F149" s="22" t="n">
        <f>0</f>
        <v>0.0</v>
      </c>
      <c r="G149" s="21" t="n">
        <v>2.8508E7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210.0</v>
      </c>
      <c r="F150" s="22" t="n">
        <f>0</f>
        <v>0.0</v>
      </c>
      <c r="G150" s="21" t="n">
        <v>1.783247E8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274.0</v>
      </c>
      <c r="F151" s="26" t="n">
        <f>0</f>
        <v>0.0</v>
      </c>
      <c r="G151" s="25" t="n">
        <v>2.338978E8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259.0</v>
      </c>
      <c r="F152" s="18" t="n">
        <f>0</f>
        <v>0.0</v>
      </c>
      <c r="G152" s="17" t="n">
        <v>2.2093375E8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137.0</v>
      </c>
      <c r="F153" s="22" t="n">
        <f>0</f>
        <v>0.0</v>
      </c>
      <c r="G153" s="21" t="n">
        <v>1.1561875E8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349.0</v>
      </c>
      <c r="F154" s="22" t="n">
        <f>0</f>
        <v>0.0</v>
      </c>
      <c r="G154" s="21" t="n">
        <v>2.892233E8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745.0</v>
      </c>
      <c r="F155" s="26" t="n">
        <f>0</f>
        <v>0.0</v>
      </c>
      <c r="G155" s="25" t="n">
        <v>6.257758E8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620.0</v>
      </c>
      <c r="F156" s="18" t="n">
        <f>0</f>
        <v>0.0</v>
      </c>
      <c r="G156" s="17" t="n">
        <v>5.294973E8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435.0</v>
      </c>
      <c r="F157" s="22" t="n">
        <f>0</f>
        <v>0.0</v>
      </c>
      <c r="G157" s="21" t="n">
        <v>3.670942E8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349.0</v>
      </c>
      <c r="F158" s="22" t="n">
        <f>0</f>
        <v>0.0</v>
      </c>
      <c r="G158" s="21" t="n">
        <v>2.878439E8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1404.0</v>
      </c>
      <c r="F159" s="26" t="n">
        <f>0</f>
        <v>0.0</v>
      </c>
      <c r="G159" s="25" t="n">
        <v>1.1844354E9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145.0</v>
      </c>
      <c r="F168" s="18" t="n">
        <f>0</f>
        <v>0.0</v>
      </c>
      <c r="G168" s="17" t="n">
        <v>3.189975E8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305.0</v>
      </c>
      <c r="F169" s="22" t="n">
        <f>25</f>
        <v>25.0</v>
      </c>
      <c r="G169" s="21" t="n">
        <v>6.7347E8</v>
      </c>
      <c r="H169" s="22" t="n">
        <f>54012500</f>
        <v>5.40125E7</v>
      </c>
    </row>
    <row r="170" spans="1:8" ht="24.9" customHeight="1">
      <c r="A170" s="51"/>
      <c r="B170" s="57"/>
      <c r="C170" s="39"/>
      <c r="D170" s="20" t="s">
        <v>17</v>
      </c>
      <c r="E170" s="21" t="n">
        <v>487.0</v>
      </c>
      <c r="F170" s="22" t="n">
        <f>225</f>
        <v>225.0</v>
      </c>
      <c r="G170" s="21" t="n">
        <v>1.073778E9</v>
      </c>
      <c r="H170" s="22" t="n">
        <f>499314500</f>
        <v>4.993145E8</v>
      </c>
    </row>
    <row r="171" spans="1:8" ht="24.9" customHeight="1">
      <c r="A171" s="51"/>
      <c r="B171" s="57"/>
      <c r="C171" s="39"/>
      <c r="D171" s="24" t="s">
        <v>18</v>
      </c>
      <c r="E171" s="25" t="n">
        <v>937.0</v>
      </c>
      <c r="F171" s="26" t="n">
        <f>250</f>
        <v>250.0</v>
      </c>
      <c r="G171" s="25" t="n">
        <v>2.0662455E9</v>
      </c>
      <c r="H171" s="26" t="n">
        <f>553327000</f>
        <v>5.53327E8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325.0</v>
      </c>
      <c r="F204" s="18" t="n">
        <f>0</f>
        <v>0.0</v>
      </c>
      <c r="G204" s="17" t="n">
        <v>1.180222E9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119.0</v>
      </c>
      <c r="F205" s="22" t="n">
        <f>0</f>
        <v>0.0</v>
      </c>
      <c r="G205" s="21" t="n">
        <v>4.29056E8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1407.0</v>
      </c>
      <c r="F206" s="22" t="n">
        <f>0</f>
        <v>0.0</v>
      </c>
      <c r="G206" s="21" t="n">
        <v>5.021047E9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1851.0</v>
      </c>
      <c r="F207" s="26" t="n">
        <f>0</f>
        <v>0.0</v>
      </c>
      <c r="G207" s="25" t="n">
        <v>6.630325E9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2.0</v>
      </c>
      <c r="F210" s="22" t="n">
        <f>0</f>
        <v>0.0</v>
      </c>
      <c r="G210" s="21" t="n">
        <v>2880000.0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2.0</v>
      </c>
      <c r="F211" s="26" t="n">
        <f>0</f>
        <v>0.0</v>
      </c>
      <c r="G211" s="25" t="n">
        <v>2880000.0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20.0</v>
      </c>
      <c r="F277" s="22" t="n">
        <f>0</f>
        <v>0.0</v>
      </c>
      <c r="G277" s="21" t="n">
        <v>1.88E7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20.0</v>
      </c>
      <c r="F279" s="26" t="n">
        <f>0</f>
        <v>0.0</v>
      </c>
      <c r="G279" s="25" t="n">
        <v>1.88E7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46196.0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46196.0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2693</f>
        <v>2693.0</v>
      </c>
      <c r="E12" s="35" t="n">
        <f>1186</f>
        <v>1186.0</v>
      </c>
      <c r="F12" s="17" t="n">
        <f>4450</f>
        <v>4450.0</v>
      </c>
      <c r="G12" s="35" t="n">
        <f>1537</f>
        <v>1537.0</v>
      </c>
      <c r="H12" s="17" t="n">
        <f>7143</f>
        <v>7143.0</v>
      </c>
      <c r="I12" s="35" t="n">
        <f>2723</f>
        <v>2723.0</v>
      </c>
      <c r="J12" s="17" t="n">
        <f>817196670</f>
        <v>8.1719667E8</v>
      </c>
      <c r="K12" s="35" t="n">
        <f>266225670</f>
        <v>2.6622567E8</v>
      </c>
      <c r="L12" s="17" t="n">
        <f>3428570730</f>
        <v>3.42857073E9</v>
      </c>
      <c r="M12" s="35" t="n">
        <f>2494414730</f>
        <v>2.49441473E9</v>
      </c>
      <c r="N12" s="17" t="n">
        <f>4245767400</f>
        <v>4.2457674E9</v>
      </c>
      <c r="O12" s="35" t="n">
        <f>2760640400</f>
        <v>2.7606404E9</v>
      </c>
    </row>
    <row r="13" spans="1:15" ht="24.9" customHeight="1">
      <c r="A13" s="38"/>
      <c r="B13" s="62"/>
      <c r="C13" s="20" t="s">
        <v>16</v>
      </c>
      <c r="D13" s="21" t="n">
        <f>5701</f>
        <v>5701.0</v>
      </c>
      <c r="E13" s="36" t="n">
        <f>3193</f>
        <v>3193.0</v>
      </c>
      <c r="F13" s="21" t="n">
        <f>3766</f>
        <v>3766.0</v>
      </c>
      <c r="G13" s="36" t="n">
        <f>1374</f>
        <v>1374.0</v>
      </c>
      <c r="H13" s="21" t="n">
        <f>9467</f>
        <v>9467.0</v>
      </c>
      <c r="I13" s="36" t="n">
        <f>4567</f>
        <v>4567.0</v>
      </c>
      <c r="J13" s="21" t="n">
        <f>7287112060</f>
        <v>7.28711206E9</v>
      </c>
      <c r="K13" s="36" t="n">
        <f>6221089060</f>
        <v>6.22108906E9</v>
      </c>
      <c r="L13" s="21" t="n">
        <f>5490294670</f>
        <v>5.49029467E9</v>
      </c>
      <c r="M13" s="36" t="n">
        <f>4591297670</f>
        <v>4.59129767E9</v>
      </c>
      <c r="N13" s="21" t="n">
        <f>12777406730</f>
        <v>1.277740673E10</v>
      </c>
      <c r="O13" s="36" t="n">
        <f>10812386730</f>
        <v>1.081238673E10</v>
      </c>
    </row>
    <row r="14" spans="1:15" ht="24.9" customHeight="1">
      <c r="A14" s="38"/>
      <c r="B14" s="62"/>
      <c r="C14" s="20" t="s">
        <v>17</v>
      </c>
      <c r="D14" s="21" t="n">
        <f>28934</f>
        <v>28934.0</v>
      </c>
      <c r="E14" s="36" t="n">
        <f>23304</f>
        <v>23304.0</v>
      </c>
      <c r="F14" s="21" t="n">
        <f>10976</f>
        <v>10976.0</v>
      </c>
      <c r="G14" s="36" t="n">
        <f>7284</f>
        <v>7284.0</v>
      </c>
      <c r="H14" s="21" t="n">
        <f>39910</f>
        <v>39910.0</v>
      </c>
      <c r="I14" s="36" t="n">
        <f>30588</f>
        <v>30588.0</v>
      </c>
      <c r="J14" s="21" t="n">
        <f>45353174230</f>
        <v>4.535317423E10</v>
      </c>
      <c r="K14" s="36" t="n">
        <f>42165825230</f>
        <v>4.216582523E10</v>
      </c>
      <c r="L14" s="21" t="n">
        <f>31827880260</f>
        <v>3.182788026E10</v>
      </c>
      <c r="M14" s="36" t="n">
        <f>29499495260</f>
        <v>2.949949526E10</v>
      </c>
      <c r="N14" s="21" t="n">
        <f>77181054490</f>
        <v>7.718105449E10</v>
      </c>
      <c r="O14" s="36" t="n">
        <f>71665320490</f>
        <v>7.166532049E10</v>
      </c>
    </row>
    <row r="15" spans="1:15" ht="24.9" customHeight="1">
      <c r="A15" s="38"/>
      <c r="B15" s="62"/>
      <c r="C15" s="24" t="s">
        <v>18</v>
      </c>
      <c r="D15" s="25" t="n">
        <f>37328</f>
        <v>37328.0</v>
      </c>
      <c r="E15" s="37" t="n">
        <f>27683</f>
        <v>27683.0</v>
      </c>
      <c r="F15" s="25" t="n">
        <f>19192</f>
        <v>19192.0</v>
      </c>
      <c r="G15" s="37" t="n">
        <f>10195</f>
        <v>10195.0</v>
      </c>
      <c r="H15" s="25" t="n">
        <f>56520</f>
        <v>56520.0</v>
      </c>
      <c r="I15" s="37" t="n">
        <f>37878</f>
        <v>37878.0</v>
      </c>
      <c r="J15" s="25" t="n">
        <f>53457482960</f>
        <v>5.345748296E10</v>
      </c>
      <c r="K15" s="37" t="n">
        <f>48653139960</f>
        <v>4.865313996E10</v>
      </c>
      <c r="L15" s="25" t="n">
        <f>40746745660</f>
        <v>4.074674566E10</v>
      </c>
      <c r="M15" s="37" t="n">
        <f>36585207660</f>
        <v>3.658520766E10</v>
      </c>
      <c r="N15" s="25" t="n">
        <f>94204228620</f>
        <v>9.420422862E10</v>
      </c>
      <c r="O15" s="37" t="n">
        <f>85238347620</f>
        <v>8.523834762E10</v>
      </c>
    </row>
    <row r="16" spans="1:15" ht="24.9" customHeight="1">
      <c r="A16" s="38"/>
      <c r="B16" s="61" t="s">
        <v>105</v>
      </c>
      <c r="C16" s="16" t="s">
        <v>15</v>
      </c>
      <c r="D16" s="17" t="n">
        <f>14969</f>
        <v>14969.0</v>
      </c>
      <c r="E16" s="35" t="n">
        <f>1800</f>
        <v>1800.0</v>
      </c>
      <c r="F16" s="17" t="n">
        <f>5267</f>
        <v>5267.0</v>
      </c>
      <c r="G16" s="35" t="n">
        <f>80</f>
        <v>80.0</v>
      </c>
      <c r="H16" s="17" t="n">
        <f>20236</f>
        <v>20236.0</v>
      </c>
      <c r="I16" s="35" t="n">
        <f>1880</f>
        <v>1880.0</v>
      </c>
      <c r="J16" s="17" t="n">
        <f>534687040</f>
        <v>5.3468704E8</v>
      </c>
      <c r="K16" s="35" t="n">
        <f>37640940</f>
        <v>3.764094E7</v>
      </c>
      <c r="L16" s="17" t="n">
        <f>1452787000</f>
        <v>1.452787E9</v>
      </c>
      <c r="M16" s="35" t="n">
        <f>6509500</f>
        <v>6509500.0</v>
      </c>
      <c r="N16" s="17" t="n">
        <f>1987474040</f>
        <v>1.98747404E9</v>
      </c>
      <c r="O16" s="35" t="n">
        <f>44150440</f>
        <v>4.415044E7</v>
      </c>
    </row>
    <row r="17" spans="1:15" ht="24.9" customHeight="1">
      <c r="A17" s="38"/>
      <c r="B17" s="62"/>
      <c r="C17" s="20" t="s">
        <v>16</v>
      </c>
      <c r="D17" s="21" t="n">
        <f>13073</f>
        <v>13073.0</v>
      </c>
      <c r="E17" s="36" t="n">
        <f>770</f>
        <v>770.0</v>
      </c>
      <c r="F17" s="21" t="n">
        <f>5079</f>
        <v>5079.0</v>
      </c>
      <c r="G17" s="36" t="n">
        <f>550</f>
        <v>550.0</v>
      </c>
      <c r="H17" s="21" t="n">
        <f>18152</f>
        <v>18152.0</v>
      </c>
      <c r="I17" s="36" t="n">
        <f>1320</f>
        <v>1320.0</v>
      </c>
      <c r="J17" s="21" t="n">
        <f>318028660</f>
        <v>3.1802866E8</v>
      </c>
      <c r="K17" s="36" t="n">
        <f>9858960</f>
        <v>9858960.0</v>
      </c>
      <c r="L17" s="21" t="n">
        <f>317510430</f>
        <v>3.1751043E8</v>
      </c>
      <c r="M17" s="36" t="n">
        <f>14839730</f>
        <v>1.483973E7</v>
      </c>
      <c r="N17" s="21" t="n">
        <f>635539090</f>
        <v>6.3553909E8</v>
      </c>
      <c r="O17" s="36" t="n">
        <f>24698690</f>
        <v>2.469869E7</v>
      </c>
    </row>
    <row r="18" spans="1:15" ht="24.9" customHeight="1">
      <c r="A18" s="38"/>
      <c r="B18" s="62"/>
      <c r="C18" s="20" t="s">
        <v>17</v>
      </c>
      <c r="D18" s="21" t="n">
        <f>22707</f>
        <v>22707.0</v>
      </c>
      <c r="E18" s="36" t="n">
        <f>1770</f>
        <v>1770.0</v>
      </c>
      <c r="F18" s="21" t="n">
        <f>12594</f>
        <v>12594.0</v>
      </c>
      <c r="G18" s="36" t="n">
        <f>710</f>
        <v>710.0</v>
      </c>
      <c r="H18" s="21" t="n">
        <f>35301</f>
        <v>35301.0</v>
      </c>
      <c r="I18" s="36" t="n">
        <f>2480</f>
        <v>2480.0</v>
      </c>
      <c r="J18" s="21" t="n">
        <f>647568280</f>
        <v>6.4756828E8</v>
      </c>
      <c r="K18" s="36" t="n">
        <f>32936880</f>
        <v>3.293688E7</v>
      </c>
      <c r="L18" s="21" t="n">
        <f>836756540</f>
        <v>8.3675654E8</v>
      </c>
      <c r="M18" s="36" t="n">
        <f>14608340</f>
        <v>1.460834E7</v>
      </c>
      <c r="N18" s="21" t="n">
        <f>1484324820</f>
        <v>1.48432482E9</v>
      </c>
      <c r="O18" s="36" t="n">
        <f>47545220</f>
        <v>4.754522E7</v>
      </c>
    </row>
    <row r="19" spans="1:15" ht="24.9" customHeight="1">
      <c r="A19" s="38"/>
      <c r="B19" s="62"/>
      <c r="C19" s="24" t="s">
        <v>18</v>
      </c>
      <c r="D19" s="25" t="n">
        <f>50749</f>
        <v>50749.0</v>
      </c>
      <c r="E19" s="37" t="n">
        <f>4340</f>
        <v>4340.0</v>
      </c>
      <c r="F19" s="25" t="n">
        <f>22940</f>
        <v>22940.0</v>
      </c>
      <c r="G19" s="37" t="n">
        <f>1340</f>
        <v>1340.0</v>
      </c>
      <c r="H19" s="25" t="n">
        <f>73689</f>
        <v>73689.0</v>
      </c>
      <c r="I19" s="37" t="n">
        <f>5680</f>
        <v>5680.0</v>
      </c>
      <c r="J19" s="25" t="n">
        <f>1500283980</f>
        <v>1.50028398E9</v>
      </c>
      <c r="K19" s="37" t="n">
        <f>80436780</f>
        <v>8.043678E7</v>
      </c>
      <c r="L19" s="25" t="n">
        <f>2607053970</f>
        <v>2.60705397E9</v>
      </c>
      <c r="M19" s="37" t="n">
        <f>35957570</f>
        <v>3.595757E7</v>
      </c>
      <c r="N19" s="25" t="n">
        <f>4107337950</f>
        <v>4.10733795E9</v>
      </c>
      <c r="O19" s="37" t="n">
        <f>116394350</f>
        <v>1.1639435E8</v>
      </c>
    </row>
    <row r="20" spans="1:15" ht="24.9" customHeight="1">
      <c r="A20" s="38"/>
      <c r="B20" s="61" t="s">
        <v>106</v>
      </c>
      <c r="C20" s="16" t="s">
        <v>15</v>
      </c>
      <c r="D20" s="17" t="n">
        <f>100</f>
        <v>100.0</v>
      </c>
      <c r="E20" s="35" t="n">
        <f>100</f>
        <v>100.0</v>
      </c>
      <c r="F20" s="17" t="n">
        <f>100</f>
        <v>100.0</v>
      </c>
      <c r="G20" s="35" t="n">
        <f>100</f>
        <v>100.0</v>
      </c>
      <c r="H20" s="17" t="n">
        <f>200</f>
        <v>200.0</v>
      </c>
      <c r="I20" s="35" t="n">
        <f>200</f>
        <v>200.0</v>
      </c>
      <c r="J20" s="17" t="n">
        <f>147000000</f>
        <v>1.47E8</v>
      </c>
      <c r="K20" s="35" t="n">
        <f>147000000</f>
        <v>1.47E8</v>
      </c>
      <c r="L20" s="17" t="n">
        <f>147000000</f>
        <v>1.47E8</v>
      </c>
      <c r="M20" s="35" t="n">
        <f>147000000</f>
        <v>1.47E8</v>
      </c>
      <c r="N20" s="17" t="n">
        <f>294000000</f>
        <v>2.94E8</v>
      </c>
      <c r="O20" s="35" t="n">
        <f>294000000</f>
        <v>2.94E8</v>
      </c>
    </row>
    <row r="21" spans="1:15" ht="24.9" customHeight="1">
      <c r="A21" s="38"/>
      <c r="B21" s="62"/>
      <c r="C21" s="20" t="s">
        <v>16</v>
      </c>
      <c r="D21" s="21" t="n">
        <f>100</f>
        <v>100.0</v>
      </c>
      <c r="E21" s="36" t="n">
        <f>100</f>
        <v>100.0</v>
      </c>
      <c r="F21" s="21" t="n">
        <f>0</f>
        <v>0.0</v>
      </c>
      <c r="G21" s="36" t="n">
        <f>0</f>
        <v>0.0</v>
      </c>
      <c r="H21" s="21" t="n">
        <f>100</f>
        <v>100.0</v>
      </c>
      <c r="I21" s="36" t="n">
        <f>100</f>
        <v>100.0</v>
      </c>
      <c r="J21" s="21" t="n">
        <f>185500000</f>
        <v>1.855E8</v>
      </c>
      <c r="K21" s="36" t="n">
        <f>185500000</f>
        <v>1.855E8</v>
      </c>
      <c r="L21" s="21" t="n">
        <f>0</f>
        <v>0.0</v>
      </c>
      <c r="M21" s="36" t="n">
        <f>0</f>
        <v>0.0</v>
      </c>
      <c r="N21" s="21" t="n">
        <f>185500000</f>
        <v>1.855E8</v>
      </c>
      <c r="O21" s="36" t="n">
        <f>185500000</f>
        <v>1.855E8</v>
      </c>
    </row>
    <row r="22" spans="1:15" ht="24.9" customHeight="1">
      <c r="A22" s="38"/>
      <c r="B22" s="62"/>
      <c r="C22" s="20" t="s">
        <v>17</v>
      </c>
      <c r="D22" s="21" t="n">
        <f>100</f>
        <v>100.0</v>
      </c>
      <c r="E22" s="36" t="n">
        <f>100</f>
        <v>100.0</v>
      </c>
      <c r="F22" s="21" t="n">
        <f>300</f>
        <v>300.0</v>
      </c>
      <c r="G22" s="36" t="n">
        <f>300</f>
        <v>300.0</v>
      </c>
      <c r="H22" s="21" t="n">
        <f>400</f>
        <v>400.0</v>
      </c>
      <c r="I22" s="36" t="n">
        <f>400</f>
        <v>400.0</v>
      </c>
      <c r="J22" s="21" t="n">
        <f>540000000</f>
        <v>5.4E8</v>
      </c>
      <c r="K22" s="36" t="n">
        <f>540000000</f>
        <v>5.4E8</v>
      </c>
      <c r="L22" s="21" t="n">
        <f>102600000</f>
        <v>1.026E8</v>
      </c>
      <c r="M22" s="36" t="n">
        <f>102600000</f>
        <v>1.026E8</v>
      </c>
      <c r="N22" s="21" t="n">
        <f>642600000</f>
        <v>6.426E8</v>
      </c>
      <c r="O22" s="36" t="n">
        <f>642600000</f>
        <v>6.426E8</v>
      </c>
    </row>
    <row r="23" spans="1:15" ht="24.9" customHeight="1">
      <c r="A23" s="38"/>
      <c r="B23" s="62"/>
      <c r="C23" s="24" t="s">
        <v>18</v>
      </c>
      <c r="D23" s="25" t="n">
        <f>300</f>
        <v>300.0</v>
      </c>
      <c r="E23" s="37" t="n">
        <f>300</f>
        <v>300.0</v>
      </c>
      <c r="F23" s="25" t="n">
        <f>400</f>
        <v>400.0</v>
      </c>
      <c r="G23" s="37" t="n">
        <f>400</f>
        <v>400.0</v>
      </c>
      <c r="H23" s="25" t="n">
        <f>700</f>
        <v>700.0</v>
      </c>
      <c r="I23" s="37" t="n">
        <f>700</f>
        <v>700.0</v>
      </c>
      <c r="J23" s="25" t="n">
        <f>872500000</f>
        <v>8.725E8</v>
      </c>
      <c r="K23" s="37" t="n">
        <f>872500000</f>
        <v>8.725E8</v>
      </c>
      <c r="L23" s="25" t="n">
        <f>249600000</f>
        <v>2.496E8</v>
      </c>
      <c r="M23" s="37" t="n">
        <f>249600000</f>
        <v>2.496E8</v>
      </c>
      <c r="N23" s="25" t="n">
        <f>1122100000</f>
        <v>1.1221E9</v>
      </c>
      <c r="O23" s="37" t="n">
        <f>1122100000</f>
        <v>1.1221E9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</f>
        <v>5.0</v>
      </c>
      <c r="E37" s="22" t="n">
        <f>0</f>
        <v>0.0</v>
      </c>
      <c r="F37" s="21" t="n">
        <f>1</f>
        <v>1.0</v>
      </c>
      <c r="G37" s="22" t="n">
        <f>0</f>
        <v>0.0</v>
      </c>
      <c r="H37" s="21" t="n">
        <f>6</f>
        <v>6.0</v>
      </c>
      <c r="I37" s="22" t="n">
        <f>0</f>
        <v>0.0</v>
      </c>
      <c r="J37" s="21" t="n">
        <f>1000000</f>
        <v>1000000.0</v>
      </c>
      <c r="K37" s="22" t="n">
        <f>0</f>
        <v>0.0</v>
      </c>
      <c r="L37" s="21" t="n">
        <f>40000</f>
        <v>40000.0</v>
      </c>
      <c r="M37" s="22" t="n">
        <f>0</f>
        <v>0.0</v>
      </c>
      <c r="N37" s="21" t="n">
        <f>1040000</f>
        <v>1040000.0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12</f>
        <v>12.0</v>
      </c>
      <c r="E38" s="36" t="n">
        <f>0</f>
        <v>0.0</v>
      </c>
      <c r="F38" s="21" t="n">
        <f>16</f>
        <v>16.0</v>
      </c>
      <c r="G38" s="36" t="n">
        <f>0</f>
        <v>0.0</v>
      </c>
      <c r="H38" s="21" t="n">
        <f>28</f>
        <v>28.0</v>
      </c>
      <c r="I38" s="36" t="n">
        <f>0</f>
        <v>0.0</v>
      </c>
      <c r="J38" s="21" t="n">
        <f>3550000</f>
        <v>3550000.0</v>
      </c>
      <c r="K38" s="36" t="n">
        <f>0</f>
        <v>0.0</v>
      </c>
      <c r="L38" s="21" t="n">
        <f>1340000</f>
        <v>1340000.0</v>
      </c>
      <c r="M38" s="36" t="n">
        <f>0</f>
        <v>0.0</v>
      </c>
      <c r="N38" s="21" t="n">
        <f>4890000</f>
        <v>4890000.0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17</f>
        <v>17.0</v>
      </c>
      <c r="E39" s="37" t="n">
        <f>0</f>
        <v>0.0</v>
      </c>
      <c r="F39" s="25" t="n">
        <f>17</f>
        <v>17.0</v>
      </c>
      <c r="G39" s="37" t="n">
        <f>0</f>
        <v>0.0</v>
      </c>
      <c r="H39" s="25" t="n">
        <f>34</f>
        <v>34.0</v>
      </c>
      <c r="I39" s="37" t="n">
        <f>0</f>
        <v>0.0</v>
      </c>
      <c r="J39" s="25" t="n">
        <f>4550000</f>
        <v>4550000.0</v>
      </c>
      <c r="K39" s="37" t="n">
        <f>0</f>
        <v>0.0</v>
      </c>
      <c r="L39" s="25" t="n">
        <f>1380000</f>
        <v>1380000.0</v>
      </c>
      <c r="M39" s="37" t="n">
        <f>0</f>
        <v>0.0</v>
      </c>
      <c r="N39" s="25" t="n">
        <f>5930000</f>
        <v>5930000.0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6012</f>
        <v>6012.0</v>
      </c>
      <c r="E41" s="36" t="n">
        <f>0</f>
        <v>0.0</v>
      </c>
      <c r="F41" s="21" t="n">
        <f>2774</f>
        <v>2774.0</v>
      </c>
      <c r="G41" s="36" t="n">
        <f>0</f>
        <v>0.0</v>
      </c>
      <c r="H41" s="21" t="n">
        <f>8786</f>
        <v>8786.0</v>
      </c>
      <c r="I41" s="36" t="n">
        <f>0</f>
        <v>0.0</v>
      </c>
      <c r="J41" s="21" t="n">
        <f>140648860</f>
        <v>1.4064886E8</v>
      </c>
      <c r="K41" s="36" t="n">
        <f>0</f>
        <v>0.0</v>
      </c>
      <c r="L41" s="21" t="n">
        <f>20392430</f>
        <v>2.039243E7</v>
      </c>
      <c r="M41" s="36" t="n">
        <f>0</f>
        <v>0.0</v>
      </c>
      <c r="N41" s="21" t="n">
        <f>161041290</f>
        <v>1.6104129E8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5424</f>
        <v>5424.0</v>
      </c>
      <c r="E42" s="36" t="n">
        <f>4086</f>
        <v>4086.0</v>
      </c>
      <c r="F42" s="21" t="n">
        <f>11659</f>
        <v>11659.0</v>
      </c>
      <c r="G42" s="36" t="n">
        <f>0</f>
        <v>0.0</v>
      </c>
      <c r="H42" s="21" t="n">
        <f>17083</f>
        <v>17083.0</v>
      </c>
      <c r="I42" s="36" t="n">
        <f>4086</f>
        <v>4086.0</v>
      </c>
      <c r="J42" s="21" t="n">
        <f>46917879</f>
        <v>4.6917879E7</v>
      </c>
      <c r="K42" s="36" t="n">
        <f>20511720</f>
        <v>2.051172E7</v>
      </c>
      <c r="L42" s="21" t="n">
        <f>61887636</f>
        <v>6.1887636E7</v>
      </c>
      <c r="M42" s="36" t="n">
        <f>0</f>
        <v>0.0</v>
      </c>
      <c r="N42" s="21" t="n">
        <f>108805515</f>
        <v>1.08805515E8</v>
      </c>
      <c r="O42" s="36" t="n">
        <f>20511720</f>
        <v>2.051172E7</v>
      </c>
    </row>
    <row r="43" spans="1:15" ht="24.9" customHeight="1">
      <c r="A43" s="38"/>
      <c r="B43" s="62"/>
      <c r="C43" s="24" t="s">
        <v>18</v>
      </c>
      <c r="D43" s="25" t="n">
        <f>11436</f>
        <v>11436.0</v>
      </c>
      <c r="E43" s="37" t="n">
        <f>4086</f>
        <v>4086.0</v>
      </c>
      <c r="F43" s="25" t="n">
        <f>14433</f>
        <v>14433.0</v>
      </c>
      <c r="G43" s="37" t="n">
        <f>0</f>
        <v>0.0</v>
      </c>
      <c r="H43" s="25" t="n">
        <f>25869</f>
        <v>25869.0</v>
      </c>
      <c r="I43" s="37" t="n">
        <f>4086</f>
        <v>4086.0</v>
      </c>
      <c r="J43" s="25" t="n">
        <f>187566739</f>
        <v>1.87566739E8</v>
      </c>
      <c r="K43" s="37" t="n">
        <f>20511720</f>
        <v>2.051172E7</v>
      </c>
      <c r="L43" s="25" t="n">
        <f>82280066</f>
        <v>8.2280066E7</v>
      </c>
      <c r="M43" s="37" t="n">
        <f>0</f>
        <v>0.0</v>
      </c>
      <c r="N43" s="25" t="n">
        <f>269846805</f>
        <v>2.69846805E8</v>
      </c>
      <c r="O43" s="37" t="n">
        <f>20511720</f>
        <v>2.051172E7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