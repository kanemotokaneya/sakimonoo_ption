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<sst xmlns="http://schemas.openxmlformats.org/spreadsheetml/2006/main" count="528" uniqueCount="129">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</sst>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DATE(2026,06,12)</f>
        <v>46185.0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DATE(2026,06,12)</f>
        <v>46185.0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1301344.0</f>
        <v>1301344.0</v>
      </c>
      <c r="E12" s="18" t="n">
        <f>53562.0</f>
        <v>53562.0</v>
      </c>
      <c r="F12" s="19" t="n">
        <f>1.0</f>
        <v>1.0</v>
      </c>
      <c r="G12" s="17" t="n">
        <f>12951535697352.0</f>
        <v>1.2951535697352E13</v>
      </c>
      <c r="H12" s="18" t="n">
        <f>766726384927.0</f>
        <v>7.66726384927E11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640900.0</f>
        <v>640900.0</v>
      </c>
      <c r="E13" s="22" t="n">
        <f>34683.0</f>
        <v>34683.0</v>
      </c>
      <c r="F13" s="23" t="n">
        <f>1.0</f>
        <v>1.0</v>
      </c>
      <c r="G13" s="21" t="n">
        <f>8761000857273.0</f>
        <v>8.761000857273E12</v>
      </c>
      <c r="H13" s="22" t="n">
        <f>1103575126148.0</f>
        <v>1.103575126148E12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610264.0</f>
        <v>610264.0</v>
      </c>
      <c r="E14" s="22" t="n">
        <f>42235.0</f>
        <v>42235.0</v>
      </c>
      <c r="F14" s="23" t="n">
        <f>1.0</f>
        <v>1.0</v>
      </c>
      <c r="G14" s="21" t="n">
        <f>7693730096795.0</f>
        <v>7.693730096795E12</v>
      </c>
      <c r="H14" s="22" t="n">
        <f>1073854534620.0</f>
        <v>1.07385453462E12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2552508.0</f>
        <v>2552508.0</v>
      </c>
      <c r="E15" s="26" t="n">
        <f>130480.0</f>
        <v>130480.0</v>
      </c>
      <c r="F15" s="27" t="n">
        <f>1.0</f>
        <v>1.0</v>
      </c>
      <c r="G15" s="25" t="n">
        <f>29406266651420.0</f>
        <v>2.940626665142E13</v>
      </c>
      <c r="H15" s="26" t="n">
        <f>2944156045695.0</f>
        <v>2.944156045695E12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53170.0</f>
        <v>53170.0</v>
      </c>
      <c r="E16" s="18" t="n">
        <f>1783.0</f>
        <v>1783.0</v>
      </c>
      <c r="F16" s="19" t="n">
        <f>0.041</f>
        <v>0.041</v>
      </c>
      <c r="G16" s="17" t="n">
        <f>6699443885625.0</f>
        <v>6.699443885625E12</v>
      </c>
      <c r="H16" s="18" t="n">
        <f>228486212500.0</f>
        <v>2.284862125E11</v>
      </c>
      <c r="I16" s="19" t="n">
        <f>0.517</f>
        <v>0.517</v>
      </c>
    </row>
    <row r="17" spans="1:9" ht="24.9" customHeight="1">
      <c r="A17" s="41"/>
      <c r="B17" s="39"/>
      <c r="C17" s="20" t="s">
        <v>16</v>
      </c>
      <c r="D17" s="21" t="n">
        <f>36109.0</f>
        <v>36109.0</v>
      </c>
      <c r="E17" s="22" t="n">
        <f>5724.0</f>
        <v>5724.0</v>
      </c>
      <c r="F17" s="23" t="n">
        <f>0.056</f>
        <v>0.056</v>
      </c>
      <c r="G17" s="21" t="n">
        <f>4504026853625.0</f>
        <v>4.504026853625E12</v>
      </c>
      <c r="H17" s="22" t="n">
        <f>736688960000.0</f>
        <v>7.3668896E11</v>
      </c>
      <c r="I17" s="23" t="n">
        <f>0.514</f>
        <v>0.514</v>
      </c>
    </row>
    <row r="18" spans="1:9" ht="24.9" customHeight="1">
      <c r="A18" s="41"/>
      <c r="B18" s="39"/>
      <c r="C18" s="20" t="s">
        <v>17</v>
      </c>
      <c r="D18" s="21" t="n">
        <f>26577.0</f>
        <v>26577.0</v>
      </c>
      <c r="E18" s="22" t="n">
        <f>1561.0</f>
        <v>1561.0</v>
      </c>
      <c r="F18" s="23" t="n">
        <f>0.044</f>
        <v>0.044</v>
      </c>
      <c r="G18" s="21" t="n">
        <f>2966822997375.0</f>
        <v>2.966822997375E12</v>
      </c>
      <c r="H18" s="22" t="n">
        <f>200650365000.0</f>
        <v>2.00650365E11</v>
      </c>
      <c r="I18" s="23" t="n">
        <f>0.386</f>
        <v>0.386</v>
      </c>
    </row>
    <row r="19" spans="1:9" ht="24.9" customHeight="1">
      <c r="A19" s="41"/>
      <c r="B19" s="39"/>
      <c r="C19" s="24" t="s">
        <v>18</v>
      </c>
      <c r="D19" s="25" t="n">
        <f>115856.0</f>
        <v>115856.0</v>
      </c>
      <c r="E19" s="26" t="n">
        <f>9068.0</f>
        <v>9068.0</v>
      </c>
      <c r="F19" s="27" t="n">
        <f>0.045</f>
        <v>0.045</v>
      </c>
      <c r="G19" s="25" t="n">
        <f>14170293736625.0</f>
        <v>1.4170293736625E13</v>
      </c>
      <c r="H19" s="26" t="n">
        <f>1165825537500.0</f>
        <v>1.1658255375E12</v>
      </c>
      <c r="I19" s="27" t="n">
        <f>0.482</f>
        <v>0.482</v>
      </c>
    </row>
    <row r="20" spans="1:9" ht="24.9" customHeight="1">
      <c r="A20" s="41"/>
      <c r="B20" s="39" t="s">
        <v>21</v>
      </c>
      <c r="C20" s="16" t="s">
        <v>15</v>
      </c>
      <c r="D20" s="17" t="n">
        <f>1224337.0</f>
        <v>1224337.0</v>
      </c>
      <c r="E20" s="18" t="n">
        <f>51779.0</f>
        <v>51779.0</v>
      </c>
      <c r="F20" s="19" t="n">
        <f>0.941</f>
        <v>0.941</v>
      </c>
      <c r="G20" s="17" t="n">
        <f>5991002530177.0</f>
        <v>5.991002530177E12</v>
      </c>
      <c r="H20" s="18" t="n">
        <f>538240172427.0</f>
        <v>5.38240172427E11</v>
      </c>
      <c r="I20" s="19" t="n">
        <f>0.463</f>
        <v>0.463</v>
      </c>
    </row>
    <row r="21" spans="1:9" ht="24.9" customHeight="1">
      <c r="A21" s="41"/>
      <c r="B21" s="39"/>
      <c r="C21" s="20" t="s">
        <v>16</v>
      </c>
      <c r="D21" s="21" t="n">
        <f>591976.0</f>
        <v>591976.0</v>
      </c>
      <c r="E21" s="22" t="n">
        <f>28953.0</f>
        <v>28953.0</v>
      </c>
      <c r="F21" s="23" t="n">
        <f>0.924</f>
        <v>0.924</v>
      </c>
      <c r="G21" s="21" t="n">
        <f>4101815062288.0</f>
        <v>4.101815062288E12</v>
      </c>
      <c r="H21" s="22" t="n">
        <f>366881935188.0</f>
        <v>3.66881935188E11</v>
      </c>
      <c r="I21" s="23" t="n">
        <f>0.468</f>
        <v>0.468</v>
      </c>
    </row>
    <row r="22" spans="1:9" ht="24.9" customHeight="1">
      <c r="A22" s="41"/>
      <c r="B22" s="39"/>
      <c r="C22" s="20" t="s">
        <v>17</v>
      </c>
      <c r="D22" s="21" t="n">
        <f>575466.0</f>
        <v>575466.0</v>
      </c>
      <c r="E22" s="22" t="n">
        <f>40129.0</f>
        <v>40129.0</v>
      </c>
      <c r="F22" s="23" t="n">
        <f>0.943</f>
        <v>0.943</v>
      </c>
      <c r="G22" s="21" t="n">
        <f>4649944237400.0</f>
        <v>4.6499442374E12</v>
      </c>
      <c r="H22" s="22" t="n">
        <f>862126160600.0</f>
        <v>8.621261606E11</v>
      </c>
      <c r="I22" s="23" t="n">
        <f>0.604</f>
        <v>0.604</v>
      </c>
    </row>
    <row r="23" spans="1:9" ht="24.9" customHeight="1">
      <c r="A23" s="41"/>
      <c r="B23" s="39"/>
      <c r="C23" s="24" t="s">
        <v>18</v>
      </c>
      <c r="D23" s="25" t="n">
        <f>2391779.0</f>
        <v>2391779.0</v>
      </c>
      <c r="E23" s="26" t="n">
        <f>120861.0</f>
        <v>120861.0</v>
      </c>
      <c r="F23" s="27" t="n">
        <f>0.937</f>
        <v>0.937</v>
      </c>
      <c r="G23" s="25" t="n">
        <f>14742761829865.0</f>
        <v>1.4742761829865E13</v>
      </c>
      <c r="H23" s="26" t="n">
        <f>1767248268215.0</f>
        <v>1.767248268215E12</v>
      </c>
      <c r="I23" s="27" t="n">
        <f>0.501</f>
        <v>0.501</v>
      </c>
    </row>
    <row r="24" spans="1:9" ht="24.9" customHeight="1">
      <c r="A24" s="41"/>
      <c r="B24" s="39" t="s">
        <v>22</v>
      </c>
      <c r="C24" s="16" t="s">
        <v>15</v>
      </c>
      <c r="D24" s="17" t="n">
        <f>22542.0</f>
        <v>22542.0</v>
      </c>
      <c r="E24" s="18" t="n">
        <f>0.0</f>
        <v>0.0</v>
      </c>
      <c r="F24" s="19" t="n">
        <f>0.017</f>
        <v>0.017</v>
      </c>
      <c r="G24" s="17" t="n">
        <f>255813781050.0</f>
        <v>2.5581378105E11</v>
      </c>
      <c r="H24" s="18" t="n">
        <f>0.0</f>
        <v>0.0</v>
      </c>
      <c r="I24" s="19" t="n">
        <f>0.02</f>
        <v>0.02</v>
      </c>
    </row>
    <row r="25" spans="1:9" ht="24.9" customHeight="1">
      <c r="A25" s="41"/>
      <c r="B25" s="39"/>
      <c r="C25" s="20" t="s">
        <v>16</v>
      </c>
      <c r="D25" s="21" t="n">
        <f>12567.0</f>
        <v>12567.0</v>
      </c>
      <c r="E25" s="22" t="n">
        <f>0.0</f>
        <v>0.0</v>
      </c>
      <c r="F25" s="23" t="n">
        <f>0.02</f>
        <v>0.02</v>
      </c>
      <c r="G25" s="21" t="n">
        <f>154195199400.0</f>
        <v>1.541951994E11</v>
      </c>
      <c r="H25" s="22" t="n">
        <f>0.0</f>
        <v>0.0</v>
      </c>
      <c r="I25" s="23" t="n">
        <f>0.018</f>
        <v>0.018</v>
      </c>
    </row>
    <row r="26" spans="1:9" ht="24.9" customHeight="1">
      <c r="A26" s="41"/>
      <c r="B26" s="39"/>
      <c r="C26" s="20" t="s">
        <v>17</v>
      </c>
      <c r="D26" s="21" t="n">
        <f>6383.0</f>
        <v>6383.0</v>
      </c>
      <c r="E26" s="22" t="n">
        <f>500.0</f>
        <v>500.0</v>
      </c>
      <c r="F26" s="23" t="n">
        <f>0.01</f>
        <v>0.01</v>
      </c>
      <c r="G26" s="21" t="n">
        <f>69805126500.0</f>
        <v>6.98051265E10</v>
      </c>
      <c r="H26" s="22" t="n">
        <f>11000000000.0</f>
        <v>1.1E10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41492.0</f>
        <v>41492.0</v>
      </c>
      <c r="E27" s="26" t="n">
        <f>500.0</f>
        <v>500.0</v>
      </c>
      <c r="F27" s="27" t="n">
        <f>0.016</f>
        <v>0.016</v>
      </c>
      <c r="G27" s="25" t="n">
        <f>479814106950.0</f>
        <v>4.7981410695E11</v>
      </c>
      <c r="H27" s="26" t="n">
        <f>11000000000.0</f>
        <v>1.1E10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1295.0</f>
        <v>1295.0</v>
      </c>
      <c r="E28" s="18" t="n">
        <f>0.0</f>
        <v>0.0</v>
      </c>
      <c r="F28" s="19" t="n">
        <f>0.001</f>
        <v>0.001</v>
      </c>
      <c r="G28" s="17" t="n">
        <f>5275500500.0</f>
        <v>5.2755005E9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248.0</f>
        <v>248.0</v>
      </c>
      <c r="E29" s="22" t="n">
        <f>6.0</f>
        <v>6.0</v>
      </c>
      <c r="F29" s="23" t="n">
        <f>0.0</f>
        <v>0.0</v>
      </c>
      <c r="G29" s="21" t="n">
        <f>963741960.0</f>
        <v>9.6374196E8</v>
      </c>
      <c r="H29" s="22" t="n">
        <f>4230960.0</f>
        <v>4230960.0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1838.0</f>
        <v>1838.0</v>
      </c>
      <c r="E30" s="22" t="n">
        <f>45.0</f>
        <v>45.0</v>
      </c>
      <c r="F30" s="23" t="n">
        <f>0.003</f>
        <v>0.003</v>
      </c>
      <c r="G30" s="21" t="n">
        <f>7157735520.0</f>
        <v>7.15773552E9</v>
      </c>
      <c r="H30" s="22" t="n">
        <f>78009020.0</f>
        <v>7.800902E7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3381.0</f>
        <v>3381.0</v>
      </c>
      <c r="E31" s="26" t="n">
        <f>51.0</f>
        <v>51.0</v>
      </c>
      <c r="F31" s="27" t="n">
        <f>0.001</f>
        <v>0.001</v>
      </c>
      <c r="G31" s="25" t="n">
        <f>13396977980.0</f>
        <v>1.339697798E10</v>
      </c>
      <c r="H31" s="26" t="n">
        <f>82239980.0</f>
        <v>8.223998E7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46185.0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46185.0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20594</f>
        <v>20594.0</v>
      </c>
      <c r="E11" s="18" t="n">
        <f>2240</f>
        <v>2240.0</v>
      </c>
      <c r="F11" s="19" t="n">
        <f>1</f>
        <v>1.0</v>
      </c>
      <c r="G11" s="17" t="n">
        <f>5297219860</f>
        <v>5.29721986E9</v>
      </c>
      <c r="H11" s="18" t="n">
        <f>1436769960</f>
        <v>1.43676996E9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33765</f>
        <v>33765.0</v>
      </c>
      <c r="E12" s="22" t="n">
        <f>5009</f>
        <v>5009.0</v>
      </c>
      <c r="F12" s="23" t="n">
        <f>1</f>
        <v>1.0</v>
      </c>
      <c r="G12" s="21" t="n">
        <f>9253780126</f>
        <v>9.253780126E9</v>
      </c>
      <c r="H12" s="22" t="n">
        <f>4895264370</f>
        <v>4.89526437E9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85412</f>
        <v>85412.0</v>
      </c>
      <c r="E13" s="22" t="n">
        <f>52841</f>
        <v>52841.0</v>
      </c>
      <c r="F13" s="23" t="n">
        <f>1</f>
        <v>1.0</v>
      </c>
      <c r="G13" s="21" t="n">
        <f>46053465795</f>
        <v>4.6053465795E10</v>
      </c>
      <c r="H13" s="22" t="n">
        <f>39714504451</f>
        <v>3.9714504451E10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139771</f>
        <v>139771.0</v>
      </c>
      <c r="E14" s="26" t="n">
        <f>60090</f>
        <v>60090.0</v>
      </c>
      <c r="F14" s="27" t="n">
        <f>1</f>
        <v>1.0</v>
      </c>
      <c r="G14" s="25" t="n">
        <f>60604465781</f>
        <v>6.0604465781E10</v>
      </c>
      <c r="H14" s="26" t="n">
        <f>46046538781</f>
        <v>4.6046538781E10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18</f>
        <v>18.0</v>
      </c>
      <c r="E15" s="18" t="n">
        <f>0</f>
        <v>0.0</v>
      </c>
      <c r="F15" s="19" t="n">
        <f>0.001</f>
        <v>0.001</v>
      </c>
      <c r="G15" s="17" t="n">
        <f>3270000</f>
        <v>3270000.0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65</f>
        <v>65.0</v>
      </c>
      <c r="E16" s="22" t="n">
        <f>0</f>
        <v>0.0</v>
      </c>
      <c r="F16" s="23" t="n">
        <f>0.002</f>
        <v>0.002</v>
      </c>
      <c r="G16" s="21" t="n">
        <f>12080000</f>
        <v>1.208E7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32</f>
        <v>32.0</v>
      </c>
      <c r="E17" s="22" t="n">
        <f>25</f>
        <v>25.0</v>
      </c>
      <c r="F17" s="23" t="n">
        <f>0</f>
        <v>0.0</v>
      </c>
      <c r="G17" s="21" t="n">
        <f>3350000</f>
        <v>3350000.0</v>
      </c>
      <c r="H17" s="22" t="n">
        <f>2000000</f>
        <v>2000000.0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115</f>
        <v>115.0</v>
      </c>
      <c r="E18" s="26" t="n">
        <f>25</f>
        <v>25.0</v>
      </c>
      <c r="F18" s="27" t="n">
        <f>0.001</f>
        <v>0.001</v>
      </c>
      <c r="G18" s="25" t="n">
        <f>18700000</f>
        <v>1.87E7</v>
      </c>
      <c r="H18" s="26" t="n">
        <f>2000000</f>
        <v>2000000.0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20576</f>
        <v>20576.0</v>
      </c>
      <c r="E19" s="18" t="n">
        <f>2240</f>
        <v>2240.0</v>
      </c>
      <c r="F19" s="19" t="n">
        <f>0.999</f>
        <v>0.999</v>
      </c>
      <c r="G19" s="17" t="n">
        <f>5293949860</f>
        <v>5.29394986E9</v>
      </c>
      <c r="H19" s="18" t="n">
        <f>1436769960</f>
        <v>1.43676996E9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28473</f>
        <v>28473.0</v>
      </c>
      <c r="E20" s="22" t="n">
        <f>5009</f>
        <v>5009.0</v>
      </c>
      <c r="F20" s="23" t="n">
        <f>0.843</f>
        <v>0.843</v>
      </c>
      <c r="G20" s="21" t="n">
        <f>9210382070</f>
        <v>9.21038207E9</v>
      </c>
      <c r="H20" s="22" t="n">
        <f>4895264370</f>
        <v>4.89526437E9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53176</f>
        <v>53176.0</v>
      </c>
      <c r="E21" s="22" t="n">
        <f>31086</f>
        <v>31086.0</v>
      </c>
      <c r="F21" s="23" t="n">
        <f>0.623</f>
        <v>0.623</v>
      </c>
      <c r="G21" s="21" t="n">
        <f>45316198351</f>
        <v>4.5316198351E10</v>
      </c>
      <c r="H21" s="22" t="n">
        <f>39141139451</f>
        <v>3.9141139451E10</v>
      </c>
      <c r="I21" s="23" t="n">
        <f>0.984</f>
        <v>0.984</v>
      </c>
    </row>
    <row r="22" spans="1:9" ht="24.9" customHeight="1">
      <c r="A22" s="41"/>
      <c r="B22" s="39"/>
      <c r="C22" s="24" t="s">
        <v>18</v>
      </c>
      <c r="D22" s="25" t="n">
        <f>102225</f>
        <v>102225.0</v>
      </c>
      <c r="E22" s="26" t="n">
        <f>38335</f>
        <v>38335.0</v>
      </c>
      <c r="F22" s="27" t="n">
        <f>0.731</f>
        <v>0.731</v>
      </c>
      <c r="G22" s="25" t="n">
        <f>59820530281</f>
        <v>5.9820530281E10</v>
      </c>
      <c r="H22" s="26" t="n">
        <f>45473173781</f>
        <v>4.5473173781E10</v>
      </c>
      <c r="I22" s="27" t="n">
        <f>0.987</f>
        <v>0.987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5227</f>
        <v>5227.0</v>
      </c>
      <c r="E24" s="22" t="n">
        <f>0</f>
        <v>0.0</v>
      </c>
      <c r="F24" s="23" t="n">
        <f>0.155</f>
        <v>0.155</v>
      </c>
      <c r="G24" s="21" t="n">
        <f>31318056</f>
        <v>3.1318056E7</v>
      </c>
      <c r="H24" s="22" t="n">
        <f>0</f>
        <v>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32204</f>
        <v>32204.0</v>
      </c>
      <c r="E25" s="22" t="n">
        <f>21730</f>
        <v>21730.0</v>
      </c>
      <c r="F25" s="23" t="n">
        <f>0.377</f>
        <v>0.377</v>
      </c>
      <c r="G25" s="21" t="n">
        <f>733917444</f>
        <v>7.33917444E8</v>
      </c>
      <c r="H25" s="22" t="n">
        <f>571365000</f>
        <v>5.71365E8</v>
      </c>
      <c r="I25" s="23" t="n">
        <f>0.016</f>
        <v>0.016</v>
      </c>
    </row>
    <row r="26" spans="1:9" ht="24.9" customHeight="1">
      <c r="A26" s="41"/>
      <c r="B26" s="39"/>
      <c r="C26" s="24" t="s">
        <v>18</v>
      </c>
      <c r="D26" s="25" t="n">
        <f>37431</f>
        <v>37431.0</v>
      </c>
      <c r="E26" s="26" t="n">
        <f>21730</f>
        <v>21730.0</v>
      </c>
      <c r="F26" s="27" t="n">
        <f>0.268</f>
        <v>0.268</v>
      </c>
      <c r="G26" s="25" t="n">
        <f>765235500</f>
        <v>7.652355E8</v>
      </c>
      <c r="H26" s="26" t="n">
        <f>571365000</f>
        <v>5.71365E8</v>
      </c>
      <c r="I26" s="27" t="n">
        <f>0.013</f>
        <v>0.013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46185.0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46185.0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23366.0</v>
      </c>
      <c r="F12" s="18" t="n">
        <f>2238</f>
        <v>2238.0</v>
      </c>
      <c r="G12" s="17" t="n">
        <v>1.521758417715E12</v>
      </c>
      <c r="H12" s="18" t="n">
        <f>145090547715</f>
        <v>1.45090547715E11</v>
      </c>
    </row>
    <row r="13" spans="1:8" ht="24.9" customHeight="1">
      <c r="A13" s="51"/>
      <c r="B13" s="57"/>
      <c r="C13" s="39"/>
      <c r="D13" s="20" t="s">
        <v>16</v>
      </c>
      <c r="E13" s="21" t="n">
        <v>19575.0</v>
      </c>
      <c r="F13" s="22" t="n">
        <f>1612</f>
        <v>1612.0</v>
      </c>
      <c r="G13" s="21" t="n">
        <v>1.305481039568E12</v>
      </c>
      <c r="H13" s="22" t="n">
        <f>107462329568</f>
        <v>1.07462329568E11</v>
      </c>
    </row>
    <row r="14" spans="1:8" ht="24.9" customHeight="1">
      <c r="A14" s="51"/>
      <c r="B14" s="57"/>
      <c r="C14" s="39"/>
      <c r="D14" s="20" t="s">
        <v>17</v>
      </c>
      <c r="E14" s="21" t="n">
        <v>24171.0</v>
      </c>
      <c r="F14" s="22" t="n">
        <f>6297</f>
        <v>6297.0</v>
      </c>
      <c r="G14" s="21" t="n">
        <v>1.605246273902E12</v>
      </c>
      <c r="H14" s="22" t="n">
        <f>417566563902</f>
        <v>4.17566563902E11</v>
      </c>
    </row>
    <row r="15" spans="1:8" ht="24.9" customHeight="1">
      <c r="A15" s="51"/>
      <c r="B15" s="57"/>
      <c r="C15" s="39"/>
      <c r="D15" s="24" t="s">
        <v>18</v>
      </c>
      <c r="E15" s="25" t="n">
        <v>67112.0</v>
      </c>
      <c r="F15" s="26" t="n">
        <f>10147</f>
        <v>10147.0</v>
      </c>
      <c r="G15" s="25" t="n">
        <v>4.432485731185E12</v>
      </c>
      <c r="H15" s="26" t="n">
        <f>670119441185</f>
        <v>6.70119441185E11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410303.0</v>
      </c>
      <c r="F16" s="18" t="n">
        <f>46701</f>
        <v>46701.0</v>
      </c>
      <c r="G16" s="17" t="n">
        <v>2.669693715812E12</v>
      </c>
      <c r="H16" s="18" t="n">
        <f>303301888312</f>
        <v>3.03301888312E11</v>
      </c>
    </row>
    <row r="17" spans="1:8" ht="24.9" customHeight="1">
      <c r="A17" s="51"/>
      <c r="B17" s="57"/>
      <c r="C17" s="39"/>
      <c r="D17" s="20" t="s">
        <v>16</v>
      </c>
      <c r="E17" s="21" t="n">
        <v>249021.0</v>
      </c>
      <c r="F17" s="22" t="n">
        <f>24376</f>
        <v>24376.0</v>
      </c>
      <c r="G17" s="21" t="n">
        <v>1.65989957367E12</v>
      </c>
      <c r="H17" s="22" t="n">
        <f>162517844170</f>
        <v>1.6251784417E11</v>
      </c>
    </row>
    <row r="18" spans="1:8" ht="24.9" customHeight="1">
      <c r="A18" s="51"/>
      <c r="B18" s="57"/>
      <c r="C18" s="39"/>
      <c r="D18" s="20" t="s">
        <v>17</v>
      </c>
      <c r="E18" s="21" t="n">
        <v>240712.0</v>
      </c>
      <c r="F18" s="22" t="n">
        <f>25368</f>
        <v>25368.0</v>
      </c>
      <c r="G18" s="21" t="n">
        <v>1.59998783815E12</v>
      </c>
      <c r="H18" s="22" t="n">
        <f>168586845650</f>
        <v>1.6858684565E11</v>
      </c>
    </row>
    <row r="19" spans="1:8" ht="24.9" customHeight="1">
      <c r="A19" s="51"/>
      <c r="B19" s="57"/>
      <c r="C19" s="39"/>
      <c r="D19" s="24" t="s">
        <v>18</v>
      </c>
      <c r="E19" s="25" t="n">
        <v>900036.0</v>
      </c>
      <c r="F19" s="26" t="n">
        <f>96445</f>
        <v>96445.0</v>
      </c>
      <c r="G19" s="25" t="n">
        <v>5.929581127632E12</v>
      </c>
      <c r="H19" s="26" t="n">
        <f>634406578132</f>
        <v>6.34406578132E11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746380.0</v>
      </c>
      <c r="F20" s="18" t="str">
        <f>"－"</f>
        <v>－</v>
      </c>
      <c r="G20" s="17" t="n">
        <v>4.858567838E11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286116.0</v>
      </c>
      <c r="F21" s="22" t="str">
        <f>"－"</f>
        <v>－</v>
      </c>
      <c r="G21" s="21" t="n">
        <v>1.9066779685E11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266941.0</v>
      </c>
      <c r="F22" s="22" t="str">
        <f>"－"</f>
        <v>－</v>
      </c>
      <c r="G22" s="21" t="n">
        <v>1.774476589E11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1299437.0</v>
      </c>
      <c r="F23" s="26" t="str">
        <f>"－"</f>
        <v>－</v>
      </c>
      <c r="G23" s="25" t="n">
        <v>8.5397223955E11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33005.0</v>
      </c>
      <c r="F24" s="18" t="n">
        <f>2296</f>
        <v>2296.0</v>
      </c>
      <c r="G24" s="17" t="n">
        <v>1.2743288805E12</v>
      </c>
      <c r="H24" s="18" t="n">
        <f>88144650500</f>
        <v>8.81446505E10</v>
      </c>
    </row>
    <row r="25" spans="1:8" ht="24.9" customHeight="1">
      <c r="A25" s="51"/>
      <c r="B25" s="57"/>
      <c r="C25" s="39"/>
      <c r="D25" s="20" t="s">
        <v>16</v>
      </c>
      <c r="E25" s="21" t="n">
        <v>22877.0</v>
      </c>
      <c r="F25" s="22" t="n">
        <f>2437</f>
        <v>2437.0</v>
      </c>
      <c r="G25" s="21" t="n">
        <v>8.945771055E11</v>
      </c>
      <c r="H25" s="22" t="n">
        <f>95370205500</f>
        <v>9.53702055E10</v>
      </c>
    </row>
    <row r="26" spans="1:8" ht="24.9" customHeight="1">
      <c r="A26" s="51"/>
      <c r="B26" s="57"/>
      <c r="C26" s="39"/>
      <c r="D26" s="20" t="s">
        <v>17</v>
      </c>
      <c r="E26" s="21" t="n">
        <v>31405.0</v>
      </c>
      <c r="F26" s="22" t="n">
        <f>6958</f>
        <v>6958.0</v>
      </c>
      <c r="G26" s="21" t="n">
        <v>1.2237851465E12</v>
      </c>
      <c r="H26" s="22" t="n">
        <f>271121461500</f>
        <v>2.711214615E11</v>
      </c>
    </row>
    <row r="27" spans="1:8" ht="24.9" customHeight="1">
      <c r="A27" s="51"/>
      <c r="B27" s="57"/>
      <c r="C27" s="39"/>
      <c r="D27" s="24" t="s">
        <v>18</v>
      </c>
      <c r="E27" s="25" t="n">
        <v>87287.0</v>
      </c>
      <c r="F27" s="26" t="n">
        <f>11691</f>
        <v>11691.0</v>
      </c>
      <c r="G27" s="25" t="n">
        <v>3.3926911325E12</v>
      </c>
      <c r="H27" s="26" t="n">
        <f>454636317500</f>
        <v>4.546363175E11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9010.0</v>
      </c>
      <c r="F28" s="18" t="n">
        <f>368</f>
        <v>368.0</v>
      </c>
      <c r="G28" s="17" t="n">
        <v>3.480860615E10</v>
      </c>
      <c r="H28" s="18" t="n">
        <f>1422213900</f>
        <v>1.4222139E9</v>
      </c>
    </row>
    <row r="29" spans="1:8" ht="24.9" customHeight="1">
      <c r="A29" s="51"/>
      <c r="B29" s="57"/>
      <c r="C29" s="39"/>
      <c r="D29" s="20" t="s">
        <v>16</v>
      </c>
      <c r="E29" s="21" t="n">
        <v>11930.0</v>
      </c>
      <c r="F29" s="22" t="n">
        <f>312</f>
        <v>312.0</v>
      </c>
      <c r="G29" s="21" t="n">
        <v>4.66651873E10</v>
      </c>
      <c r="H29" s="22" t="n">
        <f>1220160550</f>
        <v>1.22016055E9</v>
      </c>
    </row>
    <row r="30" spans="1:8" ht="24.9" customHeight="1">
      <c r="A30" s="51"/>
      <c r="B30" s="57"/>
      <c r="C30" s="39"/>
      <c r="D30" s="20" t="s">
        <v>17</v>
      </c>
      <c r="E30" s="21" t="n">
        <v>9298.0</v>
      </c>
      <c r="F30" s="22" t="n">
        <f>351</f>
        <v>351.0</v>
      </c>
      <c r="G30" s="21" t="n">
        <v>3.623587355E10</v>
      </c>
      <c r="H30" s="22" t="n">
        <f>1369130550</f>
        <v>1.36913055E9</v>
      </c>
    </row>
    <row r="31" spans="1:8" ht="24.9" customHeight="1">
      <c r="A31" s="51"/>
      <c r="B31" s="57"/>
      <c r="C31" s="39"/>
      <c r="D31" s="24" t="s">
        <v>18</v>
      </c>
      <c r="E31" s="25" t="n">
        <v>30238.0</v>
      </c>
      <c r="F31" s="26" t="n">
        <f>1031</f>
        <v>1031.0</v>
      </c>
      <c r="G31" s="25" t="n">
        <v>1.17709667E11</v>
      </c>
      <c r="H31" s="26" t="n">
        <f>4011505000</f>
        <v>4.011505E9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529.0</v>
      </c>
      <c r="F36" s="18" t="n">
        <f>0</f>
        <v>0.0</v>
      </c>
      <c r="G36" s="17" t="n">
        <v>1.851172E9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846.0</v>
      </c>
      <c r="F37" s="22" t="n">
        <f>3</f>
        <v>3.0</v>
      </c>
      <c r="G37" s="21" t="n">
        <v>2.990489E9</v>
      </c>
      <c r="H37" s="22" t="n">
        <f>10597000</f>
        <v>1.0597E7</v>
      </c>
    </row>
    <row r="38" spans="1:8" ht="24.9" customHeight="1">
      <c r="A38" s="51"/>
      <c r="B38" s="57"/>
      <c r="C38" s="39"/>
      <c r="D38" s="20" t="s">
        <v>17</v>
      </c>
      <c r="E38" s="21" t="n">
        <v>907.0</v>
      </c>
      <c r="F38" s="22" t="n">
        <f>88</f>
        <v>88.0</v>
      </c>
      <c r="G38" s="21" t="n">
        <v>3.197363958E9</v>
      </c>
      <c r="H38" s="22" t="n">
        <f>309593958</f>
        <v>3.09593958E8</v>
      </c>
    </row>
    <row r="39" spans="1:8" ht="24.9" customHeight="1">
      <c r="A39" s="51"/>
      <c r="B39" s="57"/>
      <c r="C39" s="39"/>
      <c r="D39" s="24" t="s">
        <v>18</v>
      </c>
      <c r="E39" s="25" t="n">
        <v>2282.0</v>
      </c>
      <c r="F39" s="26" t="n">
        <f>91</f>
        <v>91.0</v>
      </c>
      <c r="G39" s="25" t="n">
        <v>8.039024958E9</v>
      </c>
      <c r="H39" s="26" t="n">
        <f>320190958</f>
        <v>3.20190958E8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308.0</v>
      </c>
      <c r="F46" s="22" t="n">
        <f>308</f>
        <v>308.0</v>
      </c>
      <c r="G46" s="21" t="n">
        <v>2.0716852E9</v>
      </c>
      <c r="H46" s="22" t="n">
        <f>2071685200</f>
        <v>2.0716852E9</v>
      </c>
    </row>
    <row r="47" spans="1:8" ht="24.9" customHeight="1">
      <c r="A47" s="51"/>
      <c r="B47" s="57"/>
      <c r="C47" s="39"/>
      <c r="D47" s="24" t="s">
        <v>18</v>
      </c>
      <c r="E47" s="25" t="n">
        <v>308.0</v>
      </c>
      <c r="F47" s="26" t="n">
        <f>308</f>
        <v>308.0</v>
      </c>
      <c r="G47" s="25" t="n">
        <v>2.0716852E9</v>
      </c>
      <c r="H47" s="26" t="n">
        <f>2071685200</f>
        <v>2.0716852E9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143.0</v>
      </c>
      <c r="F48" s="18" t="n">
        <f>141</f>
        <v>141.0</v>
      </c>
      <c r="G48" s="17" t="n">
        <v>2.511965E8</v>
      </c>
      <c r="H48" s="18" t="n">
        <f>247666500</f>
        <v>2.476665E8</v>
      </c>
    </row>
    <row r="49" spans="1:8" ht="24.9" customHeight="1">
      <c r="A49" s="51"/>
      <c r="B49" s="57"/>
      <c r="C49" s="39"/>
      <c r="D49" s="20" t="s">
        <v>16</v>
      </c>
      <c r="E49" s="21" t="n">
        <v>252.0</v>
      </c>
      <c r="F49" s="22" t="n">
        <f>141</f>
        <v>141.0</v>
      </c>
      <c r="G49" s="21" t="n">
        <v>4.469115E8</v>
      </c>
      <c r="H49" s="22" t="n">
        <f>250134000</f>
        <v>2.50134E8</v>
      </c>
    </row>
    <row r="50" spans="1:8" ht="24.9" customHeight="1">
      <c r="A50" s="51"/>
      <c r="B50" s="57"/>
      <c r="C50" s="39"/>
      <c r="D50" s="20" t="s">
        <v>17</v>
      </c>
      <c r="E50" s="21" t="n">
        <v>580.0</v>
      </c>
      <c r="F50" s="22" t="n">
        <f>529</f>
        <v>529.0</v>
      </c>
      <c r="G50" s="21" t="n">
        <v>1.03045648E9</v>
      </c>
      <c r="H50" s="22" t="n">
        <f>939703480</f>
        <v>9.3970348E8</v>
      </c>
    </row>
    <row r="51" spans="1:8" ht="24.9" customHeight="1">
      <c r="A51" s="51"/>
      <c r="B51" s="57"/>
      <c r="C51" s="39"/>
      <c r="D51" s="24" t="s">
        <v>18</v>
      </c>
      <c r="E51" s="25" t="n">
        <v>975.0</v>
      </c>
      <c r="F51" s="26" t="n">
        <f>811</f>
        <v>811.0</v>
      </c>
      <c r="G51" s="25" t="n">
        <v>1.72856448E9</v>
      </c>
      <c r="H51" s="26" t="n">
        <f>1437503980</f>
        <v>1.43750398E9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908.0</v>
      </c>
      <c r="F56" s="18" t="n">
        <f>33</f>
        <v>33.0</v>
      </c>
      <c r="G56" s="17" t="n">
        <v>6.37956E8</v>
      </c>
      <c r="H56" s="18" t="n">
        <f>23139000</f>
        <v>2.3139E7</v>
      </c>
    </row>
    <row r="57" spans="1:8" ht="24.9" customHeight="1">
      <c r="A57" s="51"/>
      <c r="B57" s="57"/>
      <c r="C57" s="39"/>
      <c r="D57" s="20" t="s">
        <v>16</v>
      </c>
      <c r="E57" s="21" t="n">
        <v>1327.0</v>
      </c>
      <c r="F57" s="22" t="n">
        <f>72</f>
        <v>72.0</v>
      </c>
      <c r="G57" s="21" t="n">
        <v>9.351554E8</v>
      </c>
      <c r="H57" s="22" t="n">
        <f>50664400</f>
        <v>5.06644E7</v>
      </c>
    </row>
    <row r="58" spans="1:8" ht="24.9" customHeight="1">
      <c r="A58" s="51"/>
      <c r="B58" s="57"/>
      <c r="C58" s="39"/>
      <c r="D58" s="20" t="s">
        <v>17</v>
      </c>
      <c r="E58" s="21" t="n">
        <v>1026.0</v>
      </c>
      <c r="F58" s="22" t="n">
        <f>230</f>
        <v>230.0</v>
      </c>
      <c r="G58" s="21" t="n">
        <v>7.2079436E8</v>
      </c>
      <c r="H58" s="22" t="n">
        <f>161176360</f>
        <v>1.6117636E8</v>
      </c>
    </row>
    <row r="59" spans="1:8" ht="24.9" customHeight="1">
      <c r="A59" s="51"/>
      <c r="B59" s="57"/>
      <c r="C59" s="39"/>
      <c r="D59" s="24" t="s">
        <v>18</v>
      </c>
      <c r="E59" s="25" t="n">
        <v>3261.0</v>
      </c>
      <c r="F59" s="26" t="n">
        <f>335</f>
        <v>335.0</v>
      </c>
      <c r="G59" s="25" t="n">
        <v>2.29390576E9</v>
      </c>
      <c r="H59" s="26" t="n">
        <f>234979760</f>
        <v>2.3497976E8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181.0</v>
      </c>
      <c r="F60" s="18" t="n">
        <f>2</f>
        <v>2.0</v>
      </c>
      <c r="G60" s="17" t="n">
        <v>9.130822E8</v>
      </c>
      <c r="H60" s="18" t="n">
        <f>10066500</f>
        <v>1.00665E7</v>
      </c>
    </row>
    <row r="61" spans="1:8" ht="24.9" customHeight="1">
      <c r="A61" s="51"/>
      <c r="B61" s="57"/>
      <c r="C61" s="39"/>
      <c r="D61" s="20" t="s">
        <v>16</v>
      </c>
      <c r="E61" s="21" t="n">
        <v>29.0</v>
      </c>
      <c r="F61" s="22" t="n">
        <f>0</f>
        <v>0.0</v>
      </c>
      <c r="G61" s="21" t="n">
        <v>1.482655E8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3.0</v>
      </c>
      <c r="F62" s="22" t="n">
        <f>0</f>
        <v>0.0</v>
      </c>
      <c r="G62" s="21" t="n">
        <v>1.53654E7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213.0</v>
      </c>
      <c r="F63" s="26" t="n">
        <f>2</f>
        <v>2.0</v>
      </c>
      <c r="G63" s="25" t="n">
        <v>1.0767131E9</v>
      </c>
      <c r="H63" s="26" t="n">
        <f>10066500</f>
        <v>1.00665E7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5.0</v>
      </c>
      <c r="F76" s="18" t="n">
        <f>0</f>
        <v>0.0</v>
      </c>
      <c r="G76" s="17" t="n">
        <v>1847500.0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358000.0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5.0</v>
      </c>
      <c r="F78" s="22" t="n">
        <f>0</f>
        <v>0.0</v>
      </c>
      <c r="G78" s="21" t="n">
        <v>1844000.0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11.0</v>
      </c>
      <c r="F79" s="26" t="n">
        <f>0</f>
        <v>0.0</v>
      </c>
      <c r="G79" s="25" t="n">
        <v>4049500.0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147.0</v>
      </c>
      <c r="F92" s="18" t="n">
        <f>0</f>
        <v>0.0</v>
      </c>
      <c r="G92" s="17" t="n">
        <v>2.35021E8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3180000.0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149.0</v>
      </c>
      <c r="F95" s="26" t="n">
        <f>0</f>
        <v>0.0</v>
      </c>
      <c r="G95" s="25" t="n">
        <v>2.38201E8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360.0</v>
      </c>
      <c r="F100" s="18" t="n">
        <f>0</f>
        <v>0.0</v>
      </c>
      <c r="G100" s="17" t="n">
        <v>6.65851E8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110.0</v>
      </c>
      <c r="F102" s="22" t="n">
        <f>0</f>
        <v>0.0</v>
      </c>
      <c r="G102" s="21" t="n">
        <v>2.03937E8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470.0</v>
      </c>
      <c r="F103" s="26" t="n">
        <f>0</f>
        <v>0.0</v>
      </c>
      <c r="G103" s="25" t="n">
        <v>8.69788E8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52071.0</v>
      </c>
      <c r="F108" s="18" t="n">
        <f>1783</f>
        <v>1783.0</v>
      </c>
      <c r="G108" s="17" t="n">
        <v>6.6722565425E12</v>
      </c>
      <c r="H108" s="18" t="n">
        <f>228486212500</f>
        <v>2.284862125E11</v>
      </c>
    </row>
    <row r="109" spans="1:8" ht="24.9" customHeight="1">
      <c r="A109" s="51"/>
      <c r="B109" s="57"/>
      <c r="C109" s="39"/>
      <c r="D109" s="20" t="s">
        <v>16</v>
      </c>
      <c r="E109" s="21" t="n">
        <v>35003.0</v>
      </c>
      <c r="F109" s="22" t="n">
        <f>5724</f>
        <v>5724.0</v>
      </c>
      <c r="G109" s="21" t="n">
        <v>4.48909912E12</v>
      </c>
      <c r="H109" s="22" t="n">
        <f>736688960000</f>
        <v>7.3668896E11</v>
      </c>
    </row>
    <row r="110" spans="1:8" ht="24.9" customHeight="1">
      <c r="A110" s="51"/>
      <c r="B110" s="57"/>
      <c r="C110" s="39"/>
      <c r="D110" s="20" t="s">
        <v>17</v>
      </c>
      <c r="E110" s="21" t="n">
        <v>22877.0</v>
      </c>
      <c r="F110" s="22" t="n">
        <f>1561</f>
        <v>1561.0</v>
      </c>
      <c r="G110" s="21" t="n">
        <v>2.929631465E12</v>
      </c>
      <c r="H110" s="22" t="n">
        <f>200650365000</f>
        <v>2.00650365E11</v>
      </c>
    </row>
    <row r="111" spans="1:8" ht="24.9" customHeight="1">
      <c r="A111" s="51"/>
      <c r="B111" s="57"/>
      <c r="C111" s="39"/>
      <c r="D111" s="24" t="s">
        <v>18</v>
      </c>
      <c r="E111" s="25" t="n">
        <v>109951.0</v>
      </c>
      <c r="F111" s="26" t="n">
        <f>9068</f>
        <v>9068.0</v>
      </c>
      <c r="G111" s="25" t="n">
        <v>1.40909871275E13</v>
      </c>
      <c r="H111" s="26" t="n">
        <f>1165825537500</f>
        <v>1.1658255375E12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1.0</v>
      </c>
      <c r="F113" s="22" t="n">
        <f>0</f>
        <v>0.0</v>
      </c>
      <c r="G113" s="21" t="n">
        <v>1.2889E7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8.0</v>
      </c>
      <c r="F114" s="22" t="n">
        <f>0</f>
        <v>0.0</v>
      </c>
      <c r="G114" s="21" t="n">
        <v>1.03093E8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9.0</v>
      </c>
      <c r="F115" s="26" t="n">
        <f>0</f>
        <v>0.0</v>
      </c>
      <c r="G115" s="25" t="n">
        <v>1.15982E8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801.0</v>
      </c>
      <c r="F117" s="22" t="n">
        <f>0</f>
        <v>0.0</v>
      </c>
      <c r="G117" s="21" t="n">
        <v>7.392674E9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3500.0</v>
      </c>
      <c r="F118" s="22" t="n">
        <f>0</f>
        <v>0.0</v>
      </c>
      <c r="G118" s="21" t="n">
        <v>3.233814E10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4301.0</v>
      </c>
      <c r="F119" s="26" t="n">
        <f>0</f>
        <v>0.0</v>
      </c>
      <c r="G119" s="25" t="n">
        <v>3.9730814E10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1099.0</v>
      </c>
      <c r="F120" s="18" t="n">
        <f>0</f>
        <v>0.0</v>
      </c>
      <c r="G120" s="17" t="n">
        <v>2.7187343125E10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304.0</v>
      </c>
      <c r="F121" s="22" t="n">
        <f>0</f>
        <v>0.0</v>
      </c>
      <c r="G121" s="21" t="n">
        <v>7.522170625E9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192.0</v>
      </c>
      <c r="F122" s="22" t="n">
        <f>0</f>
        <v>0.0</v>
      </c>
      <c r="G122" s="21" t="n">
        <v>4.750299375E9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1595.0</v>
      </c>
      <c r="F123" s="26" t="n">
        <f>0</f>
        <v>0.0</v>
      </c>
      <c r="G123" s="25" t="n">
        <v>3.9459813125E10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10491.0</v>
      </c>
      <c r="F124" s="18" t="n">
        <f>0</f>
        <v>0.0</v>
      </c>
      <c r="G124" s="17" t="n">
        <v>2.26850984E11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6294.0</v>
      </c>
      <c r="F125" s="22" t="n">
        <f>0</f>
        <v>0.0</v>
      </c>
      <c r="G125" s="21" t="n">
        <v>1.39097692E11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2727.0</v>
      </c>
      <c r="F126" s="22" t="n">
        <f>500</f>
        <v>500.0</v>
      </c>
      <c r="G126" s="21" t="n">
        <v>6.0053136E10</v>
      </c>
      <c r="H126" s="22" t="n">
        <f>11000000000</f>
        <v>1.1E10</v>
      </c>
    </row>
    <row r="127" spans="1:8" ht="24.9" customHeight="1">
      <c r="A127" s="51"/>
      <c r="B127" s="57"/>
      <c r="C127" s="39"/>
      <c r="D127" s="24" t="s">
        <v>18</v>
      </c>
      <c r="E127" s="25" t="n">
        <v>19512.0</v>
      </c>
      <c r="F127" s="26" t="n">
        <f>500</f>
        <v>500.0</v>
      </c>
      <c r="G127" s="25" t="n">
        <v>4.26001812E11</v>
      </c>
      <c r="H127" s="26" t="n">
        <f>11000000000</f>
        <v>1.1E10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244.0</v>
      </c>
      <c r="F128" s="18" t="n">
        <f>0</f>
        <v>0.0</v>
      </c>
      <c r="G128" s="17" t="n">
        <v>5.271616E8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260.0</v>
      </c>
      <c r="F129" s="22" t="n">
        <f>0</f>
        <v>0.0</v>
      </c>
      <c r="G129" s="21" t="n">
        <v>5.761329E8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120.0</v>
      </c>
      <c r="F130" s="22" t="n">
        <f>0</f>
        <v>0.0</v>
      </c>
      <c r="G130" s="21" t="n">
        <v>2.645575E8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624.0</v>
      </c>
      <c r="F131" s="26" t="n">
        <f>0</f>
        <v>0.0</v>
      </c>
      <c r="G131" s="25" t="n">
        <v>1.367852E9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9480.0</v>
      </c>
      <c r="F132" s="18" t="n">
        <f>0</f>
        <v>0.0</v>
      </c>
      <c r="G132" s="17" t="n">
        <v>2.049548375E10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3367.0</v>
      </c>
      <c r="F133" s="22" t="n">
        <f>0</f>
        <v>0.0</v>
      </c>
      <c r="G133" s="21" t="n">
        <v>7.46051555E9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2118.0</v>
      </c>
      <c r="F134" s="22" t="n">
        <f>0</f>
        <v>0.0</v>
      </c>
      <c r="G134" s="21" t="n">
        <v>4.66660655E9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14965.0</v>
      </c>
      <c r="F135" s="26" t="n">
        <f>0</f>
        <v>0.0</v>
      </c>
      <c r="G135" s="25" t="n">
        <v>3.262260585E10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66.0</v>
      </c>
      <c r="F136" s="18" t="n">
        <f>0</f>
        <v>0.0</v>
      </c>
      <c r="G136" s="17" t="n">
        <v>1.421981E8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150.0</v>
      </c>
      <c r="F137" s="22" t="n">
        <f>0</f>
        <v>0.0</v>
      </c>
      <c r="G137" s="21" t="n">
        <v>3.301655E8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33.0</v>
      </c>
      <c r="F138" s="22" t="n">
        <f>0</f>
        <v>0.0</v>
      </c>
      <c r="G138" s="21" t="n">
        <v>7.18956E7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249.0</v>
      </c>
      <c r="F139" s="26" t="n">
        <f>0</f>
        <v>0.0</v>
      </c>
      <c r="G139" s="25" t="n">
        <v>5.442592E8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9.0</v>
      </c>
      <c r="F140" s="18" t="n">
        <f>0</f>
        <v>0.0</v>
      </c>
      <c r="G140" s="17" t="n">
        <v>8.8296E7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9.0</v>
      </c>
      <c r="F143" s="26" t="n">
        <f>0</f>
        <v>0.0</v>
      </c>
      <c r="G143" s="25" t="n">
        <v>8.8296E7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1644.0</v>
      </c>
      <c r="F144" s="18" t="n">
        <f>0</f>
        <v>0.0</v>
      </c>
      <c r="G144" s="17" t="n">
        <v>6.953906E9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1230.0</v>
      </c>
      <c r="F145" s="22" t="n">
        <f>0</f>
        <v>0.0</v>
      </c>
      <c r="G145" s="21" t="n">
        <v>5.3506575E9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976.0</v>
      </c>
      <c r="F146" s="22" t="n">
        <f>0</f>
        <v>0.0</v>
      </c>
      <c r="G146" s="21" t="n">
        <v>4.2644025E9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3850.0</v>
      </c>
      <c r="F147" s="26" t="n">
        <f>0</f>
        <v>0.0</v>
      </c>
      <c r="G147" s="25" t="n">
        <v>1.6568966E10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56.0</v>
      </c>
      <c r="F148" s="18" t="n">
        <f>0</f>
        <v>0.0</v>
      </c>
      <c r="G148" s="17" t="n">
        <v>4.85207E7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505.0</v>
      </c>
      <c r="F149" s="22" t="n">
        <f>0</f>
        <v>0.0</v>
      </c>
      <c r="G149" s="21" t="n">
        <v>4.461632E8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77.0</v>
      </c>
      <c r="F150" s="22" t="n">
        <f>0</f>
        <v>0.0</v>
      </c>
      <c r="G150" s="21" t="n">
        <v>6.83502E7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638.0</v>
      </c>
      <c r="F151" s="26" t="n">
        <f>0</f>
        <v>0.0</v>
      </c>
      <c r="G151" s="25" t="n">
        <v>5.630341E8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328.0</v>
      </c>
      <c r="F152" s="18" t="n">
        <f>0</f>
        <v>0.0</v>
      </c>
      <c r="G152" s="17" t="n">
        <v>2.766304E8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207.0</v>
      </c>
      <c r="F153" s="22" t="n">
        <f>0</f>
        <v>0.0</v>
      </c>
      <c r="G153" s="21" t="n">
        <v>1.8012395E8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159.0</v>
      </c>
      <c r="F154" s="22" t="n">
        <f>0</f>
        <v>0.0</v>
      </c>
      <c r="G154" s="21" t="n">
        <v>1.3879755E8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694.0</v>
      </c>
      <c r="F155" s="26" t="n">
        <f>0</f>
        <v>0.0</v>
      </c>
      <c r="G155" s="25" t="n">
        <v>5.955519E8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31.0</v>
      </c>
      <c r="F156" s="18" t="n">
        <f>0</f>
        <v>0.0</v>
      </c>
      <c r="G156" s="17" t="n">
        <v>2.61355E7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335.0</v>
      </c>
      <c r="F157" s="22" t="n">
        <f>0</f>
        <v>0.0</v>
      </c>
      <c r="G157" s="21" t="n">
        <v>2.902343E8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67.0</v>
      </c>
      <c r="F158" s="22" t="n">
        <f>0</f>
        <v>0.0</v>
      </c>
      <c r="G158" s="21" t="n">
        <v>5.83161E7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433.0</v>
      </c>
      <c r="F159" s="26" t="n">
        <f>0</f>
        <v>0.0</v>
      </c>
      <c r="G159" s="25" t="n">
        <v>3.746859E8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189.0</v>
      </c>
      <c r="F168" s="18" t="n">
        <f>0</f>
        <v>0.0</v>
      </c>
      <c r="G168" s="17" t="n">
        <v>3.97431E8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219.0</v>
      </c>
      <c r="F169" s="22" t="n">
        <f>0</f>
        <v>0.0</v>
      </c>
      <c r="G169" s="21" t="n">
        <v>4.635145E8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88.0</v>
      </c>
      <c r="F170" s="22" t="n">
        <f>0</f>
        <v>0.0</v>
      </c>
      <c r="G170" s="21" t="n">
        <v>1.870305E8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496.0</v>
      </c>
      <c r="F171" s="26" t="n">
        <f>0</f>
        <v>0.0</v>
      </c>
      <c r="G171" s="25" t="n">
        <v>1.047976E9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7034000.0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18.0</v>
      </c>
      <c r="F178" s="22" t="n">
        <f>0</f>
        <v>0.0</v>
      </c>
      <c r="G178" s="21" t="n">
        <v>3.2034E7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22.0</v>
      </c>
      <c r="F179" s="26" t="n">
        <f>0</f>
        <v>0.0</v>
      </c>
      <c r="G179" s="25" t="n">
        <v>3.9068E7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1295.0</v>
      </c>
      <c r="F204" s="18" t="n">
        <f>0</f>
        <v>0.0</v>
      </c>
      <c r="G204" s="17" t="n">
        <v>5.2755005E9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242.0</v>
      </c>
      <c r="F205" s="22" t="n">
        <f>0</f>
        <v>0.0</v>
      </c>
      <c r="G205" s="21" t="n">
        <v>9.59511E8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1798.0</v>
      </c>
      <c r="F206" s="22" t="n">
        <f>5</f>
        <v>5.0</v>
      </c>
      <c r="G206" s="21" t="n">
        <v>7.099644E9</v>
      </c>
      <c r="H206" s="22" t="n">
        <f>19917500</f>
        <v>1.99175E7</v>
      </c>
    </row>
    <row r="207" spans="1:8" ht="24.9" customHeight="1">
      <c r="A207" s="57"/>
      <c r="B207" s="59"/>
      <c r="C207" s="39"/>
      <c r="D207" s="24" t="s">
        <v>18</v>
      </c>
      <c r="E207" s="25" t="n">
        <v>3335.0</v>
      </c>
      <c r="F207" s="26" t="n">
        <f>5</f>
        <v>5.0</v>
      </c>
      <c r="G207" s="25" t="n">
        <v>1.33346555E10</v>
      </c>
      <c r="H207" s="26" t="n">
        <f>19917500</f>
        <v>1.99175E7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40.0</v>
      </c>
      <c r="F210" s="22" t="n">
        <f>40</f>
        <v>40.0</v>
      </c>
      <c r="G210" s="21" t="n">
        <v>5.809152E7</v>
      </c>
      <c r="H210" s="22" t="n">
        <f>58091520</f>
        <v>5.809152E7</v>
      </c>
    </row>
    <row r="211" spans="1:8" ht="24.9" customHeight="1">
      <c r="A211" s="57"/>
      <c r="B211" s="59"/>
      <c r="C211" s="39"/>
      <c r="D211" s="24" t="s">
        <v>18</v>
      </c>
      <c r="E211" s="25" t="n">
        <v>40.0</v>
      </c>
      <c r="F211" s="26" t="n">
        <f>40</f>
        <v>40.0</v>
      </c>
      <c r="G211" s="25" t="n">
        <v>5.809152E7</v>
      </c>
      <c r="H211" s="26" t="n">
        <f>58091520</f>
        <v>5.809152E7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6.0</v>
      </c>
      <c r="F225" s="22" t="n">
        <f>6</f>
        <v>6.0</v>
      </c>
      <c r="G225" s="21" t="n">
        <v>4230960.0</v>
      </c>
      <c r="H225" s="22" t="n">
        <f>4230960</f>
        <v>4230960.0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6.0</v>
      </c>
      <c r="F227" s="26" t="n">
        <f>6</f>
        <v>6.0</v>
      </c>
      <c r="G227" s="25" t="n">
        <v>4230960.0</v>
      </c>
      <c r="H227" s="26" t="n">
        <f>4230960</f>
        <v>4230960.0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46185.0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46185.0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2524</f>
        <v>2524.0</v>
      </c>
      <c r="E12" s="35" t="n">
        <f>1503</f>
        <v>1503.0</v>
      </c>
      <c r="F12" s="17" t="n">
        <f>1841</f>
        <v>1841.0</v>
      </c>
      <c r="G12" s="35" t="n">
        <f>231</f>
        <v>231.0</v>
      </c>
      <c r="H12" s="17" t="n">
        <f>4365</f>
        <v>4365.0</v>
      </c>
      <c r="I12" s="35" t="n">
        <f>1734</f>
        <v>1734.0</v>
      </c>
      <c r="J12" s="17" t="n">
        <f>1607218440</f>
        <v>1.60721844E9</v>
      </c>
      <c r="K12" s="35" t="n">
        <f>1221222440</f>
        <v>1.22122244E9</v>
      </c>
      <c r="L12" s="17" t="n">
        <f>1054734180</f>
        <v>1.05473418E9</v>
      </c>
      <c r="M12" s="35" t="n">
        <f>121802180</f>
        <v>1.2180218E8</v>
      </c>
      <c r="N12" s="17" t="n">
        <f>2661952620</f>
        <v>2.66195262E9</v>
      </c>
      <c r="O12" s="35" t="n">
        <f>1343024620</f>
        <v>1.34302462E9</v>
      </c>
    </row>
    <row r="13" spans="1:15" ht="24.9" customHeight="1">
      <c r="A13" s="38"/>
      <c r="B13" s="62"/>
      <c r="C13" s="20" t="s">
        <v>16</v>
      </c>
      <c r="D13" s="21" t="n">
        <f>5502</f>
        <v>5502.0</v>
      </c>
      <c r="E13" s="36" t="n">
        <f>2622</f>
        <v>2622.0</v>
      </c>
      <c r="F13" s="21" t="n">
        <f>4413</f>
        <v>4413.0</v>
      </c>
      <c r="G13" s="36" t="n">
        <f>1467</f>
        <v>1467.0</v>
      </c>
      <c r="H13" s="21" t="n">
        <f>9915</f>
        <v>9915.0</v>
      </c>
      <c r="I13" s="36" t="n">
        <f>4089</f>
        <v>4089.0</v>
      </c>
      <c r="J13" s="21" t="n">
        <f>4762930170</f>
        <v>4.76293017E9</v>
      </c>
      <c r="K13" s="36" t="n">
        <f>3177954170</f>
        <v>3.17795417E9</v>
      </c>
      <c r="L13" s="21" t="n">
        <f>3583132390</f>
        <v>3.58313239E9</v>
      </c>
      <c r="M13" s="36" t="n">
        <f>1698393390</f>
        <v>1.69839339E9</v>
      </c>
      <c r="N13" s="21" t="n">
        <f>8346062560</f>
        <v>8.34606256E9</v>
      </c>
      <c r="O13" s="36" t="n">
        <f>4876347560</f>
        <v>4.87634756E9</v>
      </c>
    </row>
    <row r="14" spans="1:15" ht="24.9" customHeight="1">
      <c r="A14" s="38"/>
      <c r="B14" s="62"/>
      <c r="C14" s="20" t="s">
        <v>17</v>
      </c>
      <c r="D14" s="21" t="n">
        <f>18650</f>
        <v>18650.0</v>
      </c>
      <c r="E14" s="36" t="n">
        <f>13407</f>
        <v>13407.0</v>
      </c>
      <c r="F14" s="21" t="n">
        <f>14564</f>
        <v>14564.0</v>
      </c>
      <c r="G14" s="36" t="n">
        <f>11656</f>
        <v>11656.0</v>
      </c>
      <c r="H14" s="21" t="n">
        <f>33214</f>
        <v>33214.0</v>
      </c>
      <c r="I14" s="36" t="n">
        <f>25063</f>
        <v>25063.0</v>
      </c>
      <c r="J14" s="21" t="n">
        <f>22609740836</f>
        <v>2.2609740836E10</v>
      </c>
      <c r="K14" s="36" t="n">
        <f>19169010836</f>
        <v>1.9169010836E10</v>
      </c>
      <c r="L14" s="21" t="n">
        <f>17641810715</f>
        <v>1.7641810715E10</v>
      </c>
      <c r="M14" s="36" t="n">
        <f>16063690715</f>
        <v>1.6063690715E10</v>
      </c>
      <c r="N14" s="21" t="n">
        <f>40251551551</f>
        <v>4.0251551551E10</v>
      </c>
      <c r="O14" s="36" t="n">
        <f>35232701551</f>
        <v>3.5232701551E10</v>
      </c>
    </row>
    <row r="15" spans="1:15" ht="24.9" customHeight="1">
      <c r="A15" s="38"/>
      <c r="B15" s="62"/>
      <c r="C15" s="24" t="s">
        <v>18</v>
      </c>
      <c r="D15" s="25" t="n">
        <f>26676</f>
        <v>26676.0</v>
      </c>
      <c r="E15" s="37" t="n">
        <f>17532</f>
        <v>17532.0</v>
      </c>
      <c r="F15" s="25" t="n">
        <f>20818</f>
        <v>20818.0</v>
      </c>
      <c r="G15" s="37" t="n">
        <f>13354</f>
        <v>13354.0</v>
      </c>
      <c r="H15" s="25" t="n">
        <f>47494</f>
        <v>47494.0</v>
      </c>
      <c r="I15" s="37" t="n">
        <f>30886</f>
        <v>30886.0</v>
      </c>
      <c r="J15" s="25" t="n">
        <f>28979889446</f>
        <v>2.8979889446E10</v>
      </c>
      <c r="K15" s="37" t="n">
        <f>23568187446</f>
        <v>2.3568187446E10</v>
      </c>
      <c r="L15" s="25" t="n">
        <f>22279677285</f>
        <v>2.2279677285E10</v>
      </c>
      <c r="M15" s="37" t="n">
        <f>17883886285</f>
        <v>1.7883886285E10</v>
      </c>
      <c r="N15" s="25" t="n">
        <f>51259566731</f>
        <v>5.1259566731E10</v>
      </c>
      <c r="O15" s="37" t="n">
        <f>41452073731</f>
        <v>4.1452073731E10</v>
      </c>
    </row>
    <row r="16" spans="1:15" ht="24.9" customHeight="1">
      <c r="A16" s="38"/>
      <c r="B16" s="61" t="s">
        <v>105</v>
      </c>
      <c r="C16" s="16" t="s">
        <v>15</v>
      </c>
      <c r="D16" s="17" t="n">
        <f>8147</f>
        <v>8147.0</v>
      </c>
      <c r="E16" s="35" t="n">
        <f>200</f>
        <v>200.0</v>
      </c>
      <c r="F16" s="17" t="n">
        <f>7978</f>
        <v>7978.0</v>
      </c>
      <c r="G16" s="35" t="n">
        <f>220</f>
        <v>220.0</v>
      </c>
      <c r="H16" s="17" t="n">
        <f>16125</f>
        <v>16125.0</v>
      </c>
      <c r="I16" s="35" t="n">
        <f>420</f>
        <v>420.0</v>
      </c>
      <c r="J16" s="17" t="n">
        <f>1240395100</f>
        <v>1.2403951E9</v>
      </c>
      <c r="K16" s="35" t="n">
        <f>8800600</f>
        <v>8800600.0</v>
      </c>
      <c r="L16" s="17" t="n">
        <f>1319538440</f>
        <v>1.31953844E9</v>
      </c>
      <c r="M16" s="35" t="n">
        <f>12881040</f>
        <v>1.288104E7</v>
      </c>
      <c r="N16" s="17" t="n">
        <f>2559933540</f>
        <v>2.55993354E9</v>
      </c>
      <c r="O16" s="35" t="n">
        <f>21681640</f>
        <v>2.168164E7</v>
      </c>
    </row>
    <row r="17" spans="1:15" ht="24.9" customHeight="1">
      <c r="A17" s="38"/>
      <c r="B17" s="62"/>
      <c r="C17" s="20" t="s">
        <v>16</v>
      </c>
      <c r="D17" s="21" t="n">
        <f>12897</f>
        <v>12897.0</v>
      </c>
      <c r="E17" s="36" t="n">
        <f>600</f>
        <v>600.0</v>
      </c>
      <c r="F17" s="21" t="n">
        <f>5661</f>
        <v>5661.0</v>
      </c>
      <c r="G17" s="36" t="n">
        <f>320</f>
        <v>320.0</v>
      </c>
      <c r="H17" s="21" t="n">
        <f>18558</f>
        <v>18558.0</v>
      </c>
      <c r="I17" s="36" t="n">
        <f>920</f>
        <v>920.0</v>
      </c>
      <c r="J17" s="21" t="n">
        <f>462307190</f>
        <v>4.6230719E8</v>
      </c>
      <c r="K17" s="36" t="n">
        <f>8921790</f>
        <v>8921790.0</v>
      </c>
      <c r="L17" s="21" t="n">
        <f>402012320</f>
        <v>4.0201232E8</v>
      </c>
      <c r="M17" s="36" t="n">
        <f>9995020</f>
        <v>9995020.0</v>
      </c>
      <c r="N17" s="21" t="n">
        <f>864319510</f>
        <v>8.6431951E8</v>
      </c>
      <c r="O17" s="36" t="n">
        <f>18916810</f>
        <v>1.891681E7</v>
      </c>
    </row>
    <row r="18" spans="1:15" ht="24.9" customHeight="1">
      <c r="A18" s="38"/>
      <c r="B18" s="62"/>
      <c r="C18" s="20" t="s">
        <v>17</v>
      </c>
      <c r="D18" s="21" t="n">
        <f>9317</f>
        <v>9317.0</v>
      </c>
      <c r="E18" s="36" t="n">
        <f>600</f>
        <v>600.0</v>
      </c>
      <c r="F18" s="21" t="n">
        <f>5472</f>
        <v>5472.0</v>
      </c>
      <c r="G18" s="36" t="n">
        <f>250</f>
        <v>250.0</v>
      </c>
      <c r="H18" s="21" t="n">
        <f>14789</f>
        <v>14789.0</v>
      </c>
      <c r="I18" s="36" t="n">
        <f>850</f>
        <v>850.0</v>
      </c>
      <c r="J18" s="21" t="n">
        <f>567359350</f>
        <v>5.6735935E8</v>
      </c>
      <c r="K18" s="36" t="n">
        <f>11297750</f>
        <v>1.129775E7</v>
      </c>
      <c r="L18" s="21" t="n">
        <f>605372450</f>
        <v>6.0537245E8</v>
      </c>
      <c r="M18" s="36" t="n">
        <f>5225150</f>
        <v>5225150.0</v>
      </c>
      <c r="N18" s="21" t="n">
        <f>1172731800</f>
        <v>1.1727318E9</v>
      </c>
      <c r="O18" s="36" t="n">
        <f>16522900</f>
        <v>1.65229E7</v>
      </c>
    </row>
    <row r="19" spans="1:15" ht="24.9" customHeight="1">
      <c r="A19" s="38"/>
      <c r="B19" s="62"/>
      <c r="C19" s="24" t="s">
        <v>18</v>
      </c>
      <c r="D19" s="25" t="n">
        <f>30361</f>
        <v>30361.0</v>
      </c>
      <c r="E19" s="37" t="n">
        <f>1400</f>
        <v>1400.0</v>
      </c>
      <c r="F19" s="25" t="n">
        <f>19111</f>
        <v>19111.0</v>
      </c>
      <c r="G19" s="37" t="n">
        <f>790</f>
        <v>790.0</v>
      </c>
      <c r="H19" s="25" t="n">
        <f>49472</f>
        <v>49472.0</v>
      </c>
      <c r="I19" s="37" t="n">
        <f>2190</f>
        <v>2190.0</v>
      </c>
      <c r="J19" s="25" t="n">
        <f>2270061640</f>
        <v>2.27006164E9</v>
      </c>
      <c r="K19" s="37" t="n">
        <f>29020140</f>
        <v>2.902014E7</v>
      </c>
      <c r="L19" s="25" t="n">
        <f>2326923210</f>
        <v>2.32692321E9</v>
      </c>
      <c r="M19" s="37" t="n">
        <f>28101210</f>
        <v>2.810121E7</v>
      </c>
      <c r="N19" s="25" t="n">
        <f>4596984850</f>
        <v>4.59698485E9</v>
      </c>
      <c r="O19" s="37" t="n">
        <f>57121350</f>
        <v>5.712135E7</v>
      </c>
    </row>
    <row r="20" spans="1:15" ht="24.9" customHeight="1">
      <c r="A20" s="38"/>
      <c r="B20" s="61" t="s">
        <v>106</v>
      </c>
      <c r="C20" s="16" t="s">
        <v>15</v>
      </c>
      <c r="D20" s="17" t="n">
        <f>86</f>
        <v>86.0</v>
      </c>
      <c r="E20" s="35" t="n">
        <f>86</f>
        <v>86.0</v>
      </c>
      <c r="F20" s="17" t="n">
        <f>0</f>
        <v>0.0</v>
      </c>
      <c r="G20" s="35" t="n">
        <f>0</f>
        <v>0.0</v>
      </c>
      <c r="H20" s="17" t="n">
        <f>86</f>
        <v>86.0</v>
      </c>
      <c r="I20" s="35" t="n">
        <f>86</f>
        <v>86.0</v>
      </c>
      <c r="J20" s="17" t="n">
        <f>72063700</f>
        <v>7.20637E7</v>
      </c>
      <c r="K20" s="35" t="n">
        <f>72063700</f>
        <v>7.20637E7</v>
      </c>
      <c r="L20" s="17" t="n">
        <f>0</f>
        <v>0.0</v>
      </c>
      <c r="M20" s="35" t="n">
        <f>0</f>
        <v>0.0</v>
      </c>
      <c r="N20" s="17" t="n">
        <f>72063700</f>
        <v>7.20637E7</v>
      </c>
      <c r="O20" s="35" t="n">
        <f>72063700</f>
        <v>7.20637E7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5173</f>
        <v>5173.0</v>
      </c>
      <c r="E22" s="36" t="n">
        <f>5173</f>
        <v>5173.0</v>
      </c>
      <c r="F22" s="21" t="n">
        <f>0</f>
        <v>0.0</v>
      </c>
      <c r="G22" s="36" t="n">
        <f>0</f>
        <v>0.0</v>
      </c>
      <c r="H22" s="21" t="n">
        <f>5173</f>
        <v>5173.0</v>
      </c>
      <c r="I22" s="36" t="n">
        <f>5173</f>
        <v>5173.0</v>
      </c>
      <c r="J22" s="21" t="n">
        <f>3891915000</f>
        <v>3.891915E9</v>
      </c>
      <c r="K22" s="36" t="n">
        <f>3891915000</f>
        <v>3.891915E9</v>
      </c>
      <c r="L22" s="21" t="n">
        <f>0</f>
        <v>0.0</v>
      </c>
      <c r="M22" s="36" t="n">
        <f>0</f>
        <v>0.0</v>
      </c>
      <c r="N22" s="21" t="n">
        <f>3891915000</f>
        <v>3.891915E9</v>
      </c>
      <c r="O22" s="36" t="n">
        <f>3891915000</f>
        <v>3.891915E9</v>
      </c>
    </row>
    <row r="23" spans="1:15" ht="24.9" customHeight="1">
      <c r="A23" s="38"/>
      <c r="B23" s="62"/>
      <c r="C23" s="24" t="s">
        <v>18</v>
      </c>
      <c r="D23" s="25" t="n">
        <f>5259</f>
        <v>5259.0</v>
      </c>
      <c r="E23" s="37" t="n">
        <f>5259</f>
        <v>5259.0</v>
      </c>
      <c r="F23" s="25" t="n">
        <f>0</f>
        <v>0.0</v>
      </c>
      <c r="G23" s="37" t="n">
        <f>0</f>
        <v>0.0</v>
      </c>
      <c r="H23" s="25" t="n">
        <f>5259</f>
        <v>5259.0</v>
      </c>
      <c r="I23" s="37" t="n">
        <f>5259</f>
        <v>5259.0</v>
      </c>
      <c r="J23" s="25" t="n">
        <f>3963978700</f>
        <v>3.9639787E9</v>
      </c>
      <c r="K23" s="37" t="n">
        <f>3963978700</f>
        <v>3.9639787E9</v>
      </c>
      <c r="L23" s="25" t="n">
        <f>0</f>
        <v>0.0</v>
      </c>
      <c r="M23" s="37" t="n">
        <f>0</f>
        <v>0.0</v>
      </c>
      <c r="N23" s="25" t="n">
        <f>3963978700</f>
        <v>3.9639787E9</v>
      </c>
      <c r="O23" s="37" t="n">
        <f>3963978700</f>
        <v>3.9639787E9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18</f>
        <v>18.0</v>
      </c>
      <c r="G36" s="18" t="n">
        <f>0</f>
        <v>0.0</v>
      </c>
      <c r="H36" s="17" t="n">
        <f>18</f>
        <v>18.0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3270000</f>
        <v>3270000.0</v>
      </c>
      <c r="M36" s="18" t="n">
        <f>0</f>
        <v>0.0</v>
      </c>
      <c r="N36" s="17" t="n">
        <f>3270000</f>
        <v>3270000.0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65</f>
        <v>65.0</v>
      </c>
      <c r="G37" s="22" t="n">
        <f>0</f>
        <v>0.0</v>
      </c>
      <c r="H37" s="21" t="n">
        <f>65</f>
        <v>65.0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12080000</f>
        <v>1.208E7</v>
      </c>
      <c r="M37" s="22" t="n">
        <f>0</f>
        <v>0.0</v>
      </c>
      <c r="N37" s="21" t="n">
        <f>12080000</f>
        <v>1.208E7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30</f>
        <v>30.0</v>
      </c>
      <c r="E38" s="36" t="n">
        <f>25</f>
        <v>25.0</v>
      </c>
      <c r="F38" s="21" t="n">
        <f>2</f>
        <v>2.0</v>
      </c>
      <c r="G38" s="36" t="n">
        <f>0</f>
        <v>0.0</v>
      </c>
      <c r="H38" s="21" t="n">
        <f>32</f>
        <v>32.0</v>
      </c>
      <c r="I38" s="36" t="n">
        <f>25</f>
        <v>25.0</v>
      </c>
      <c r="J38" s="21" t="n">
        <f>3150000</f>
        <v>3150000.0</v>
      </c>
      <c r="K38" s="36" t="n">
        <f>2000000</f>
        <v>2000000.0</v>
      </c>
      <c r="L38" s="21" t="n">
        <f>200000</f>
        <v>200000.0</v>
      </c>
      <c r="M38" s="36" t="n">
        <f>0</f>
        <v>0.0</v>
      </c>
      <c r="N38" s="21" t="n">
        <f>3350000</f>
        <v>3350000.0</v>
      </c>
      <c r="O38" s="36" t="n">
        <f>2000000</f>
        <v>2000000.0</v>
      </c>
    </row>
    <row r="39" spans="1:15" ht="24.9" customHeight="1">
      <c r="A39" s="38"/>
      <c r="B39" s="62"/>
      <c r="C39" s="24" t="s">
        <v>18</v>
      </c>
      <c r="D39" s="25" t="n">
        <f>30</f>
        <v>30.0</v>
      </c>
      <c r="E39" s="37" t="n">
        <f>25</f>
        <v>25.0</v>
      </c>
      <c r="F39" s="25" t="n">
        <f>85</f>
        <v>85.0</v>
      </c>
      <c r="G39" s="37" t="n">
        <f>0</f>
        <v>0.0</v>
      </c>
      <c r="H39" s="25" t="n">
        <f>115</f>
        <v>115.0</v>
      </c>
      <c r="I39" s="37" t="n">
        <f>25</f>
        <v>25.0</v>
      </c>
      <c r="J39" s="25" t="n">
        <f>3150000</f>
        <v>3150000.0</v>
      </c>
      <c r="K39" s="37" t="n">
        <f>2000000</f>
        <v>2000000.0</v>
      </c>
      <c r="L39" s="25" t="n">
        <f>15550000</f>
        <v>1.555E7</v>
      </c>
      <c r="M39" s="37" t="n">
        <f>0</f>
        <v>0.0</v>
      </c>
      <c r="N39" s="25" t="n">
        <f>18700000</f>
        <v>1.87E7</v>
      </c>
      <c r="O39" s="37" t="n">
        <f>2000000</f>
        <v>2000000.0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1738</f>
        <v>1738.0</v>
      </c>
      <c r="E41" s="36" t="n">
        <f>0</f>
        <v>0.0</v>
      </c>
      <c r="F41" s="21" t="n">
        <f>3489</f>
        <v>3489.0</v>
      </c>
      <c r="G41" s="36" t="n">
        <f>0</f>
        <v>0.0</v>
      </c>
      <c r="H41" s="21" t="n">
        <f>5227</f>
        <v>5227.0</v>
      </c>
      <c r="I41" s="36" t="n">
        <f>0</f>
        <v>0.0</v>
      </c>
      <c r="J41" s="21" t="n">
        <f>6791976</f>
        <v>6791976.0</v>
      </c>
      <c r="K41" s="36" t="n">
        <f>0</f>
        <v>0.0</v>
      </c>
      <c r="L41" s="21" t="n">
        <f>24526080</f>
        <v>2.452608E7</v>
      </c>
      <c r="M41" s="36" t="n">
        <f>0</f>
        <v>0.0</v>
      </c>
      <c r="N41" s="21" t="n">
        <f>31318056</f>
        <v>3.1318056E7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8124</f>
        <v>8124.0</v>
      </c>
      <c r="E42" s="36" t="n">
        <f>3600</f>
        <v>3600.0</v>
      </c>
      <c r="F42" s="21" t="n">
        <f>24080</f>
        <v>24080.0</v>
      </c>
      <c r="G42" s="36" t="n">
        <f>18130</f>
        <v>18130.0</v>
      </c>
      <c r="H42" s="21" t="n">
        <f>32204</f>
        <v>32204.0</v>
      </c>
      <c r="I42" s="36" t="n">
        <f>21730</f>
        <v>21730.0</v>
      </c>
      <c r="J42" s="21" t="n">
        <f>230877222</f>
        <v>2.30877222E8</v>
      </c>
      <c r="K42" s="36" t="n">
        <f>165210000</f>
        <v>1.6521E8</v>
      </c>
      <c r="L42" s="21" t="n">
        <f>503040222</f>
        <v>5.03040222E8</v>
      </c>
      <c r="M42" s="36" t="n">
        <f>406155000</f>
        <v>4.06155E8</v>
      </c>
      <c r="N42" s="21" t="n">
        <f>733917444</f>
        <v>7.33917444E8</v>
      </c>
      <c r="O42" s="36" t="n">
        <f>571365000</f>
        <v>5.71365E8</v>
      </c>
    </row>
    <row r="43" spans="1:15" ht="24.9" customHeight="1">
      <c r="A43" s="38"/>
      <c r="B43" s="62"/>
      <c r="C43" s="24" t="s">
        <v>18</v>
      </c>
      <c r="D43" s="25" t="n">
        <f>9862</f>
        <v>9862.0</v>
      </c>
      <c r="E43" s="37" t="n">
        <f>3600</f>
        <v>3600.0</v>
      </c>
      <c r="F43" s="25" t="n">
        <f>27569</f>
        <v>27569.0</v>
      </c>
      <c r="G43" s="37" t="n">
        <f>18130</f>
        <v>18130.0</v>
      </c>
      <c r="H43" s="25" t="n">
        <f>37431</f>
        <v>37431.0</v>
      </c>
      <c r="I43" s="37" t="n">
        <f>21730</f>
        <v>21730.0</v>
      </c>
      <c r="J43" s="25" t="n">
        <f>237669198</f>
        <v>2.37669198E8</v>
      </c>
      <c r="K43" s="37" t="n">
        <f>165210000</f>
        <v>1.6521E8</v>
      </c>
      <c r="L43" s="25" t="n">
        <f>527566302</f>
        <v>5.27566302E8</v>
      </c>
      <c r="M43" s="37" t="n">
        <f>406155000</f>
        <v>4.06155E8</v>
      </c>
      <c r="N43" s="25" t="n">
        <f>765235500</f>
        <v>7.652355E8</v>
      </c>
      <c r="O43" s="37" t="n">
        <f>571365000</f>
        <v>5.71365E8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