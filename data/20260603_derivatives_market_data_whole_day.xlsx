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<sst xmlns="http://schemas.openxmlformats.org/spreadsheetml/2006/main" count="528" uniqueCount="129">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</sst>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DATE(2026,06,03)</f>
        <v>46176.0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DATE(2026,06,03)</f>
        <v>46176.0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533146.0</f>
        <v>533146.0</v>
      </c>
      <c r="E12" s="18" t="n">
        <f>25921.0</f>
        <v>25921.0</v>
      </c>
      <c r="F12" s="19" t="n">
        <f>1.0</f>
        <v>1.0</v>
      </c>
      <c r="G12" s="17" t="n">
        <f>5907417619875.0</f>
        <v>5.907417619875E12</v>
      </c>
      <c r="H12" s="18" t="n">
        <f>267924231300.0</f>
        <v>2.679242313E11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535918.0</f>
        <v>535918.0</v>
      </c>
      <c r="E13" s="22" t="n">
        <f>64603.0</f>
        <v>64603.0</v>
      </c>
      <c r="F13" s="23" t="n">
        <f>1.0</f>
        <v>1.0</v>
      </c>
      <c r="G13" s="21" t="n">
        <f>7005165036200.0</f>
        <v>7.0051650362E12</v>
      </c>
      <c r="H13" s="22" t="n">
        <f>904774627000.0</f>
        <v>9.04774627E11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523556.0</f>
        <v>523556.0</v>
      </c>
      <c r="E14" s="22" t="n">
        <f>53215.0</f>
        <v>53215.0</v>
      </c>
      <c r="F14" s="23" t="n">
        <f>1.0</f>
        <v>1.0</v>
      </c>
      <c r="G14" s="21" t="n">
        <f>8224564739990.0</f>
        <v>8.22456473999E12</v>
      </c>
      <c r="H14" s="22" t="n">
        <f>1742257519190.0</f>
        <v>1.74225751919E12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1592620.0</f>
        <v>1592620.0</v>
      </c>
      <c r="E15" s="26" t="n">
        <f>143739.0</f>
        <v>143739.0</v>
      </c>
      <c r="F15" s="27" t="n">
        <f>1.0</f>
        <v>1.0</v>
      </c>
      <c r="G15" s="25" t="n">
        <f>21137147396065.0</f>
        <v>2.1137147396065E13</v>
      </c>
      <c r="H15" s="26" t="n">
        <f>2914956377490.0</f>
        <v>2.91495637749E12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28104.0</f>
        <v>28104.0</v>
      </c>
      <c r="E16" s="18" t="n">
        <f>478.0</f>
        <v>478.0</v>
      </c>
      <c r="F16" s="19" t="n">
        <f>0.053</f>
        <v>0.053</v>
      </c>
      <c r="G16" s="17" t="n">
        <f>3180172621875.0</f>
        <v>3.180172621875E12</v>
      </c>
      <c r="H16" s="18" t="n">
        <f>61854300000.0</f>
        <v>6.18543E10</v>
      </c>
      <c r="I16" s="19" t="n">
        <f>0.538</f>
        <v>0.538</v>
      </c>
    </row>
    <row r="17" spans="1:9" ht="24.9" customHeight="1">
      <c r="A17" s="41"/>
      <c r="B17" s="39"/>
      <c r="C17" s="20" t="s">
        <v>16</v>
      </c>
      <c r="D17" s="21" t="n">
        <f>65238.0</f>
        <v>65238.0</v>
      </c>
      <c r="E17" s="22" t="n">
        <f>40643.0</f>
        <v>40643.0</v>
      </c>
      <c r="F17" s="23" t="n">
        <f>0.122</f>
        <v>0.122</v>
      </c>
      <c r="G17" s="21" t="n">
        <f>3582798103000.0</f>
        <v>3.582798103E12</v>
      </c>
      <c r="H17" s="22" t="n">
        <f>694694530000.0</f>
        <v>6.9469453E11</v>
      </c>
      <c r="I17" s="23" t="n">
        <f>0.511</f>
        <v>0.511</v>
      </c>
    </row>
    <row r="18" spans="1:9" ht="24.9" customHeight="1">
      <c r="A18" s="41"/>
      <c r="B18" s="39"/>
      <c r="C18" s="20" t="s">
        <v>17</v>
      </c>
      <c r="D18" s="21" t="n">
        <f>25351.0</f>
        <v>25351.0</v>
      </c>
      <c r="E18" s="22" t="n">
        <f>2495.0</f>
        <v>2495.0</v>
      </c>
      <c r="F18" s="23" t="n">
        <f>0.048</f>
        <v>0.048</v>
      </c>
      <c r="G18" s="21" t="n">
        <f>3120216091500.0</f>
        <v>3.1202160915E12</v>
      </c>
      <c r="H18" s="22" t="n">
        <f>260155351000.0</f>
        <v>2.60155351E11</v>
      </c>
      <c r="I18" s="23" t="n">
        <f>0.379</f>
        <v>0.379</v>
      </c>
    </row>
    <row r="19" spans="1:9" ht="24.9" customHeight="1">
      <c r="A19" s="41"/>
      <c r="B19" s="39"/>
      <c r="C19" s="24" t="s">
        <v>18</v>
      </c>
      <c r="D19" s="25" t="n">
        <f>118693.0</f>
        <v>118693.0</v>
      </c>
      <c r="E19" s="26" t="n">
        <f>43616.0</f>
        <v>43616.0</v>
      </c>
      <c r="F19" s="27" t="n">
        <f>0.075</f>
        <v>0.075</v>
      </c>
      <c r="G19" s="25" t="n">
        <f>9883186816375.0</f>
        <v>9.883186816375E12</v>
      </c>
      <c r="H19" s="26" t="n">
        <f>1016704181000.0</f>
        <v>1.016704181E12</v>
      </c>
      <c r="I19" s="27" t="n">
        <f>0.468</f>
        <v>0.468</v>
      </c>
    </row>
    <row r="20" spans="1:9" ht="24.9" customHeight="1">
      <c r="A20" s="41"/>
      <c r="B20" s="39" t="s">
        <v>21</v>
      </c>
      <c r="C20" s="16" t="s">
        <v>15</v>
      </c>
      <c r="D20" s="17" t="n">
        <f>494303.0</f>
        <v>494303.0</v>
      </c>
      <c r="E20" s="18" t="n">
        <f>25293.0</f>
        <v>25293.0</v>
      </c>
      <c r="F20" s="19" t="n">
        <f>0.927</f>
        <v>0.927</v>
      </c>
      <c r="G20" s="17" t="n">
        <f>2619297858600.0</f>
        <v>2.6192978586E12</v>
      </c>
      <c r="H20" s="18" t="n">
        <f>205947687300.0</f>
        <v>2.059476873E11</v>
      </c>
      <c r="I20" s="19" t="n">
        <f>0.443</f>
        <v>0.443</v>
      </c>
    </row>
    <row r="21" spans="1:9" ht="24.9" customHeight="1">
      <c r="A21" s="41"/>
      <c r="B21" s="39"/>
      <c r="C21" s="20" t="s">
        <v>16</v>
      </c>
      <c r="D21" s="21" t="n">
        <f>464261.0</f>
        <v>464261.0</v>
      </c>
      <c r="E21" s="22" t="n">
        <f>23960.0</f>
        <v>23960.0</v>
      </c>
      <c r="F21" s="23" t="n">
        <f>0.866</f>
        <v>0.866</v>
      </c>
      <c r="G21" s="21" t="n">
        <f>3363838410150.0</f>
        <v>3.36383841015E12</v>
      </c>
      <c r="H21" s="22" t="n">
        <f>210080097000.0</f>
        <v>2.10080097E11</v>
      </c>
      <c r="I21" s="23" t="n">
        <f>0.48</f>
        <v>0.48</v>
      </c>
    </row>
    <row r="22" spans="1:9" ht="24.9" customHeight="1">
      <c r="A22" s="41"/>
      <c r="B22" s="39"/>
      <c r="C22" s="20" t="s">
        <v>17</v>
      </c>
      <c r="D22" s="21" t="n">
        <f>489122.0</f>
        <v>489122.0</v>
      </c>
      <c r="E22" s="22" t="n">
        <f>50719.0</f>
        <v>50719.0</v>
      </c>
      <c r="F22" s="23" t="n">
        <f>0.934</f>
        <v>0.934</v>
      </c>
      <c r="G22" s="21" t="n">
        <f>5037572159190.0</f>
        <v>5.03757215919E12</v>
      </c>
      <c r="H22" s="22" t="n">
        <f>1482097598190.0</f>
        <v>1.48209759819E12</v>
      </c>
      <c r="I22" s="23" t="n">
        <f>0.613</f>
        <v>0.613</v>
      </c>
    </row>
    <row r="23" spans="1:9" ht="24.9" customHeight="1">
      <c r="A23" s="41"/>
      <c r="B23" s="39"/>
      <c r="C23" s="24" t="s">
        <v>18</v>
      </c>
      <c r="D23" s="25" t="n">
        <f>1447686.0</f>
        <v>1447686.0</v>
      </c>
      <c r="E23" s="26" t="n">
        <f>99972.0</f>
        <v>99972.0</v>
      </c>
      <c r="F23" s="27" t="n">
        <f>0.909</f>
        <v>0.909</v>
      </c>
      <c r="G23" s="25" t="n">
        <f>11020708427940.0</f>
        <v>1.102070842794E13</v>
      </c>
      <c r="H23" s="26" t="n">
        <f>1898125382490.0</f>
        <v>1.89812538249E12</v>
      </c>
      <c r="I23" s="27" t="n">
        <f>0.521</f>
        <v>0.521</v>
      </c>
    </row>
    <row r="24" spans="1:9" ht="24.9" customHeight="1">
      <c r="A24" s="41"/>
      <c r="B24" s="39" t="s">
        <v>22</v>
      </c>
      <c r="C24" s="16" t="s">
        <v>15</v>
      </c>
      <c r="D24" s="17" t="n">
        <f>10075.0</f>
        <v>10075.0</v>
      </c>
      <c r="E24" s="18" t="n">
        <f>0.0</f>
        <v>0.0</v>
      </c>
      <c r="F24" s="19" t="n">
        <f>0.019</f>
        <v>0.019</v>
      </c>
      <c r="G24" s="17" t="n">
        <f>105695354400.0</f>
        <v>1.056953544E11</v>
      </c>
      <c r="H24" s="18" t="n">
        <f>0.0</f>
        <v>0.0</v>
      </c>
      <c r="I24" s="19" t="n">
        <f>0.018</f>
        <v>0.018</v>
      </c>
    </row>
    <row r="25" spans="1:9" ht="24.9" customHeight="1">
      <c r="A25" s="41"/>
      <c r="B25" s="39"/>
      <c r="C25" s="20" t="s">
        <v>16</v>
      </c>
      <c r="D25" s="21" t="n">
        <f>6182.0</f>
        <v>6182.0</v>
      </c>
      <c r="E25" s="22" t="n">
        <f>0.0</f>
        <v>0.0</v>
      </c>
      <c r="F25" s="23" t="n">
        <f>0.012</f>
        <v>0.012</v>
      </c>
      <c r="G25" s="21" t="n">
        <f>57527960550.0</f>
        <v>5.752796055E10</v>
      </c>
      <c r="H25" s="22" t="n">
        <f>0.0</f>
        <v>0.0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6840.0</f>
        <v>6840.0</v>
      </c>
      <c r="E26" s="22" t="n">
        <f>0.0</f>
        <v>0.0</v>
      </c>
      <c r="F26" s="23" t="n">
        <f>0.013</f>
        <v>0.013</v>
      </c>
      <c r="G26" s="21" t="n">
        <f>57230348300.0</f>
        <v>5.72303483E10</v>
      </c>
      <c r="H26" s="22" t="n">
        <f>0.0</f>
        <v>0.0</v>
      </c>
      <c r="I26" s="23" t="n">
        <f>0.007</f>
        <v>0.007</v>
      </c>
    </row>
    <row r="27" spans="1:9" ht="24.9" customHeight="1">
      <c r="A27" s="42"/>
      <c r="B27" s="39"/>
      <c r="C27" s="24" t="s">
        <v>18</v>
      </c>
      <c r="D27" s="25" t="n">
        <f>23097.0</f>
        <v>23097.0</v>
      </c>
      <c r="E27" s="26" t="n">
        <f>0.0</f>
        <v>0.0</v>
      </c>
      <c r="F27" s="27" t="n">
        <f>0.015</f>
        <v>0.015</v>
      </c>
      <c r="G27" s="25" t="n">
        <f>220453663250.0</f>
        <v>2.2045366325E11</v>
      </c>
      <c r="H27" s="26" t="n">
        <f>0.0</f>
        <v>0.0</v>
      </c>
      <c r="I27" s="27" t="n">
        <f>0.01</f>
        <v>0.01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664.0</f>
        <v>664.0</v>
      </c>
      <c r="E28" s="18" t="n">
        <f>150.0</f>
        <v>150.0</v>
      </c>
      <c r="F28" s="19" t="n">
        <f>0.001</f>
        <v>0.001</v>
      </c>
      <c r="G28" s="17" t="n">
        <f>2251785000.0</f>
        <v>2.251785E9</v>
      </c>
      <c r="H28" s="18" t="n">
        <f>122244000.0</f>
        <v>1.22244E8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237.0</f>
        <v>237.0</v>
      </c>
      <c r="E29" s="22" t="n">
        <f>0.0</f>
        <v>0.0</v>
      </c>
      <c r="F29" s="23" t="n">
        <f>0.0</f>
        <v>0.0</v>
      </c>
      <c r="G29" s="21" t="n">
        <f>1000562500.0</f>
        <v>1.0005625E9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2243.0</f>
        <v>2243.0</v>
      </c>
      <c r="E30" s="22" t="n">
        <f>1.0</f>
        <v>1.0</v>
      </c>
      <c r="F30" s="23" t="n">
        <f>0.004</f>
        <v>0.004</v>
      </c>
      <c r="G30" s="21" t="n">
        <f>9546141000.0</f>
        <v>9.546141E9</v>
      </c>
      <c r="H30" s="22" t="n">
        <f>4570000.0</f>
        <v>4570000.0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3144.0</f>
        <v>3144.0</v>
      </c>
      <c r="E31" s="26" t="n">
        <f>151.0</f>
        <v>151.0</v>
      </c>
      <c r="F31" s="27" t="n">
        <f>0.002</f>
        <v>0.002</v>
      </c>
      <c r="G31" s="25" t="n">
        <f>12798488500.0</f>
        <v>1.27984885E10</v>
      </c>
      <c r="H31" s="26" t="n">
        <f>126814000.0</f>
        <v>1.26814E8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46176.0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46176.0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20799</f>
        <v>20799.0</v>
      </c>
      <c r="E11" s="18" t="n">
        <f>4635</f>
        <v>4635.0</v>
      </c>
      <c r="F11" s="19" t="n">
        <f>1</f>
        <v>1.0</v>
      </c>
      <c r="G11" s="17" t="n">
        <f>6540545260</f>
        <v>6.54054526E9</v>
      </c>
      <c r="H11" s="18" t="n">
        <f>5297988260</f>
        <v>5.29798826E9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42946</f>
        <v>42946.0</v>
      </c>
      <c r="E12" s="22" t="n">
        <f>8223</f>
        <v>8223.0</v>
      </c>
      <c r="F12" s="23" t="n">
        <f>1</f>
        <v>1.0</v>
      </c>
      <c r="G12" s="21" t="n">
        <f>9865372706</f>
        <v>9.865372706E9</v>
      </c>
      <c r="H12" s="22" t="n">
        <f>6376268120</f>
        <v>6.37626812E9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69210</f>
        <v>69210.0</v>
      </c>
      <c r="E13" s="22" t="n">
        <f>30149</f>
        <v>30149.0</v>
      </c>
      <c r="F13" s="23" t="n">
        <f>1</f>
        <v>1.0</v>
      </c>
      <c r="G13" s="21" t="n">
        <f>45572255524</f>
        <v>4.5572255524E10</v>
      </c>
      <c r="H13" s="22" t="n">
        <f>39533639738</f>
        <v>3.9533639738E10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132955</f>
        <v>132955.0</v>
      </c>
      <c r="E14" s="26" t="n">
        <f>43007</f>
        <v>43007.0</v>
      </c>
      <c r="F14" s="27" t="n">
        <f>1</f>
        <v>1.0</v>
      </c>
      <c r="G14" s="25" t="n">
        <f>61978173490</f>
        <v>6.197817349E10</v>
      </c>
      <c r="H14" s="26" t="n">
        <f>51207896118</f>
        <v>5.1207896118E10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</f>
        <v>1.0</v>
      </c>
      <c r="E15" s="18" t="n">
        <f>0</f>
        <v>0.0</v>
      </c>
      <c r="F15" s="19" t="n">
        <f>0</f>
        <v>0.0</v>
      </c>
      <c r="G15" s="17" t="n">
        <f>270000</f>
        <v>270000.0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11</f>
        <v>11.0</v>
      </c>
      <c r="E16" s="22" t="n">
        <f>0</f>
        <v>0.0</v>
      </c>
      <c r="F16" s="23" t="n">
        <f>0</f>
        <v>0.0</v>
      </c>
      <c r="G16" s="21" t="n">
        <f>3190000</f>
        <v>3190000.0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355</f>
        <v>355.0</v>
      </c>
      <c r="E17" s="22" t="n">
        <f>100</f>
        <v>100.0</v>
      </c>
      <c r="F17" s="23" t="n">
        <f>0.005</f>
        <v>0.005</v>
      </c>
      <c r="G17" s="21" t="n">
        <f>108850000</f>
        <v>1.0885E8</v>
      </c>
      <c r="H17" s="22" t="n">
        <f>29650000</f>
        <v>2.965E7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367</f>
        <v>367.0</v>
      </c>
      <c r="E18" s="26" t="n">
        <f>100</f>
        <v>100.0</v>
      </c>
      <c r="F18" s="27" t="n">
        <f>0.003</f>
        <v>0.003</v>
      </c>
      <c r="G18" s="25" t="n">
        <f>112310000</f>
        <v>1.1231E8</v>
      </c>
      <c r="H18" s="26" t="n">
        <f>29650000</f>
        <v>2.965E7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20798</f>
        <v>20798.0</v>
      </c>
      <c r="E19" s="18" t="n">
        <f>4635</f>
        <v>4635.0</v>
      </c>
      <c r="F19" s="19" t="n">
        <f>1</f>
        <v>1.0</v>
      </c>
      <c r="G19" s="17" t="n">
        <f>6540275260</f>
        <v>6.54027526E9</v>
      </c>
      <c r="H19" s="18" t="n">
        <f>5297988260</f>
        <v>5.29798826E9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35585</f>
        <v>35585.0</v>
      </c>
      <c r="E20" s="22" t="n">
        <f>7123</f>
        <v>7123.0</v>
      </c>
      <c r="F20" s="23" t="n">
        <f>0.829</f>
        <v>0.829</v>
      </c>
      <c r="G20" s="21" t="n">
        <f>9809210720</f>
        <v>9.80921072E9</v>
      </c>
      <c r="H20" s="22" t="n">
        <f>6349648120</f>
        <v>6.34964812E9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66761</f>
        <v>66761.0</v>
      </c>
      <c r="E21" s="22" t="n">
        <f>30049</f>
        <v>30049.0</v>
      </c>
      <c r="F21" s="23" t="n">
        <f>0.965</f>
        <v>0.965</v>
      </c>
      <c r="G21" s="21" t="n">
        <f>45433515338</f>
        <v>4.5433515338E10</v>
      </c>
      <c r="H21" s="22" t="n">
        <f>39503989738</f>
        <v>3.9503989738E10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123144</f>
        <v>123144.0</v>
      </c>
      <c r="E22" s="26" t="n">
        <f>41807</f>
        <v>41807.0</v>
      </c>
      <c r="F22" s="27" t="n">
        <f>0.926</f>
        <v>0.926</v>
      </c>
      <c r="G22" s="25" t="n">
        <f>61783001318</f>
        <v>6.1783001318E10</v>
      </c>
      <c r="H22" s="26" t="n">
        <f>51151626118</f>
        <v>5.1151626118E10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7350</f>
        <v>7350.0</v>
      </c>
      <c r="E24" s="22" t="n">
        <f>1100</f>
        <v>1100.0</v>
      </c>
      <c r="F24" s="23" t="n">
        <f>0.171</f>
        <v>0.171</v>
      </c>
      <c r="G24" s="21" t="n">
        <f>52971986</f>
        <v>5.2971986E7</v>
      </c>
      <c r="H24" s="22" t="n">
        <f>26620000</f>
        <v>2.662E7</v>
      </c>
      <c r="I24" s="23" t="n">
        <f>0.005</f>
        <v>0.005</v>
      </c>
    </row>
    <row r="25" spans="1:9" ht="24.9" customHeight="1">
      <c r="A25" s="41"/>
      <c r="B25" s="39"/>
      <c r="C25" s="20" t="s">
        <v>17</v>
      </c>
      <c r="D25" s="21" t="n">
        <f>2094</f>
        <v>2094.0</v>
      </c>
      <c r="E25" s="22" t="n">
        <f>0</f>
        <v>0.0</v>
      </c>
      <c r="F25" s="23" t="n">
        <f>0.03</f>
        <v>0.03</v>
      </c>
      <c r="G25" s="21" t="n">
        <f>29890186</f>
        <v>2.9890186E7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9444</f>
        <v>9444.0</v>
      </c>
      <c r="E26" s="26" t="n">
        <f>1100</f>
        <v>1100.0</v>
      </c>
      <c r="F26" s="27" t="n">
        <f>0.071</f>
        <v>0.071</v>
      </c>
      <c r="G26" s="25" t="n">
        <f>82862172</f>
        <v>8.2862172E7</v>
      </c>
      <c r="H26" s="26" t="n">
        <f>26620000</f>
        <v>2.662E7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46176.0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46176.0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7840.0</v>
      </c>
      <c r="F12" s="18" t="n">
        <f>619</f>
        <v>619.0</v>
      </c>
      <c r="G12" s="17" t="n">
        <v>5.2559245998E11</v>
      </c>
      <c r="H12" s="18" t="n">
        <f>41471453980</f>
        <v>4.147145398E10</v>
      </c>
    </row>
    <row r="13" spans="1:8" ht="24.9" customHeight="1">
      <c r="A13" s="51"/>
      <c r="B13" s="57"/>
      <c r="C13" s="39"/>
      <c r="D13" s="20" t="s">
        <v>16</v>
      </c>
      <c r="E13" s="21" t="n">
        <v>16685.0</v>
      </c>
      <c r="F13" s="22" t="n">
        <f>754</f>
        <v>754.0</v>
      </c>
      <c r="G13" s="21" t="n">
        <v>1.1336217324E12</v>
      </c>
      <c r="H13" s="22" t="n">
        <f>51169945400</f>
        <v>5.11699454E10</v>
      </c>
    </row>
    <row r="14" spans="1:8" ht="24.9" customHeight="1">
      <c r="A14" s="51"/>
      <c r="B14" s="57"/>
      <c r="C14" s="39"/>
      <c r="D14" s="20" t="s">
        <v>17</v>
      </c>
      <c r="E14" s="21" t="n">
        <v>27150.0</v>
      </c>
      <c r="F14" s="22" t="n">
        <f>10133</f>
        <v>10133.0</v>
      </c>
      <c r="G14" s="21" t="n">
        <v>1.86058364327E12</v>
      </c>
      <c r="H14" s="22" t="n">
        <f>693187053270</f>
        <v>6.9318705327E11</v>
      </c>
    </row>
    <row r="15" spans="1:8" ht="24.9" customHeight="1">
      <c r="A15" s="51"/>
      <c r="B15" s="57"/>
      <c r="C15" s="39"/>
      <c r="D15" s="24" t="s">
        <v>18</v>
      </c>
      <c r="E15" s="25" t="n">
        <v>51675.0</v>
      </c>
      <c r="F15" s="26" t="n">
        <f>11506</f>
        <v>11506.0</v>
      </c>
      <c r="G15" s="25" t="n">
        <v>3.51979783565E12</v>
      </c>
      <c r="H15" s="26" t="n">
        <f>785828452650</f>
        <v>7.8582845265E11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199926.0</v>
      </c>
      <c r="F16" s="18" t="n">
        <f>24100</f>
        <v>24100.0</v>
      </c>
      <c r="G16" s="17" t="n">
        <v>1.34036234212E12</v>
      </c>
      <c r="H16" s="18" t="n">
        <f>161549436620</f>
        <v>1.6154943662E11</v>
      </c>
    </row>
    <row r="17" spans="1:8" ht="24.9" customHeight="1">
      <c r="A17" s="51"/>
      <c r="B17" s="57"/>
      <c r="C17" s="39"/>
      <c r="D17" s="20" t="s">
        <v>16</v>
      </c>
      <c r="E17" s="21" t="n">
        <v>197207.0</v>
      </c>
      <c r="F17" s="22" t="n">
        <f>22440</f>
        <v>22440.0</v>
      </c>
      <c r="G17" s="21" t="n">
        <v>1.3388878435E12</v>
      </c>
      <c r="H17" s="22" t="n">
        <f>152357338500</f>
        <v>1.523573385E11</v>
      </c>
    </row>
    <row r="18" spans="1:8" ht="24.9" customHeight="1">
      <c r="A18" s="51"/>
      <c r="B18" s="57"/>
      <c r="C18" s="39"/>
      <c r="D18" s="20" t="s">
        <v>17</v>
      </c>
      <c r="E18" s="21" t="n">
        <v>188051.0</v>
      </c>
      <c r="F18" s="22" t="n">
        <f>24116</f>
        <v>24116.0</v>
      </c>
      <c r="G18" s="21" t="n">
        <v>1.29004022967E12</v>
      </c>
      <c r="H18" s="22" t="n">
        <f>165452141170</f>
        <v>1.6545214117E11</v>
      </c>
    </row>
    <row r="19" spans="1:8" ht="24.9" customHeight="1">
      <c r="A19" s="51"/>
      <c r="B19" s="57"/>
      <c r="C19" s="39"/>
      <c r="D19" s="24" t="s">
        <v>18</v>
      </c>
      <c r="E19" s="25" t="n">
        <v>585184.0</v>
      </c>
      <c r="F19" s="26" t="n">
        <f>70656</f>
        <v>70656.0</v>
      </c>
      <c r="G19" s="25" t="n">
        <v>3.96929041529E12</v>
      </c>
      <c r="H19" s="26" t="n">
        <f>479358916290</f>
        <v>4.7935891629E11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265640.0</v>
      </c>
      <c r="F20" s="18" t="str">
        <f>"－"</f>
        <v>－</v>
      </c>
      <c r="G20" s="17" t="n">
        <v>1.7808991775E11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222910.0</v>
      </c>
      <c r="F21" s="22" t="str">
        <f>"－"</f>
        <v>－</v>
      </c>
      <c r="G21" s="21" t="n">
        <v>1.5139714535E11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219978.0</v>
      </c>
      <c r="F22" s="22" t="str">
        <f>"－"</f>
        <v>－</v>
      </c>
      <c r="G22" s="21" t="n">
        <v>1.509398785E11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708528.0</v>
      </c>
      <c r="F23" s="26" t="str">
        <f>"－"</f>
        <v>－</v>
      </c>
      <c r="G23" s="25" t="n">
        <v>4.804269416E11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14010.0</v>
      </c>
      <c r="F24" s="18" t="n">
        <f>25</f>
        <v>25.0</v>
      </c>
      <c r="G24" s="17" t="n">
        <v>5.51450806E11</v>
      </c>
      <c r="H24" s="18" t="n">
        <f>983998000</f>
        <v>9.83998E8</v>
      </c>
    </row>
    <row r="25" spans="1:8" ht="24.9" customHeight="1">
      <c r="A25" s="51"/>
      <c r="B25" s="57"/>
      <c r="C25" s="39"/>
      <c r="D25" s="20" t="s">
        <v>16</v>
      </c>
      <c r="E25" s="21" t="n">
        <v>17857.0</v>
      </c>
      <c r="F25" s="22" t="n">
        <f>110</f>
        <v>110.0</v>
      </c>
      <c r="G25" s="21" t="n">
        <v>7.0940009E11</v>
      </c>
      <c r="H25" s="22" t="n">
        <f>4361702000</f>
        <v>4.361702E9</v>
      </c>
    </row>
    <row r="26" spans="1:8" ht="24.9" customHeight="1">
      <c r="A26" s="51"/>
      <c r="B26" s="57"/>
      <c r="C26" s="39"/>
      <c r="D26" s="20" t="s">
        <v>17</v>
      </c>
      <c r="E26" s="21" t="n">
        <v>42409.0</v>
      </c>
      <c r="F26" s="22" t="n">
        <f>15506</f>
        <v>15506.0</v>
      </c>
      <c r="G26" s="21" t="n">
        <v>1.697552824E12</v>
      </c>
      <c r="H26" s="22" t="n">
        <f>619989012000</f>
        <v>6.19989012E11</v>
      </c>
    </row>
    <row r="27" spans="1:8" ht="24.9" customHeight="1">
      <c r="A27" s="51"/>
      <c r="B27" s="57"/>
      <c r="C27" s="39"/>
      <c r="D27" s="24" t="s">
        <v>18</v>
      </c>
      <c r="E27" s="25" t="n">
        <v>74276.0</v>
      </c>
      <c r="F27" s="26" t="n">
        <f>15641</f>
        <v>15641.0</v>
      </c>
      <c r="G27" s="25" t="n">
        <v>2.95840372E12</v>
      </c>
      <c r="H27" s="26" t="n">
        <f>625334712000</f>
        <v>6.25334712E11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5013.0</v>
      </c>
      <c r="F28" s="18" t="n">
        <f>451</f>
        <v>451.0</v>
      </c>
      <c r="G28" s="17" t="n">
        <v>1.973846355E10</v>
      </c>
      <c r="H28" s="18" t="n">
        <f>1775706600</f>
        <v>1.7757066E9</v>
      </c>
    </row>
    <row r="29" spans="1:8" ht="24.9" customHeight="1">
      <c r="A29" s="51"/>
      <c r="B29" s="57"/>
      <c r="C29" s="39"/>
      <c r="D29" s="20" t="s">
        <v>16</v>
      </c>
      <c r="E29" s="21" t="n">
        <v>6528.0</v>
      </c>
      <c r="F29" s="22" t="n">
        <f>521</f>
        <v>521.0</v>
      </c>
      <c r="G29" s="21" t="n">
        <v>2.59168387E10</v>
      </c>
      <c r="H29" s="22" t="n">
        <f>2067239200</f>
        <v>2.0672392E9</v>
      </c>
    </row>
    <row r="30" spans="1:8" ht="24.9" customHeight="1">
      <c r="A30" s="51"/>
      <c r="B30" s="57"/>
      <c r="C30" s="39"/>
      <c r="D30" s="20" t="s">
        <v>17</v>
      </c>
      <c r="E30" s="21" t="n">
        <v>7979.0</v>
      </c>
      <c r="F30" s="22" t="n">
        <f>426</f>
        <v>426.0</v>
      </c>
      <c r="G30" s="21" t="n">
        <v>3.19514034E10</v>
      </c>
      <c r="H30" s="22" t="n">
        <f>1705121400</f>
        <v>1.7051214E9</v>
      </c>
    </row>
    <row r="31" spans="1:8" ht="24.9" customHeight="1">
      <c r="A31" s="51"/>
      <c r="B31" s="57"/>
      <c r="C31" s="39"/>
      <c r="D31" s="24" t="s">
        <v>18</v>
      </c>
      <c r="E31" s="25" t="n">
        <v>19520.0</v>
      </c>
      <c r="F31" s="26" t="n">
        <f>1398</f>
        <v>1398.0</v>
      </c>
      <c r="G31" s="25" t="n">
        <v>7.760670565E10</v>
      </c>
      <c r="H31" s="26" t="n">
        <f>5548067200</f>
        <v>5.5480672E9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222.0</v>
      </c>
      <c r="F36" s="18" t="n">
        <f>0</f>
        <v>0.0</v>
      </c>
      <c r="G36" s="17" t="n">
        <v>7.932865E8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729.0</v>
      </c>
      <c r="F37" s="22" t="n">
        <f>3</f>
        <v>3.0</v>
      </c>
      <c r="G37" s="21" t="n">
        <v>2.634441E9</v>
      </c>
      <c r="H37" s="22" t="n">
        <f>10825500</f>
        <v>1.08255E7</v>
      </c>
    </row>
    <row r="38" spans="1:8" ht="24.9" customHeight="1">
      <c r="A38" s="51"/>
      <c r="B38" s="57"/>
      <c r="C38" s="39"/>
      <c r="D38" s="20" t="s">
        <v>17</v>
      </c>
      <c r="E38" s="21" t="n">
        <v>749.0</v>
      </c>
      <c r="F38" s="22" t="n">
        <f>15</f>
        <v>15.0</v>
      </c>
      <c r="G38" s="21" t="n">
        <v>2.72629852E9</v>
      </c>
      <c r="H38" s="22" t="n">
        <f>54608020</f>
        <v>5.460802E7</v>
      </c>
    </row>
    <row r="39" spans="1:8" ht="24.9" customHeight="1">
      <c r="A39" s="51"/>
      <c r="B39" s="57"/>
      <c r="C39" s="39"/>
      <c r="D39" s="24" t="s">
        <v>18</v>
      </c>
      <c r="E39" s="25" t="n">
        <v>1700.0</v>
      </c>
      <c r="F39" s="26" t="n">
        <f>18</f>
        <v>18.0</v>
      </c>
      <c r="G39" s="25" t="n">
        <v>6.15402602E9</v>
      </c>
      <c r="H39" s="26" t="n">
        <f>65433520</f>
        <v>6.543352E7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180.0</v>
      </c>
      <c r="F46" s="22" t="n">
        <f>180</f>
        <v>180.0</v>
      </c>
      <c r="G46" s="21" t="n">
        <v>1.17774E9</v>
      </c>
      <c r="H46" s="22" t="n">
        <f>1177740000</f>
        <v>1.17774E9</v>
      </c>
    </row>
    <row r="47" spans="1:8" ht="24.9" customHeight="1">
      <c r="A47" s="51"/>
      <c r="B47" s="57"/>
      <c r="C47" s="39"/>
      <c r="D47" s="24" t="s">
        <v>18</v>
      </c>
      <c r="E47" s="25" t="n">
        <v>180.0</v>
      </c>
      <c r="F47" s="26" t="n">
        <f>180</f>
        <v>180.0</v>
      </c>
      <c r="G47" s="25" t="n">
        <v>1.17774E9</v>
      </c>
      <c r="H47" s="26" t="n">
        <f>1177740000</f>
        <v>1.17774E9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92.0</v>
      </c>
      <c r="F48" s="18" t="n">
        <f>92</f>
        <v>92.0</v>
      </c>
      <c r="G48" s="17" t="n">
        <v>1.625042E8</v>
      </c>
      <c r="H48" s="18" t="n">
        <f>162504200</f>
        <v>1.625042E8</v>
      </c>
    </row>
    <row r="49" spans="1:8" ht="24.9" customHeight="1">
      <c r="A49" s="51"/>
      <c r="B49" s="57"/>
      <c r="C49" s="39"/>
      <c r="D49" s="20" t="s">
        <v>16</v>
      </c>
      <c r="E49" s="21" t="n">
        <v>130.0</v>
      </c>
      <c r="F49" s="22" t="n">
        <f>0</f>
        <v>0.0</v>
      </c>
      <c r="G49" s="21" t="n">
        <v>2.308985E8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570.0</v>
      </c>
      <c r="F50" s="22" t="n">
        <f>258</f>
        <v>258.0</v>
      </c>
      <c r="G50" s="21" t="n">
        <v>1.01290328E9</v>
      </c>
      <c r="H50" s="22" t="n">
        <f>458386280</f>
        <v>4.5838628E8</v>
      </c>
    </row>
    <row r="51" spans="1:8" ht="24.9" customHeight="1">
      <c r="A51" s="51"/>
      <c r="B51" s="57"/>
      <c r="C51" s="39"/>
      <c r="D51" s="24" t="s">
        <v>18</v>
      </c>
      <c r="E51" s="25" t="n">
        <v>792.0</v>
      </c>
      <c r="F51" s="26" t="n">
        <f>350</f>
        <v>350.0</v>
      </c>
      <c r="G51" s="25" t="n">
        <v>1.40630598E9</v>
      </c>
      <c r="H51" s="26" t="n">
        <f>620890480</f>
        <v>6.2089048E8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363.0</v>
      </c>
      <c r="F56" s="18" t="n">
        <f>6</f>
        <v>6.0</v>
      </c>
      <c r="G56" s="17" t="n">
        <v>2.774609E8</v>
      </c>
      <c r="H56" s="18" t="n">
        <f>4587900</f>
        <v>4587900.0</v>
      </c>
    </row>
    <row r="57" spans="1:8" ht="24.9" customHeight="1">
      <c r="A57" s="51"/>
      <c r="B57" s="57"/>
      <c r="C57" s="39"/>
      <c r="D57" s="20" t="s">
        <v>16</v>
      </c>
      <c r="E57" s="21" t="n">
        <v>2193.0</v>
      </c>
      <c r="F57" s="22" t="n">
        <f>129</f>
        <v>129.0</v>
      </c>
      <c r="G57" s="21" t="n">
        <v>1.6570559E9</v>
      </c>
      <c r="H57" s="22" t="n">
        <f>97633900</f>
        <v>9.76339E7</v>
      </c>
    </row>
    <row r="58" spans="1:8" ht="24.9" customHeight="1">
      <c r="A58" s="51"/>
      <c r="B58" s="57"/>
      <c r="C58" s="39"/>
      <c r="D58" s="20" t="s">
        <v>17</v>
      </c>
      <c r="E58" s="21" t="n">
        <v>2039.0</v>
      </c>
      <c r="F58" s="22" t="n">
        <f>83</f>
        <v>83.0</v>
      </c>
      <c r="G58" s="21" t="n">
        <v>1.55272305E9</v>
      </c>
      <c r="H58" s="22" t="n">
        <f>63267050</f>
        <v>6.326705E7</v>
      </c>
    </row>
    <row r="59" spans="1:8" ht="24.9" customHeight="1">
      <c r="A59" s="51"/>
      <c r="B59" s="57"/>
      <c r="C59" s="39"/>
      <c r="D59" s="24" t="s">
        <v>18</v>
      </c>
      <c r="E59" s="25" t="n">
        <v>4595.0</v>
      </c>
      <c r="F59" s="26" t="n">
        <f>218</f>
        <v>218.0</v>
      </c>
      <c r="G59" s="25" t="n">
        <v>3.48723985E9</v>
      </c>
      <c r="H59" s="26" t="n">
        <f>165488850</f>
        <v>1.6548885E8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99.0</v>
      </c>
      <c r="F60" s="18" t="n">
        <f>0</f>
        <v>0.0</v>
      </c>
      <c r="G60" s="17" t="n">
        <v>5.068726E8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16.0</v>
      </c>
      <c r="F61" s="22" t="n">
        <f>3</f>
        <v>3.0</v>
      </c>
      <c r="G61" s="21" t="n">
        <v>8.22337E7</v>
      </c>
      <c r="H61" s="22" t="n">
        <f>15412500</f>
        <v>1.54125E7</v>
      </c>
    </row>
    <row r="62" spans="1:8" ht="24.9" customHeight="1">
      <c r="A62" s="51"/>
      <c r="B62" s="57"/>
      <c r="C62" s="39"/>
      <c r="D62" s="20" t="s">
        <v>17</v>
      </c>
      <c r="E62" s="21" t="n">
        <v>6.0</v>
      </c>
      <c r="F62" s="22" t="n">
        <f>2</f>
        <v>2.0</v>
      </c>
      <c r="G62" s="21" t="n">
        <v>3.0816E7</v>
      </c>
      <c r="H62" s="22" t="n">
        <f>10269000</f>
        <v>1.0269E7</v>
      </c>
    </row>
    <row r="63" spans="1:8" ht="24.9" customHeight="1">
      <c r="A63" s="51"/>
      <c r="B63" s="57"/>
      <c r="C63" s="39"/>
      <c r="D63" s="24" t="s">
        <v>18</v>
      </c>
      <c r="E63" s="25" t="n">
        <v>121.0</v>
      </c>
      <c r="F63" s="26" t="n">
        <f>5</f>
        <v>5.0</v>
      </c>
      <c r="G63" s="25" t="n">
        <v>6.199223E8</v>
      </c>
      <c r="H63" s="26" t="n">
        <f>25681500</f>
        <v>2.56815E7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677500.0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11.0</v>
      </c>
      <c r="F78" s="22" t="n">
        <f>0</f>
        <v>0.0</v>
      </c>
      <c r="G78" s="21" t="n">
        <v>3699500.0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13.0</v>
      </c>
      <c r="F79" s="26" t="n">
        <f>0</f>
        <v>0.0</v>
      </c>
      <c r="G79" s="25" t="n">
        <v>4377000.0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241.0</v>
      </c>
      <c r="F92" s="18" t="n">
        <f>0</f>
        <v>0.0</v>
      </c>
      <c r="G92" s="17" t="n">
        <v>3.845952E8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241.0</v>
      </c>
      <c r="F95" s="26" t="n">
        <f>0</f>
        <v>0.0</v>
      </c>
      <c r="G95" s="25" t="n">
        <v>3.845952E8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687.0</v>
      </c>
      <c r="F96" s="18" t="n">
        <f>0</f>
        <v>0.0</v>
      </c>
      <c r="G96" s="17" t="n">
        <v>1.6230788E9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4.0</v>
      </c>
      <c r="F97" s="22" t="n">
        <f>0</f>
        <v>0.0</v>
      </c>
      <c r="G97" s="21" t="n">
        <v>9453600.0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691.0</v>
      </c>
      <c r="F99" s="26" t="n">
        <f>0</f>
        <v>0.0</v>
      </c>
      <c r="G99" s="25" t="n">
        <v>1.6325324E9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170.0</v>
      </c>
      <c r="F100" s="18" t="n">
        <f>0</f>
        <v>0.0</v>
      </c>
      <c r="G100" s="17" t="n">
        <v>3.16071E8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170.0</v>
      </c>
      <c r="F103" s="26" t="n">
        <f>0</f>
        <v>0.0</v>
      </c>
      <c r="G103" s="25" t="n">
        <v>3.16071E8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23770.0</v>
      </c>
      <c r="F108" s="18" t="n">
        <f>478</f>
        <v>478.0</v>
      </c>
      <c r="G108" s="17" t="n">
        <v>3.07276206E12</v>
      </c>
      <c r="H108" s="18" t="n">
        <f>61854300000</f>
        <v>6.18543E10</v>
      </c>
    </row>
    <row r="109" spans="1:8" ht="24.9" customHeight="1">
      <c r="A109" s="51"/>
      <c r="B109" s="57"/>
      <c r="C109" s="39"/>
      <c r="D109" s="20" t="s">
        <v>16</v>
      </c>
      <c r="E109" s="21" t="n">
        <v>24544.0</v>
      </c>
      <c r="F109" s="22" t="n">
        <f>2643</f>
        <v>2643.0</v>
      </c>
      <c r="G109" s="21" t="n">
        <v>3.16862233E12</v>
      </c>
      <c r="H109" s="22" t="n">
        <f>341636530000</f>
        <v>3.4163653E11</v>
      </c>
    </row>
    <row r="110" spans="1:8" ht="24.9" customHeight="1">
      <c r="A110" s="51"/>
      <c r="B110" s="57"/>
      <c r="C110" s="39"/>
      <c r="D110" s="20" t="s">
        <v>17</v>
      </c>
      <c r="E110" s="21" t="n">
        <v>24050.0</v>
      </c>
      <c r="F110" s="22" t="n">
        <f>1978</f>
        <v>1978.0</v>
      </c>
      <c r="G110" s="21" t="n">
        <v>3.103128355E12</v>
      </c>
      <c r="H110" s="22" t="n">
        <f>255343115000</f>
        <v>2.55343115E11</v>
      </c>
    </row>
    <row r="111" spans="1:8" ht="24.9" customHeight="1">
      <c r="A111" s="51"/>
      <c r="B111" s="57"/>
      <c r="C111" s="39"/>
      <c r="D111" s="24" t="s">
        <v>18</v>
      </c>
      <c r="E111" s="25" t="n">
        <v>72364.0</v>
      </c>
      <c r="F111" s="26" t="n">
        <f>5099</f>
        <v>5099.0</v>
      </c>
      <c r="G111" s="25" t="n">
        <v>9.344512745E12</v>
      </c>
      <c r="H111" s="26" t="n">
        <f>658833945000</f>
        <v>6.58833945E11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394.0</v>
      </c>
      <c r="F113" s="22" t="n">
        <f>0</f>
        <v>0.0</v>
      </c>
      <c r="G113" s="21" t="n">
        <v>5.091683E9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602.0</v>
      </c>
      <c r="F114" s="22" t="n">
        <f>0</f>
        <v>0.0</v>
      </c>
      <c r="G114" s="21" t="n">
        <v>7.771143E9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996.0</v>
      </c>
      <c r="F115" s="26" t="n">
        <f>0</f>
        <v>0.0</v>
      </c>
      <c r="G115" s="25" t="n">
        <v>1.2862826E10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38050.0</v>
      </c>
      <c r="F117" s="22" t="n">
        <f>38000</f>
        <v>38000.0</v>
      </c>
      <c r="G117" s="21" t="n">
        <v>3.535239E11</v>
      </c>
      <c r="H117" s="22" t="n">
        <f>353058000000</f>
        <v>3.53058E11</v>
      </c>
    </row>
    <row r="118" spans="1:8" ht="24.9" customHeight="1">
      <c r="A118" s="51"/>
      <c r="B118" s="57"/>
      <c r="C118" s="39"/>
      <c r="D118" s="20" t="s">
        <v>17</v>
      </c>
      <c r="E118" s="21" t="n">
        <v>517.0</v>
      </c>
      <c r="F118" s="22" t="n">
        <f>517</f>
        <v>517.0</v>
      </c>
      <c r="G118" s="21" t="n">
        <v>4.812236E9</v>
      </c>
      <c r="H118" s="22" t="n">
        <f>4812236000</f>
        <v>4.812236E9</v>
      </c>
    </row>
    <row r="119" spans="1:8" ht="24.9" customHeight="1">
      <c r="A119" s="51"/>
      <c r="B119" s="58"/>
      <c r="C119" s="39"/>
      <c r="D119" s="24" t="s">
        <v>18</v>
      </c>
      <c r="E119" s="25" t="n">
        <v>38567.0</v>
      </c>
      <c r="F119" s="26" t="n">
        <f>38517</f>
        <v>38517.0</v>
      </c>
      <c r="G119" s="25" t="n">
        <v>3.58336136E11</v>
      </c>
      <c r="H119" s="26" t="n">
        <f>357870236000</f>
        <v>3.57870236E11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4334.0</v>
      </c>
      <c r="F120" s="18" t="n">
        <f>0</f>
        <v>0.0</v>
      </c>
      <c r="G120" s="17" t="n">
        <v>1.07410561875E11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2250.0</v>
      </c>
      <c r="F121" s="22" t="n">
        <f>0</f>
        <v>0.0</v>
      </c>
      <c r="G121" s="21" t="n">
        <v>5.556019E10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182.0</v>
      </c>
      <c r="F122" s="22" t="n">
        <f>0</f>
        <v>0.0</v>
      </c>
      <c r="G122" s="21" t="n">
        <v>4.5043575E9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6766.0</v>
      </c>
      <c r="F123" s="26" t="n">
        <f>0</f>
        <v>0.0</v>
      </c>
      <c r="G123" s="25" t="n">
        <v>1.67475109375E11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3702.0</v>
      </c>
      <c r="F124" s="18" t="n">
        <f>0</f>
        <v>0.0</v>
      </c>
      <c r="G124" s="17" t="n">
        <v>8.8299472E10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1959.0</v>
      </c>
      <c r="F125" s="22" t="n">
        <f>0</f>
        <v>0.0</v>
      </c>
      <c r="G125" s="21" t="n">
        <v>4.6347727E10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1987.0</v>
      </c>
      <c r="F126" s="22" t="n">
        <f>0</f>
        <v>0.0</v>
      </c>
      <c r="G126" s="21" t="n">
        <v>4.6926206E10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7648.0</v>
      </c>
      <c r="F127" s="26" t="n">
        <f>0</f>
        <v>0.0</v>
      </c>
      <c r="G127" s="25" t="n">
        <v>1.81573405E11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19.0</v>
      </c>
      <c r="F128" s="18" t="n">
        <f>0</f>
        <v>0.0</v>
      </c>
      <c r="G128" s="17" t="n">
        <v>4.53322E7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55.0</v>
      </c>
      <c r="F129" s="22" t="n">
        <f>0</f>
        <v>0.0</v>
      </c>
      <c r="G129" s="21" t="n">
        <v>1.303846E8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53.0</v>
      </c>
      <c r="F130" s="22" t="n">
        <f>0</f>
        <v>0.0</v>
      </c>
      <c r="G130" s="21" t="n">
        <v>1.253111E8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127.0</v>
      </c>
      <c r="F131" s="26" t="n">
        <f>0</f>
        <v>0.0</v>
      </c>
      <c r="G131" s="25" t="n">
        <v>3.010279E8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4656.0</v>
      </c>
      <c r="F132" s="18" t="n">
        <f>0</f>
        <v>0.0</v>
      </c>
      <c r="G132" s="17" t="n">
        <v>1.111126485E10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2001.0</v>
      </c>
      <c r="F133" s="22" t="n">
        <f>0</f>
        <v>0.0</v>
      </c>
      <c r="G133" s="21" t="n">
        <v>4.74012665E9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2547.0</v>
      </c>
      <c r="F134" s="22" t="n">
        <f>0</f>
        <v>0.0</v>
      </c>
      <c r="G134" s="21" t="n">
        <v>6.0259279E9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9204.0</v>
      </c>
      <c r="F135" s="26" t="n">
        <f>0</f>
        <v>0.0</v>
      </c>
      <c r="G135" s="25" t="n">
        <v>2.18773194E10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14.0</v>
      </c>
      <c r="F136" s="18" t="n">
        <f>0</f>
        <v>0.0</v>
      </c>
      <c r="G136" s="17" t="n">
        <v>3.32409E7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10.0</v>
      </c>
      <c r="F137" s="22" t="n">
        <f>0</f>
        <v>0.0</v>
      </c>
      <c r="G137" s="21" t="n">
        <v>2.34951E7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77.0</v>
      </c>
      <c r="F138" s="22" t="n">
        <f>0</f>
        <v>0.0</v>
      </c>
      <c r="G138" s="21" t="n">
        <v>1.804789E8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101.0</v>
      </c>
      <c r="F139" s="26" t="n">
        <f>0</f>
        <v>0.0</v>
      </c>
      <c r="G139" s="25" t="n">
        <v>2.372149E8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1130.0</v>
      </c>
      <c r="F144" s="18" t="n">
        <f>0</f>
        <v>0.0</v>
      </c>
      <c r="G144" s="17" t="n">
        <v>5.595197E9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925.0</v>
      </c>
      <c r="F145" s="22" t="n">
        <f>0</f>
        <v>0.0</v>
      </c>
      <c r="G145" s="21" t="n">
        <v>4.5271585E9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365.0</v>
      </c>
      <c r="F146" s="22" t="n">
        <f>0</f>
        <v>0.0</v>
      </c>
      <c r="G146" s="21" t="n">
        <v>1.787191E9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2420.0</v>
      </c>
      <c r="F147" s="26" t="n">
        <f>0</f>
        <v>0.0</v>
      </c>
      <c r="G147" s="25" t="n">
        <v>1.19095465E10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57.0</v>
      </c>
      <c r="F148" s="18" t="n">
        <f>0</f>
        <v>0.0</v>
      </c>
      <c r="G148" s="17" t="n">
        <v>5.75964E7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177.0</v>
      </c>
      <c r="F149" s="22" t="n">
        <f>0</f>
        <v>0.0</v>
      </c>
      <c r="G149" s="21" t="n">
        <v>1.766859E8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215.0</v>
      </c>
      <c r="F150" s="22" t="n">
        <f>0</f>
        <v>0.0</v>
      </c>
      <c r="G150" s="21" t="n">
        <v>2.142256E8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449.0</v>
      </c>
      <c r="F151" s="26" t="n">
        <f>0</f>
        <v>0.0</v>
      </c>
      <c r="G151" s="25" t="n">
        <v>4.485079E8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247.0</v>
      </c>
      <c r="F152" s="18" t="n">
        <f>0</f>
        <v>0.0</v>
      </c>
      <c r="G152" s="17" t="n">
        <v>2.4519805E8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155.0</v>
      </c>
      <c r="F153" s="22" t="n">
        <f>0</f>
        <v>0.0</v>
      </c>
      <c r="G153" s="21" t="n">
        <v>1.52261E8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247.0</v>
      </c>
      <c r="F154" s="22" t="n">
        <f>0</f>
        <v>0.0</v>
      </c>
      <c r="G154" s="21" t="n">
        <v>2.435053E8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649.0</v>
      </c>
      <c r="F155" s="26" t="n">
        <f>0</f>
        <v>0.0</v>
      </c>
      <c r="G155" s="25" t="n">
        <v>6.4096435E8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199.0</v>
      </c>
      <c r="F156" s="18" t="n">
        <f>0</f>
        <v>0.0</v>
      </c>
      <c r="G156" s="17" t="n">
        <v>1.995435E8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442.0</v>
      </c>
      <c r="F157" s="22" t="n">
        <f>0</f>
        <v>0.0</v>
      </c>
      <c r="G157" s="21" t="n">
        <v>4.400083E8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1010.0</v>
      </c>
      <c r="F158" s="22" t="n">
        <f>0</f>
        <v>0.0</v>
      </c>
      <c r="G158" s="21" t="n">
        <v>1.009945E9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1651.0</v>
      </c>
      <c r="F159" s="26" t="n">
        <f>0</f>
        <v>0.0</v>
      </c>
      <c r="G159" s="25" t="n">
        <v>1.6494968E9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51.0</v>
      </c>
      <c r="F168" s="18" t="n">
        <f>0</f>
        <v>0.0</v>
      </c>
      <c r="G168" s="17" t="n">
        <v>1.085095E8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458.0</v>
      </c>
      <c r="F169" s="22" t="n">
        <f>0</f>
        <v>0.0</v>
      </c>
      <c r="G169" s="21" t="n">
        <v>9.901135E8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295.0</v>
      </c>
      <c r="F170" s="22" t="n">
        <f>0</f>
        <v>0.0</v>
      </c>
      <c r="G170" s="21" t="n">
        <v>6.369495E8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804.0</v>
      </c>
      <c r="F171" s="26" t="n">
        <f>0</f>
        <v>0.0</v>
      </c>
      <c r="G171" s="25" t="n">
        <v>1.7355725E9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44.0</v>
      </c>
      <c r="F178" s="22" t="n">
        <f>0</f>
        <v>0.0</v>
      </c>
      <c r="G178" s="21" t="n">
        <v>8.0608E7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44.0</v>
      </c>
      <c r="F179" s="26" t="n">
        <f>0</f>
        <v>0.0</v>
      </c>
      <c r="G179" s="25" t="n">
        <v>8.0608E7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514.0</v>
      </c>
      <c r="F204" s="18" t="n">
        <f>0</f>
        <v>0.0</v>
      </c>
      <c r="G204" s="17" t="n">
        <v>2.129541E9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237.0</v>
      </c>
      <c r="F205" s="22" t="n">
        <f>0</f>
        <v>0.0</v>
      </c>
      <c r="G205" s="21" t="n">
        <v>1.0005625E9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2243.0</v>
      </c>
      <c r="F206" s="22" t="n">
        <f>1</f>
        <v>1.0</v>
      </c>
      <c r="G206" s="21" t="n">
        <v>9.546141E9</v>
      </c>
      <c r="H206" s="22" t="n">
        <f>4570000</f>
        <v>4570000.0</v>
      </c>
    </row>
    <row r="207" spans="1:8" ht="24.9" customHeight="1">
      <c r="A207" s="57"/>
      <c r="B207" s="59"/>
      <c r="C207" s="39"/>
      <c r="D207" s="24" t="s">
        <v>18</v>
      </c>
      <c r="E207" s="25" t="n">
        <v>2994.0</v>
      </c>
      <c r="F207" s="26" t="n">
        <f>1</f>
        <v>1.0</v>
      </c>
      <c r="G207" s="25" t="n">
        <v>1.26762445E10</v>
      </c>
      <c r="H207" s="26" t="n">
        <f>4570000</f>
        <v>4570000.0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150.0</v>
      </c>
      <c r="F220" s="18" t="n">
        <f>150</f>
        <v>150.0</v>
      </c>
      <c r="G220" s="17" t="n">
        <v>1.22244E8</v>
      </c>
      <c r="H220" s="18" t="n">
        <f>122244000</f>
        <v>1.22244E8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150.0</v>
      </c>
      <c r="F223" s="26" t="n">
        <f>150</f>
        <v>150.0</v>
      </c>
      <c r="G223" s="25" t="n">
        <v>1.22244E8</v>
      </c>
      <c r="H223" s="26" t="n">
        <f>122244000</f>
        <v>1.22244E8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46176.0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46176.0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3426</f>
        <v>3426.0</v>
      </c>
      <c r="E12" s="35" t="n">
        <f>2109</f>
        <v>2109.0</v>
      </c>
      <c r="F12" s="17" t="n">
        <f>2155</f>
        <v>2155.0</v>
      </c>
      <c r="G12" s="35" t="n">
        <f>906</f>
        <v>906.0</v>
      </c>
      <c r="H12" s="17" t="n">
        <f>5581</f>
        <v>5581.0</v>
      </c>
      <c r="I12" s="35" t="n">
        <f>3015</f>
        <v>3015.0</v>
      </c>
      <c r="J12" s="17" t="n">
        <f>1772423630</f>
        <v>1.77242363E9</v>
      </c>
      <c r="K12" s="35" t="n">
        <f>1536524630</f>
        <v>1.53652463E9</v>
      </c>
      <c r="L12" s="17" t="n">
        <f>4117177660</f>
        <v>4.11717766E9</v>
      </c>
      <c r="M12" s="35" t="n">
        <f>3732194660</f>
        <v>3.73219466E9</v>
      </c>
      <c r="N12" s="17" t="n">
        <f>5889601290</f>
        <v>5.88960129E9</v>
      </c>
      <c r="O12" s="35" t="n">
        <f>5268719290</f>
        <v>5.26871929E9</v>
      </c>
    </row>
    <row r="13" spans="1:15" ht="24.9" customHeight="1">
      <c r="A13" s="38"/>
      <c r="B13" s="62"/>
      <c r="C13" s="20" t="s">
        <v>16</v>
      </c>
      <c r="D13" s="21" t="n">
        <f>5729</f>
        <v>5729.0</v>
      </c>
      <c r="E13" s="36" t="n">
        <f>1329</f>
        <v>1329.0</v>
      </c>
      <c r="F13" s="21" t="n">
        <f>7060</f>
        <v>7060.0</v>
      </c>
      <c r="G13" s="36" t="n">
        <f>3664</f>
        <v>3664.0</v>
      </c>
      <c r="H13" s="21" t="n">
        <f>12789</f>
        <v>12789.0</v>
      </c>
      <c r="I13" s="36" t="n">
        <f>4993</f>
        <v>4993.0</v>
      </c>
      <c r="J13" s="21" t="n">
        <f>2145824870</f>
        <v>2.14582487E9</v>
      </c>
      <c r="K13" s="36" t="n">
        <f>760059870</f>
        <v>7.6005987E8</v>
      </c>
      <c r="L13" s="21" t="n">
        <f>6973086130</f>
        <v>6.97308613E9</v>
      </c>
      <c r="M13" s="36" t="n">
        <f>5575770130</f>
        <v>5.57577013E9</v>
      </c>
      <c r="N13" s="21" t="n">
        <f>9118911000</f>
        <v>9.118911E9</v>
      </c>
      <c r="O13" s="36" t="n">
        <f>6335830000</f>
        <v>6.33583E9</v>
      </c>
    </row>
    <row r="14" spans="1:15" ht="24.9" customHeight="1">
      <c r="A14" s="38"/>
      <c r="B14" s="62"/>
      <c r="C14" s="20" t="s">
        <v>17</v>
      </c>
      <c r="D14" s="21" t="n">
        <f>20416</f>
        <v>20416.0</v>
      </c>
      <c r="E14" s="36" t="n">
        <f>13110</f>
        <v>13110.0</v>
      </c>
      <c r="F14" s="21" t="n">
        <f>17423</f>
        <v>17423.0</v>
      </c>
      <c r="G14" s="36" t="n">
        <f>11555</f>
        <v>11555.0</v>
      </c>
      <c r="H14" s="21" t="n">
        <f>37839</f>
        <v>37839.0</v>
      </c>
      <c r="I14" s="36" t="n">
        <f>24665</f>
        <v>24665.0</v>
      </c>
      <c r="J14" s="21" t="n">
        <f>16876412191</f>
        <v>1.6876412191E10</v>
      </c>
      <c r="K14" s="36" t="n">
        <f>14746775191</f>
        <v>1.4746775191E10</v>
      </c>
      <c r="L14" s="21" t="n">
        <f>26696950510</f>
        <v>2.669695051E10</v>
      </c>
      <c r="M14" s="36" t="n">
        <f>23847461510</f>
        <v>2.384746151E10</v>
      </c>
      <c r="N14" s="21" t="n">
        <f>43573362701</f>
        <v>4.3573362701E10</v>
      </c>
      <c r="O14" s="36" t="n">
        <f>38594236701</f>
        <v>3.8594236701E10</v>
      </c>
    </row>
    <row r="15" spans="1:15" ht="24.9" customHeight="1">
      <c r="A15" s="38"/>
      <c r="B15" s="62"/>
      <c r="C15" s="24" t="s">
        <v>18</v>
      </c>
      <c r="D15" s="25" t="n">
        <f>29571</f>
        <v>29571.0</v>
      </c>
      <c r="E15" s="37" t="n">
        <f>16548</f>
        <v>16548.0</v>
      </c>
      <c r="F15" s="25" t="n">
        <f>26638</f>
        <v>26638.0</v>
      </c>
      <c r="G15" s="37" t="n">
        <f>16125</f>
        <v>16125.0</v>
      </c>
      <c r="H15" s="25" t="n">
        <f>56209</f>
        <v>56209.0</v>
      </c>
      <c r="I15" s="37" t="n">
        <f>32673</f>
        <v>32673.0</v>
      </c>
      <c r="J15" s="25" t="n">
        <f>20794660691</f>
        <v>2.0794660691E10</v>
      </c>
      <c r="K15" s="37" t="n">
        <f>17043359691</f>
        <v>1.7043359691E10</v>
      </c>
      <c r="L15" s="25" t="n">
        <f>37787214300</f>
        <v>3.77872143E10</v>
      </c>
      <c r="M15" s="37" t="n">
        <f>33155426300</f>
        <v>3.31554263E10</v>
      </c>
      <c r="N15" s="25" t="n">
        <f>58581874991</f>
        <v>5.8581874991E10</v>
      </c>
      <c r="O15" s="37" t="n">
        <f>50198785991</f>
        <v>5.0198785991E10</v>
      </c>
    </row>
    <row r="16" spans="1:15" ht="24.9" customHeight="1">
      <c r="A16" s="38"/>
      <c r="B16" s="61" t="s">
        <v>105</v>
      </c>
      <c r="C16" s="16" t="s">
        <v>15</v>
      </c>
      <c r="D16" s="17" t="n">
        <f>9536</f>
        <v>9536.0</v>
      </c>
      <c r="E16" s="35" t="n">
        <f>1270</f>
        <v>1270.0</v>
      </c>
      <c r="F16" s="17" t="n">
        <f>5681</f>
        <v>5681.0</v>
      </c>
      <c r="G16" s="35" t="n">
        <f>350</f>
        <v>350.0</v>
      </c>
      <c r="H16" s="17" t="n">
        <f>15217</f>
        <v>15217.0</v>
      </c>
      <c r="I16" s="35" t="n">
        <f>1620</f>
        <v>1620.0</v>
      </c>
      <c r="J16" s="17" t="n">
        <f>179310160</f>
        <v>1.7931016E8</v>
      </c>
      <c r="K16" s="35" t="n">
        <f>22485860</f>
        <v>2.248586E7</v>
      </c>
      <c r="L16" s="17" t="n">
        <f>471363810</f>
        <v>4.7136381E8</v>
      </c>
      <c r="M16" s="35" t="n">
        <f>6783110</f>
        <v>6783110.0</v>
      </c>
      <c r="N16" s="17" t="n">
        <f>650673970</f>
        <v>6.5067397E8</v>
      </c>
      <c r="O16" s="35" t="n">
        <f>29268970</f>
        <v>2.926897E7</v>
      </c>
    </row>
    <row r="17" spans="1:15" ht="24.9" customHeight="1">
      <c r="A17" s="38"/>
      <c r="B17" s="62"/>
      <c r="C17" s="20" t="s">
        <v>16</v>
      </c>
      <c r="D17" s="21" t="n">
        <f>16404</f>
        <v>16404.0</v>
      </c>
      <c r="E17" s="36" t="n">
        <f>1930</f>
        <v>1930.0</v>
      </c>
      <c r="F17" s="21" t="n">
        <f>6392</f>
        <v>6392.0</v>
      </c>
      <c r="G17" s="36" t="n">
        <f>200</f>
        <v>200.0</v>
      </c>
      <c r="H17" s="21" t="n">
        <f>22796</f>
        <v>22796.0</v>
      </c>
      <c r="I17" s="36" t="n">
        <f>2130</f>
        <v>2130.0</v>
      </c>
      <c r="J17" s="21" t="n">
        <f>264216790</f>
        <v>2.6421679E8</v>
      </c>
      <c r="K17" s="36" t="n">
        <f>9720590</f>
        <v>9720590.0</v>
      </c>
      <c r="L17" s="21" t="n">
        <f>426082930</f>
        <v>4.2608293E8</v>
      </c>
      <c r="M17" s="36" t="n">
        <f>4097530</f>
        <v>4097530.0</v>
      </c>
      <c r="N17" s="21" t="n">
        <f>690299720</f>
        <v>6.9029972E8</v>
      </c>
      <c r="O17" s="36" t="n">
        <f>13818120</f>
        <v>1.381812E7</v>
      </c>
    </row>
    <row r="18" spans="1:15" ht="24.9" customHeight="1">
      <c r="A18" s="38"/>
      <c r="B18" s="62"/>
      <c r="C18" s="20" t="s">
        <v>17</v>
      </c>
      <c r="D18" s="21" t="n">
        <f>20395</f>
        <v>20395.0</v>
      </c>
      <c r="E18" s="36" t="n">
        <f>2440</f>
        <v>2440.0</v>
      </c>
      <c r="F18" s="21" t="n">
        <f>5985</f>
        <v>5985.0</v>
      </c>
      <c r="G18" s="36" t="n">
        <f>410</f>
        <v>410.0</v>
      </c>
      <c r="H18" s="21" t="n">
        <f>26380</f>
        <v>26380.0</v>
      </c>
      <c r="I18" s="36" t="n">
        <f>2850</f>
        <v>2850.0</v>
      </c>
      <c r="J18" s="21" t="n">
        <f>382688460</f>
        <v>3.8268846E8</v>
      </c>
      <c r="K18" s="36" t="n">
        <f>26750660</f>
        <v>2.675066E7</v>
      </c>
      <c r="L18" s="21" t="n">
        <f>611331590</f>
        <v>6.1133159E8</v>
      </c>
      <c r="M18" s="36" t="n">
        <f>21659790</f>
        <v>2.165979E7</v>
      </c>
      <c r="N18" s="21" t="n">
        <f>994020050</f>
        <v>9.9402005E8</v>
      </c>
      <c r="O18" s="36" t="n">
        <f>48410450</f>
        <v>4.841045E7</v>
      </c>
    </row>
    <row r="19" spans="1:15" ht="24.9" customHeight="1">
      <c r="A19" s="38"/>
      <c r="B19" s="62"/>
      <c r="C19" s="24" t="s">
        <v>18</v>
      </c>
      <c r="D19" s="25" t="n">
        <f>46335</f>
        <v>46335.0</v>
      </c>
      <c r="E19" s="37" t="n">
        <f>5640</f>
        <v>5640.0</v>
      </c>
      <c r="F19" s="25" t="n">
        <f>18058</f>
        <v>18058.0</v>
      </c>
      <c r="G19" s="37" t="n">
        <f>960</f>
        <v>960.0</v>
      </c>
      <c r="H19" s="25" t="n">
        <f>64393</f>
        <v>64393.0</v>
      </c>
      <c r="I19" s="37" t="n">
        <f>6600</f>
        <v>6600.0</v>
      </c>
      <c r="J19" s="25" t="n">
        <f>826215410</f>
        <v>8.2621541E8</v>
      </c>
      <c r="K19" s="37" t="n">
        <f>58957110</f>
        <v>5.895711E7</v>
      </c>
      <c r="L19" s="25" t="n">
        <f>1508778330</f>
        <v>1.50877833E9</v>
      </c>
      <c r="M19" s="37" t="n">
        <f>32540430</f>
        <v>3.254043E7</v>
      </c>
      <c r="N19" s="25" t="n">
        <f>2334993740</f>
        <v>2.33499374E9</v>
      </c>
      <c r="O19" s="37" t="n">
        <f>91497540</f>
        <v>9.149754E7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766</f>
        <v>766.0</v>
      </c>
      <c r="E22" s="36" t="n">
        <f>758</f>
        <v>758.0</v>
      </c>
      <c r="F22" s="21" t="n">
        <f>1776</f>
        <v>1776.0</v>
      </c>
      <c r="G22" s="36" t="n">
        <f>1776</f>
        <v>1776.0</v>
      </c>
      <c r="H22" s="21" t="n">
        <f>2542</f>
        <v>2542.0</v>
      </c>
      <c r="I22" s="36" t="n">
        <f>2534</f>
        <v>2534.0</v>
      </c>
      <c r="J22" s="21" t="n">
        <f>412114387</f>
        <v>4.12114387E8</v>
      </c>
      <c r="K22" s="36" t="n">
        <f>407324387</f>
        <v>4.07324387E8</v>
      </c>
      <c r="L22" s="21" t="n">
        <f>454018200</f>
        <v>4.540182E8</v>
      </c>
      <c r="M22" s="36" t="n">
        <f>454018200</f>
        <v>4.540182E8</v>
      </c>
      <c r="N22" s="21" t="n">
        <f>866132587</f>
        <v>8.66132587E8</v>
      </c>
      <c r="O22" s="36" t="n">
        <f>861342587</f>
        <v>8.61342587E8</v>
      </c>
    </row>
    <row r="23" spans="1:15" ht="24.9" customHeight="1">
      <c r="A23" s="38"/>
      <c r="B23" s="62"/>
      <c r="C23" s="24" t="s">
        <v>18</v>
      </c>
      <c r="D23" s="25" t="n">
        <f>766</f>
        <v>766.0</v>
      </c>
      <c r="E23" s="37" t="n">
        <f>758</f>
        <v>758.0</v>
      </c>
      <c r="F23" s="25" t="n">
        <f>1776</f>
        <v>1776.0</v>
      </c>
      <c r="G23" s="37" t="n">
        <f>1776</f>
        <v>1776.0</v>
      </c>
      <c r="H23" s="25" t="n">
        <f>2542</f>
        <v>2542.0</v>
      </c>
      <c r="I23" s="37" t="n">
        <f>2534</f>
        <v>2534.0</v>
      </c>
      <c r="J23" s="25" t="n">
        <f>412114387</f>
        <v>4.12114387E8</v>
      </c>
      <c r="K23" s="37" t="n">
        <f>407324387</f>
        <v>4.07324387E8</v>
      </c>
      <c r="L23" s="25" t="n">
        <f>454018200</f>
        <v>4.540182E8</v>
      </c>
      <c r="M23" s="37" t="n">
        <f>454018200</f>
        <v>4.540182E8</v>
      </c>
      <c r="N23" s="25" t="n">
        <f>866132587</f>
        <v>8.66132587E8</v>
      </c>
      <c r="O23" s="37" t="n">
        <f>861342587</f>
        <v>8.61342587E8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</f>
        <v>1.0</v>
      </c>
      <c r="G36" s="18" t="n">
        <f>0</f>
        <v>0.0</v>
      </c>
      <c r="H36" s="17" t="n">
        <f>1</f>
        <v>1.0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270000</f>
        <v>270000.0</v>
      </c>
      <c r="M36" s="18" t="n">
        <f>0</f>
        <v>0.0</v>
      </c>
      <c r="N36" s="17" t="n">
        <f>270000</f>
        <v>270000.0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11</f>
        <v>11.0</v>
      </c>
      <c r="G37" s="22" t="n">
        <f>0</f>
        <v>0.0</v>
      </c>
      <c r="H37" s="21" t="n">
        <f>11</f>
        <v>11.0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3190000</f>
        <v>3190000.0</v>
      </c>
      <c r="M37" s="22" t="n">
        <f>0</f>
        <v>0.0</v>
      </c>
      <c r="N37" s="21" t="n">
        <f>3190000</f>
        <v>3190000.0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150</f>
        <v>150.0</v>
      </c>
      <c r="E38" s="36" t="n">
        <f>50</f>
        <v>50.0</v>
      </c>
      <c r="F38" s="21" t="n">
        <f>205</f>
        <v>205.0</v>
      </c>
      <c r="G38" s="36" t="n">
        <f>50</f>
        <v>50.0</v>
      </c>
      <c r="H38" s="21" t="n">
        <f>355</f>
        <v>355.0</v>
      </c>
      <c r="I38" s="36" t="n">
        <f>100</f>
        <v>100.0</v>
      </c>
      <c r="J38" s="21" t="n">
        <f>46450000</f>
        <v>4.645E7</v>
      </c>
      <c r="K38" s="36" t="n">
        <f>15400000</f>
        <v>1.54E7</v>
      </c>
      <c r="L38" s="21" t="n">
        <f>62400000</f>
        <v>6.24E7</v>
      </c>
      <c r="M38" s="36" t="n">
        <f>14250000</f>
        <v>1.425E7</v>
      </c>
      <c r="N38" s="21" t="n">
        <f>108850000</f>
        <v>1.0885E8</v>
      </c>
      <c r="O38" s="36" t="n">
        <f>29650000</f>
        <v>2.965E7</v>
      </c>
    </row>
    <row r="39" spans="1:15" ht="24.9" customHeight="1">
      <c r="A39" s="38"/>
      <c r="B39" s="62"/>
      <c r="C39" s="24" t="s">
        <v>18</v>
      </c>
      <c r="D39" s="25" t="n">
        <f>150</f>
        <v>150.0</v>
      </c>
      <c r="E39" s="37" t="n">
        <f>50</f>
        <v>50.0</v>
      </c>
      <c r="F39" s="25" t="n">
        <f>217</f>
        <v>217.0</v>
      </c>
      <c r="G39" s="37" t="n">
        <f>50</f>
        <v>50.0</v>
      </c>
      <c r="H39" s="25" t="n">
        <f>367</f>
        <v>367.0</v>
      </c>
      <c r="I39" s="37" t="n">
        <f>100</f>
        <v>100.0</v>
      </c>
      <c r="J39" s="25" t="n">
        <f>46450000</f>
        <v>4.645E7</v>
      </c>
      <c r="K39" s="37" t="n">
        <f>15400000</f>
        <v>1.54E7</v>
      </c>
      <c r="L39" s="25" t="n">
        <f>65860000</f>
        <v>6.586E7</v>
      </c>
      <c r="M39" s="37" t="n">
        <f>14250000</f>
        <v>1.425E7</v>
      </c>
      <c r="N39" s="25" t="n">
        <f>112310000</f>
        <v>1.1231E8</v>
      </c>
      <c r="O39" s="37" t="n">
        <f>29650000</f>
        <v>2.965E7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3238</f>
        <v>3238.0</v>
      </c>
      <c r="E41" s="36" t="n">
        <f>1100</f>
        <v>1100.0</v>
      </c>
      <c r="F41" s="21" t="n">
        <f>4112</f>
        <v>4112.0</v>
      </c>
      <c r="G41" s="36" t="n">
        <f>0</f>
        <v>0.0</v>
      </c>
      <c r="H41" s="21" t="n">
        <f>7350</f>
        <v>7350.0</v>
      </c>
      <c r="I41" s="36" t="n">
        <f>1100</f>
        <v>1100.0</v>
      </c>
      <c r="J41" s="21" t="n">
        <f>32455229</f>
        <v>3.2455229E7</v>
      </c>
      <c r="K41" s="36" t="n">
        <f>26620000</f>
        <v>2.662E7</v>
      </c>
      <c r="L41" s="21" t="n">
        <f>20516757</f>
        <v>2.0516757E7</v>
      </c>
      <c r="M41" s="36" t="n">
        <f>0</f>
        <v>0.0</v>
      </c>
      <c r="N41" s="21" t="n">
        <f>52971986</f>
        <v>5.2971986E7</v>
      </c>
      <c r="O41" s="36" t="n">
        <f>26620000</f>
        <v>2.662E7</v>
      </c>
    </row>
    <row r="42" spans="1:15" ht="24.9" customHeight="1">
      <c r="A42" s="38"/>
      <c r="B42" s="62"/>
      <c r="C42" s="20" t="s">
        <v>17</v>
      </c>
      <c r="D42" s="21" t="n">
        <f>1354</f>
        <v>1354.0</v>
      </c>
      <c r="E42" s="36" t="n">
        <f>0</f>
        <v>0.0</v>
      </c>
      <c r="F42" s="21" t="n">
        <f>740</f>
        <v>740.0</v>
      </c>
      <c r="G42" s="36" t="n">
        <f>0</f>
        <v>0.0</v>
      </c>
      <c r="H42" s="21" t="n">
        <f>2094</f>
        <v>2094.0</v>
      </c>
      <c r="I42" s="36" t="n">
        <f>0</f>
        <v>0.0</v>
      </c>
      <c r="J42" s="21" t="n">
        <f>24506506</f>
        <v>2.4506506E7</v>
      </c>
      <c r="K42" s="36" t="n">
        <f>0</f>
        <v>0.0</v>
      </c>
      <c r="L42" s="21" t="n">
        <f>5383680</f>
        <v>5383680.0</v>
      </c>
      <c r="M42" s="36" t="n">
        <f>0</f>
        <v>0.0</v>
      </c>
      <c r="N42" s="21" t="n">
        <f>29890186</f>
        <v>2.9890186E7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4592</f>
        <v>4592.0</v>
      </c>
      <c r="E43" s="37" t="n">
        <f>1100</f>
        <v>1100.0</v>
      </c>
      <c r="F43" s="25" t="n">
        <f>4852</f>
        <v>4852.0</v>
      </c>
      <c r="G43" s="37" t="n">
        <f>0</f>
        <v>0.0</v>
      </c>
      <c r="H43" s="25" t="n">
        <f>9444</f>
        <v>9444.0</v>
      </c>
      <c r="I43" s="37" t="n">
        <f>1100</f>
        <v>1100.0</v>
      </c>
      <c r="J43" s="25" t="n">
        <f>56961735</f>
        <v>5.6961735E7</v>
      </c>
      <c r="K43" s="37" t="n">
        <f>26620000</f>
        <v>2.662E7</v>
      </c>
      <c r="L43" s="25" t="n">
        <f>25900437</f>
        <v>2.5900437E7</v>
      </c>
      <c r="M43" s="37" t="n">
        <f>0</f>
        <v>0.0</v>
      </c>
      <c r="N43" s="25" t="n">
        <f>82862172</f>
        <v>8.2862172E7</v>
      </c>
      <c r="O43" s="37" t="n">
        <f>26620000</f>
        <v>2.662E7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