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<sst xmlns="http://schemas.openxmlformats.org/spreadsheetml/2006/main" count="528" uniqueCount="129">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</sst>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DATE(2026,08,03)</f>
        <v>46237.0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DATE(2026,08,03)</f>
        <v>46237.0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1092997.0</f>
        <v>1092997.0</v>
      </c>
      <c r="E12" s="18" t="n">
        <f>45851.0</f>
        <v>45851.0</v>
      </c>
      <c r="F12" s="19" t="n">
        <f>1.0</f>
        <v>1.0</v>
      </c>
      <c r="G12" s="17" t="n">
        <f>7448824531065.0</f>
        <v>7.448824531065E12</v>
      </c>
      <c r="H12" s="18" t="n">
        <f>427244928340.0</f>
        <v>4.2724492834E11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673237.0</f>
        <v>673237.0</v>
      </c>
      <c r="E13" s="22" t="n">
        <f>21271.0</f>
        <v>21271.0</v>
      </c>
      <c r="F13" s="23" t="n">
        <f>1.0</f>
        <v>1.0</v>
      </c>
      <c r="G13" s="21" t="n">
        <f>6465687541615.0</f>
        <v>6.465687541615E12</v>
      </c>
      <c r="H13" s="22" t="n">
        <f>442673058090.0</f>
        <v>4.4267305809E11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513823.0</f>
        <v>513823.0</v>
      </c>
      <c r="E14" s="22" t="n">
        <f>35820.0</f>
        <v>35820.0</v>
      </c>
      <c r="F14" s="23" t="n">
        <f>1.0</f>
        <v>1.0</v>
      </c>
      <c r="G14" s="21" t="n">
        <f>5936826130465.0</f>
        <v>5.936826130465E12</v>
      </c>
      <c r="H14" s="22" t="n">
        <f>896246172440.0</f>
        <v>8.9624617244E11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2280057.0</f>
        <v>2280057.0</v>
      </c>
      <c r="E15" s="26" t="n">
        <f>102942.0</f>
        <v>102942.0</v>
      </c>
      <c r="F15" s="27" t="n">
        <f>1.0</f>
        <v>1.0</v>
      </c>
      <c r="G15" s="25" t="n">
        <f>19851338203145.0</f>
        <v>1.9851338203145E13</v>
      </c>
      <c r="H15" s="26" t="n">
        <f>1766164158870.0</f>
        <v>1.76616415887E12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17670.0</f>
        <v>17670.0</v>
      </c>
      <c r="E16" s="18" t="n">
        <f>159.0</f>
        <v>159.0</v>
      </c>
      <c r="F16" s="19" t="n">
        <f>0.016</f>
        <v>0.016</v>
      </c>
      <c r="G16" s="17" t="n">
        <f>2120822000625.0</f>
        <v>2.120822000625E12</v>
      </c>
      <c r="H16" s="18" t="n">
        <f>20168280000.0</f>
        <v>2.016828E10</v>
      </c>
      <c r="I16" s="19" t="n">
        <f>0.285</f>
        <v>0.285</v>
      </c>
    </row>
    <row r="17" spans="1:9" ht="24.9" customHeight="1">
      <c r="A17" s="41"/>
      <c r="B17" s="39"/>
      <c r="C17" s="20" t="s">
        <v>16</v>
      </c>
      <c r="D17" s="21" t="n">
        <f>14999.0</f>
        <v>14999.0</v>
      </c>
      <c r="E17" s="22" t="n">
        <f>1659.0</f>
        <v>1659.0</v>
      </c>
      <c r="F17" s="23" t="n">
        <f>0.022</f>
        <v>0.022</v>
      </c>
      <c r="G17" s="21" t="n">
        <f>1740388470875.0</f>
        <v>1.740388470875E12</v>
      </c>
      <c r="H17" s="22" t="n">
        <f>210342390000.0</f>
        <v>2.1034239E11</v>
      </c>
      <c r="I17" s="23" t="n">
        <f>0.269</f>
        <v>0.269</v>
      </c>
    </row>
    <row r="18" spans="1:9" ht="24.9" customHeight="1">
      <c r="A18" s="41"/>
      <c r="B18" s="39"/>
      <c r="C18" s="20" t="s">
        <v>17</v>
      </c>
      <c r="D18" s="21" t="n">
        <f>16168.0</f>
        <v>16168.0</v>
      </c>
      <c r="E18" s="22" t="n">
        <f>967.0</f>
        <v>967.0</v>
      </c>
      <c r="F18" s="23" t="n">
        <f>0.031</f>
        <v>0.031</v>
      </c>
      <c r="G18" s="21" t="n">
        <f>1670220132375.0</f>
        <v>1.670220132375E12</v>
      </c>
      <c r="H18" s="22" t="n">
        <f>122506860000.0</f>
        <v>1.2250686E11</v>
      </c>
      <c r="I18" s="23" t="n">
        <f>0.281</f>
        <v>0.281</v>
      </c>
    </row>
    <row r="19" spans="1:9" ht="24.9" customHeight="1">
      <c r="A19" s="41"/>
      <c r="B19" s="39"/>
      <c r="C19" s="24" t="s">
        <v>18</v>
      </c>
      <c r="D19" s="25" t="n">
        <f>48837.0</f>
        <v>48837.0</v>
      </c>
      <c r="E19" s="26" t="n">
        <f>2785.0</f>
        <v>2785.0</v>
      </c>
      <c r="F19" s="27" t="n">
        <f>0.021</f>
        <v>0.021</v>
      </c>
      <c r="G19" s="25" t="n">
        <f>5531430603875.0</f>
        <v>5.531430603875E12</v>
      </c>
      <c r="H19" s="26" t="n">
        <f>353017530000.0</f>
        <v>3.5301753E11</v>
      </c>
      <c r="I19" s="27" t="n">
        <f>0.279</f>
        <v>0.279</v>
      </c>
    </row>
    <row r="20" spans="1:9" ht="24.9" customHeight="1">
      <c r="A20" s="41"/>
      <c r="B20" s="39" t="s">
        <v>21</v>
      </c>
      <c r="C20" s="16" t="s">
        <v>15</v>
      </c>
      <c r="D20" s="17" t="n">
        <f>1055735.0</f>
        <v>1055735.0</v>
      </c>
      <c r="E20" s="18" t="n">
        <f>45692.0</f>
        <v>45692.0</v>
      </c>
      <c r="F20" s="19" t="n">
        <f>0.966</f>
        <v>0.966</v>
      </c>
      <c r="G20" s="17" t="n">
        <f>5126368945940.0</f>
        <v>5.12636894594E12</v>
      </c>
      <c r="H20" s="18" t="n">
        <f>407076648340.0</f>
        <v>4.0707664834E11</v>
      </c>
      <c r="I20" s="19" t="n">
        <f>0.688</f>
        <v>0.688</v>
      </c>
    </row>
    <row r="21" spans="1:9" ht="24.9" customHeight="1">
      <c r="A21" s="41"/>
      <c r="B21" s="39"/>
      <c r="C21" s="20" t="s">
        <v>16</v>
      </c>
      <c r="D21" s="21" t="n">
        <f>647561.0</f>
        <v>647561.0</v>
      </c>
      <c r="E21" s="22" t="n">
        <f>19588.0</f>
        <v>19588.0</v>
      </c>
      <c r="F21" s="23" t="n">
        <f>0.962</f>
        <v>0.962</v>
      </c>
      <c r="G21" s="21" t="n">
        <f>4611331056240.0</f>
        <v>4.61133105624E12</v>
      </c>
      <c r="H21" s="22" t="n">
        <f>232319004090.0</f>
        <v>2.3231900409E11</v>
      </c>
      <c r="I21" s="23" t="n">
        <f>0.713</f>
        <v>0.713</v>
      </c>
    </row>
    <row r="22" spans="1:9" ht="24.9" customHeight="1">
      <c r="A22" s="41"/>
      <c r="B22" s="39"/>
      <c r="C22" s="20" t="s">
        <v>17</v>
      </c>
      <c r="D22" s="21" t="n">
        <f>487272.0</f>
        <v>487272.0</v>
      </c>
      <c r="E22" s="22" t="n">
        <f>34753.0</f>
        <v>34753.0</v>
      </c>
      <c r="F22" s="23" t="n">
        <f>0.948</f>
        <v>0.948</v>
      </c>
      <c r="G22" s="21" t="n">
        <f>4196813406740.0</f>
        <v>4.19681340674E12</v>
      </c>
      <c r="H22" s="22" t="n">
        <f>773589024440.0</f>
        <v>7.7358902444E11</v>
      </c>
      <c r="I22" s="23" t="n">
        <f>0.707</f>
        <v>0.707</v>
      </c>
    </row>
    <row r="23" spans="1:9" ht="24.9" customHeight="1">
      <c r="A23" s="41"/>
      <c r="B23" s="39"/>
      <c r="C23" s="24" t="s">
        <v>18</v>
      </c>
      <c r="D23" s="25" t="n">
        <f>2190568.0</f>
        <v>2190568.0</v>
      </c>
      <c r="E23" s="26" t="n">
        <f>100033.0</f>
        <v>100033.0</v>
      </c>
      <c r="F23" s="27" t="n">
        <f>0.961</f>
        <v>0.961</v>
      </c>
      <c r="G23" s="25" t="n">
        <f>13934513408920.0</f>
        <v>1.393451340892E13</v>
      </c>
      <c r="H23" s="26" t="n">
        <f>1412984676870.0</f>
        <v>1.41298467687E12</v>
      </c>
      <c r="I23" s="27" t="n">
        <f>0.702</f>
        <v>0.702</v>
      </c>
    </row>
    <row r="24" spans="1:9" ht="24.9" customHeight="1">
      <c r="A24" s="41"/>
      <c r="B24" s="39" t="s">
        <v>22</v>
      </c>
      <c r="C24" s="16" t="s">
        <v>15</v>
      </c>
      <c r="D24" s="17" t="n">
        <f>19244.0</f>
        <v>19244.0</v>
      </c>
      <c r="E24" s="18" t="n">
        <f>0.0</f>
        <v>0.0</v>
      </c>
      <c r="F24" s="19" t="n">
        <f>0.018</f>
        <v>0.018</v>
      </c>
      <c r="G24" s="17" t="n">
        <f>200343564000.0</f>
        <v>2.00343564E11</v>
      </c>
      <c r="H24" s="18" t="n">
        <f>0.0</f>
        <v>0.0</v>
      </c>
      <c r="I24" s="19" t="n">
        <f>0.027</f>
        <v>0.027</v>
      </c>
    </row>
    <row r="25" spans="1:9" ht="24.9" customHeight="1">
      <c r="A25" s="41"/>
      <c r="B25" s="39"/>
      <c r="C25" s="20" t="s">
        <v>16</v>
      </c>
      <c r="D25" s="21" t="n">
        <f>10309.0</f>
        <v>10309.0</v>
      </c>
      <c r="E25" s="22" t="n">
        <f>0.0</f>
        <v>0.0</v>
      </c>
      <c r="F25" s="23" t="n">
        <f>0.015</f>
        <v>0.015</v>
      </c>
      <c r="G25" s="21" t="n">
        <f>112729914500.0</f>
        <v>1.127299145E11</v>
      </c>
      <c r="H25" s="22" t="n">
        <f>0.0</f>
        <v>0.0</v>
      </c>
      <c r="I25" s="23" t="n">
        <f>0.017</f>
        <v>0.017</v>
      </c>
    </row>
    <row r="26" spans="1:9" ht="24.9" customHeight="1">
      <c r="A26" s="41"/>
      <c r="B26" s="39"/>
      <c r="C26" s="20" t="s">
        <v>17</v>
      </c>
      <c r="D26" s="21" t="n">
        <f>8729.0</f>
        <v>8729.0</v>
      </c>
      <c r="E26" s="22" t="n">
        <f>0.0</f>
        <v>0.0</v>
      </c>
      <c r="F26" s="23" t="n">
        <f>0.017</f>
        <v>0.017</v>
      </c>
      <c r="G26" s="21" t="n">
        <f>64147752850.0</f>
        <v>6.414775285E10</v>
      </c>
      <c r="H26" s="22" t="n">
        <f>0.0</f>
        <v>0.0</v>
      </c>
      <c r="I26" s="23" t="n">
        <f>0.011</f>
        <v>0.011</v>
      </c>
    </row>
    <row r="27" spans="1:9" ht="24.9" customHeight="1">
      <c r="A27" s="42"/>
      <c r="B27" s="39"/>
      <c r="C27" s="24" t="s">
        <v>18</v>
      </c>
      <c r="D27" s="25" t="n">
        <f>38282.0</f>
        <v>38282.0</v>
      </c>
      <c r="E27" s="26" t="n">
        <f>0.0</f>
        <v>0.0</v>
      </c>
      <c r="F27" s="27" t="n">
        <f>0.017</f>
        <v>0.017</v>
      </c>
      <c r="G27" s="25" t="n">
        <f>377221231350.0</f>
        <v>3.7722123135E11</v>
      </c>
      <c r="H27" s="26" t="n">
        <f>0.0</f>
        <v>0.0</v>
      </c>
      <c r="I27" s="27" t="n">
        <f>0.019</f>
        <v>0.019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348.0</f>
        <v>348.0</v>
      </c>
      <c r="E28" s="18" t="n">
        <f>0.0</f>
        <v>0.0</v>
      </c>
      <c r="F28" s="19" t="n">
        <f>0.0</f>
        <v>0.0</v>
      </c>
      <c r="G28" s="17" t="n">
        <f>1290020500.0</f>
        <v>1.2900205E9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368.0</f>
        <v>368.0</v>
      </c>
      <c r="E29" s="22" t="n">
        <f>24.0</f>
        <v>24.0</v>
      </c>
      <c r="F29" s="23" t="n">
        <f>0.001</f>
        <v>0.001</v>
      </c>
      <c r="G29" s="21" t="n">
        <f>1238100000.0</f>
        <v>1.2381E9</v>
      </c>
      <c r="H29" s="22" t="n">
        <f>11664000.0</f>
        <v>1.1664E7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1654.0</f>
        <v>1654.0</v>
      </c>
      <c r="E30" s="22" t="n">
        <f>100.0</f>
        <v>100.0</v>
      </c>
      <c r="F30" s="23" t="n">
        <f>0.003</f>
        <v>0.003</v>
      </c>
      <c r="G30" s="21" t="n">
        <f>5644838500.0</f>
        <v>5.6448385E9</v>
      </c>
      <c r="H30" s="22" t="n">
        <f>150288000.0</f>
        <v>1.50288E8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2370.0</f>
        <v>2370.0</v>
      </c>
      <c r="E31" s="26" t="n">
        <f>124.0</f>
        <v>124.0</v>
      </c>
      <c r="F31" s="27" t="n">
        <f>0.001</f>
        <v>0.001</v>
      </c>
      <c r="G31" s="25" t="n">
        <f>8172959000.0</f>
        <v>8.172959E9</v>
      </c>
      <c r="H31" s="26" t="n">
        <f>161952000.0</f>
        <v>1.61952E8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46237.0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46237.0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24938</f>
        <v>24938.0</v>
      </c>
      <c r="E11" s="18" t="n">
        <f>5491</f>
        <v>5491.0</v>
      </c>
      <c r="F11" s="19" t="n">
        <f>1</f>
        <v>1.0</v>
      </c>
      <c r="G11" s="17" t="n">
        <f>7004065530</f>
        <v>7.00406553E9</v>
      </c>
      <c r="H11" s="18" t="n">
        <f>5110675930</f>
        <v>5.11067593E9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35074</f>
        <v>35074.0</v>
      </c>
      <c r="E12" s="22" t="n">
        <f>2771</f>
        <v>2771.0</v>
      </c>
      <c r="F12" s="23" t="n">
        <f>1</f>
        <v>1.0</v>
      </c>
      <c r="G12" s="21" t="n">
        <f>5084118020</f>
        <v>5.08411802E9</v>
      </c>
      <c r="H12" s="22" t="n">
        <f>3348685470</f>
        <v>3.34868547E9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43734</f>
        <v>43734.0</v>
      </c>
      <c r="E13" s="22" t="n">
        <f>10850</f>
        <v>10850.0</v>
      </c>
      <c r="F13" s="23" t="n">
        <f>1</f>
        <v>1.0</v>
      </c>
      <c r="G13" s="21" t="n">
        <f>22781511254</f>
        <v>2.2781511254E10</v>
      </c>
      <c r="H13" s="22" t="n">
        <f>19572732939</f>
        <v>1.9572732939E10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103746</f>
        <v>103746.0</v>
      </c>
      <c r="E14" s="26" t="n">
        <f>19112</f>
        <v>19112.0</v>
      </c>
      <c r="F14" s="27" t="n">
        <f>1</f>
        <v>1.0</v>
      </c>
      <c r="G14" s="25" t="n">
        <f>34869694804</f>
        <v>3.4869694804E10</v>
      </c>
      <c r="H14" s="26" t="n">
        <f>28032094339</f>
        <v>2.8032094339E10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115</f>
        <v>115.0</v>
      </c>
      <c r="E15" s="18" t="n">
        <f>115</f>
        <v>115.0</v>
      </c>
      <c r="F15" s="19" t="n">
        <f>0.005</f>
        <v>0.005</v>
      </c>
      <c r="G15" s="17" t="n">
        <f>52400000</f>
        <v>5.24E7</v>
      </c>
      <c r="H15" s="18" t="n">
        <f>52400000</f>
        <v>5.24E7</v>
      </c>
      <c r="I15" s="19" t="n">
        <f>0.007</f>
        <v>0.007</v>
      </c>
    </row>
    <row r="16" spans="1:9" ht="24.9" customHeight="1">
      <c r="A16" s="41"/>
      <c r="B16" s="39"/>
      <c r="C16" s="20" t="s">
        <v>16</v>
      </c>
      <c r="D16" s="21" t="n">
        <f>61</f>
        <v>61.0</v>
      </c>
      <c r="E16" s="22" t="n">
        <f>0</f>
        <v>0.0</v>
      </c>
      <c r="F16" s="23" t="n">
        <f>0.002</f>
        <v>0.002</v>
      </c>
      <c r="G16" s="21" t="n">
        <f>12810000</f>
        <v>1.281E7</v>
      </c>
      <c r="H16" s="22" t="n">
        <f>0</f>
        <v>0.0</v>
      </c>
      <c r="I16" s="23" t="n">
        <f>0.003</f>
        <v>0.003</v>
      </c>
    </row>
    <row r="17" spans="1:9" ht="24.9" customHeight="1">
      <c r="A17" s="41"/>
      <c r="B17" s="39"/>
      <c r="C17" s="20" t="s">
        <v>17</v>
      </c>
      <c r="D17" s="21" t="n">
        <f>238</f>
        <v>238.0</v>
      </c>
      <c r="E17" s="22" t="n">
        <f>75</f>
        <v>75.0</v>
      </c>
      <c r="F17" s="23" t="n">
        <f>0.005</f>
        <v>0.005</v>
      </c>
      <c r="G17" s="21" t="n">
        <f>35940000</f>
        <v>3.594E7</v>
      </c>
      <c r="H17" s="22" t="n">
        <f>21900000</f>
        <v>2.19E7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414</f>
        <v>414.0</v>
      </c>
      <c r="E18" s="26" t="n">
        <f>190</f>
        <v>190.0</v>
      </c>
      <c r="F18" s="27" t="n">
        <f>0.004</f>
        <v>0.004</v>
      </c>
      <c r="G18" s="25" t="n">
        <f>101150000</f>
        <v>1.0115E8</v>
      </c>
      <c r="H18" s="26" t="n">
        <f>74300000</f>
        <v>7.43E7</v>
      </c>
      <c r="I18" s="27" t="n">
        <f>0.003</f>
        <v>0.003</v>
      </c>
    </row>
    <row r="19" spans="1:9" ht="24.9" customHeight="1">
      <c r="A19" s="41"/>
      <c r="B19" s="39" t="s">
        <v>31</v>
      </c>
      <c r="C19" s="16" t="s">
        <v>15</v>
      </c>
      <c r="D19" s="17" t="n">
        <f>24823</f>
        <v>24823.0</v>
      </c>
      <c r="E19" s="18" t="n">
        <f>5376</f>
        <v>5376.0</v>
      </c>
      <c r="F19" s="19" t="n">
        <f>0.995</f>
        <v>0.995</v>
      </c>
      <c r="G19" s="17" t="n">
        <f>6951665530</f>
        <v>6.95166553E9</v>
      </c>
      <c r="H19" s="18" t="n">
        <f>5058275930</f>
        <v>5.05827593E9</v>
      </c>
      <c r="I19" s="19" t="n">
        <f>0.993</f>
        <v>0.993</v>
      </c>
    </row>
    <row r="20" spans="1:9" ht="24.9" customHeight="1">
      <c r="A20" s="41"/>
      <c r="B20" s="39"/>
      <c r="C20" s="20" t="s">
        <v>16</v>
      </c>
      <c r="D20" s="21" t="n">
        <f>18976</f>
        <v>18976.0</v>
      </c>
      <c r="E20" s="22" t="n">
        <f>2771</f>
        <v>2771.0</v>
      </c>
      <c r="F20" s="23" t="n">
        <f>0.541</f>
        <v>0.541</v>
      </c>
      <c r="G20" s="21" t="n">
        <f>4950131970</f>
        <v>4.95013197E9</v>
      </c>
      <c r="H20" s="22" t="n">
        <f>3348685470</f>
        <v>3.34868547E9</v>
      </c>
      <c r="I20" s="23" t="n">
        <f>0.974</f>
        <v>0.974</v>
      </c>
    </row>
    <row r="21" spans="1:9" ht="24.9" customHeight="1">
      <c r="A21" s="41"/>
      <c r="B21" s="39"/>
      <c r="C21" s="20" t="s">
        <v>17</v>
      </c>
      <c r="D21" s="21" t="n">
        <f>24964</f>
        <v>24964.0</v>
      </c>
      <c r="E21" s="22" t="n">
        <f>10775</f>
        <v>10775.0</v>
      </c>
      <c r="F21" s="23" t="n">
        <f>0.571</f>
        <v>0.571</v>
      </c>
      <c r="G21" s="21" t="n">
        <f>22570763439</f>
        <v>2.2570763439E10</v>
      </c>
      <c r="H21" s="22" t="n">
        <f>19550832939</f>
        <v>1.9550832939E10</v>
      </c>
      <c r="I21" s="23" t="n">
        <f>0.991</f>
        <v>0.991</v>
      </c>
    </row>
    <row r="22" spans="1:9" ht="24.9" customHeight="1">
      <c r="A22" s="41"/>
      <c r="B22" s="39"/>
      <c r="C22" s="24" t="s">
        <v>18</v>
      </c>
      <c r="D22" s="25" t="n">
        <f>68763</f>
        <v>68763.0</v>
      </c>
      <c r="E22" s="26" t="n">
        <f>18922</f>
        <v>18922.0</v>
      </c>
      <c r="F22" s="27" t="n">
        <f>0.663</f>
        <v>0.663</v>
      </c>
      <c r="G22" s="25" t="n">
        <f>34472560939</f>
        <v>3.4472560939E10</v>
      </c>
      <c r="H22" s="26" t="n">
        <f>27957794339</f>
        <v>2.7957794339E10</v>
      </c>
      <c r="I22" s="27" t="n">
        <f>0.989</f>
        <v>0.989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16037</f>
        <v>16037.0</v>
      </c>
      <c r="E24" s="22" t="n">
        <f>0</f>
        <v>0.0</v>
      </c>
      <c r="F24" s="23" t="n">
        <f>0.457</f>
        <v>0.457</v>
      </c>
      <c r="G24" s="21" t="n">
        <f>121176050</f>
        <v>1.2117605E8</v>
      </c>
      <c r="H24" s="22" t="n">
        <f>0</f>
        <v>0.0</v>
      </c>
      <c r="I24" s="23" t="n">
        <f>0.024</f>
        <v>0.024</v>
      </c>
    </row>
    <row r="25" spans="1:9" ht="24.9" customHeight="1">
      <c r="A25" s="41"/>
      <c r="B25" s="39"/>
      <c r="C25" s="20" t="s">
        <v>17</v>
      </c>
      <c r="D25" s="21" t="n">
        <f>18532</f>
        <v>18532.0</v>
      </c>
      <c r="E25" s="22" t="n">
        <f>0</f>
        <v>0.0</v>
      </c>
      <c r="F25" s="23" t="n">
        <f>0.424</f>
        <v>0.424</v>
      </c>
      <c r="G25" s="21" t="n">
        <f>174807815</f>
        <v>1.74807815E8</v>
      </c>
      <c r="H25" s="22" t="n">
        <f>0</f>
        <v>0.0</v>
      </c>
      <c r="I25" s="23" t="n">
        <f>0.008</f>
        <v>0.008</v>
      </c>
    </row>
    <row r="26" spans="1:9" ht="24.9" customHeight="1">
      <c r="A26" s="41"/>
      <c r="B26" s="39"/>
      <c r="C26" s="24" t="s">
        <v>18</v>
      </c>
      <c r="D26" s="25" t="n">
        <f>34569</f>
        <v>34569.0</v>
      </c>
      <c r="E26" s="26" t="n">
        <f>0</f>
        <v>0.0</v>
      </c>
      <c r="F26" s="27" t="n">
        <f>0.333</f>
        <v>0.333</v>
      </c>
      <c r="G26" s="25" t="n">
        <f>295983865</f>
        <v>2.95983865E8</v>
      </c>
      <c r="H26" s="26" t="n">
        <f>0</f>
        <v>0.0</v>
      </c>
      <c r="I26" s="27" t="n">
        <f>0.008</f>
        <v>0.008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46237.0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46237.0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17823.0</v>
      </c>
      <c r="F12" s="18" t="n">
        <f>1082</f>
        <v>1082.0</v>
      </c>
      <c r="G12" s="17" t="n">
        <v>1.1327720146E12</v>
      </c>
      <c r="H12" s="18" t="n">
        <f>68954203600</f>
        <v>6.89542036E10</v>
      </c>
    </row>
    <row r="13" spans="1:8" ht="24.9" customHeight="1">
      <c r="A13" s="51"/>
      <c r="B13" s="57"/>
      <c r="C13" s="39"/>
      <c r="D13" s="20" t="s">
        <v>16</v>
      </c>
      <c r="E13" s="21" t="n">
        <v>19797.0</v>
      </c>
      <c r="F13" s="22" t="n">
        <f>1801</f>
        <v>1801.0</v>
      </c>
      <c r="G13" s="21" t="n">
        <v>1.2531633384E12</v>
      </c>
      <c r="H13" s="22" t="n">
        <f>114297845400</f>
        <v>1.142978454E11</v>
      </c>
    </row>
    <row r="14" spans="1:8" ht="24.9" customHeight="1">
      <c r="A14" s="51"/>
      <c r="B14" s="57"/>
      <c r="C14" s="39"/>
      <c r="D14" s="20" t="s">
        <v>17</v>
      </c>
      <c r="E14" s="21" t="n">
        <v>19244.0</v>
      </c>
      <c r="F14" s="22" t="n">
        <f>4724</f>
        <v>4724.0</v>
      </c>
      <c r="G14" s="21" t="n">
        <v>1.22449463986E12</v>
      </c>
      <c r="H14" s="22" t="n">
        <f>300137939860</f>
        <v>3.0013793986E11</v>
      </c>
    </row>
    <row r="15" spans="1:8" ht="24.9" customHeight="1">
      <c r="A15" s="51"/>
      <c r="B15" s="57"/>
      <c r="C15" s="39"/>
      <c r="D15" s="24" t="s">
        <v>18</v>
      </c>
      <c r="E15" s="25" t="n">
        <v>56864.0</v>
      </c>
      <c r="F15" s="26" t="n">
        <f>7607</f>
        <v>7607.0</v>
      </c>
      <c r="G15" s="25" t="n">
        <v>3.61042999286E12</v>
      </c>
      <c r="H15" s="26" t="n">
        <f>483389988860</f>
        <v>4.8338998886E11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389524.0</v>
      </c>
      <c r="F16" s="18" t="n">
        <f>42436</f>
        <v>42436.0</v>
      </c>
      <c r="G16" s="17" t="n">
        <v>2.4727303991E12</v>
      </c>
      <c r="H16" s="18" t="n">
        <f>269493792600</f>
        <v>2.694937926E11</v>
      </c>
    </row>
    <row r="17" spans="1:8" ht="24.9" customHeight="1">
      <c r="A17" s="51"/>
      <c r="B17" s="57"/>
      <c r="C17" s="39"/>
      <c r="D17" s="20" t="s">
        <v>16</v>
      </c>
      <c r="E17" s="21" t="n">
        <v>248899.0</v>
      </c>
      <c r="F17" s="22" t="n">
        <f>17100</f>
        <v>17100.0</v>
      </c>
      <c r="G17" s="21" t="n">
        <v>1.57510605934E12</v>
      </c>
      <c r="H17" s="22" t="n">
        <f>108350794340</f>
        <v>1.0835079434E11</v>
      </c>
    </row>
    <row r="18" spans="1:8" ht="24.9" customHeight="1">
      <c r="A18" s="51"/>
      <c r="B18" s="57"/>
      <c r="C18" s="39"/>
      <c r="D18" s="20" t="s">
        <v>17</v>
      </c>
      <c r="E18" s="21" t="n">
        <v>196425.0</v>
      </c>
      <c r="F18" s="22" t="n">
        <f>20469</f>
        <v>20469.0</v>
      </c>
      <c r="G18" s="21" t="n">
        <v>1.24995910433E12</v>
      </c>
      <c r="H18" s="22" t="n">
        <f>130240513330</f>
        <v>1.3024051333E11</v>
      </c>
    </row>
    <row r="19" spans="1:8" ht="24.9" customHeight="1">
      <c r="A19" s="51"/>
      <c r="B19" s="57"/>
      <c r="C19" s="39"/>
      <c r="D19" s="24" t="s">
        <v>18</v>
      </c>
      <c r="E19" s="25" t="n">
        <v>834848.0</v>
      </c>
      <c r="F19" s="26" t="n">
        <f>80005</f>
        <v>80005.0</v>
      </c>
      <c r="G19" s="25" t="n">
        <v>5.29779556277E12</v>
      </c>
      <c r="H19" s="26" t="n">
        <f>508085100270</f>
        <v>5.0808510027E11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609365.0</v>
      </c>
      <c r="F20" s="18" t="str">
        <f>"－"</f>
        <v>－</v>
      </c>
      <c r="G20" s="17" t="n">
        <v>3.869611437E11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318961.0</v>
      </c>
      <c r="F21" s="22" t="str">
        <f>"－"</f>
        <v>－</v>
      </c>
      <c r="G21" s="21" t="n">
        <v>2.0187285565E11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221082.0</v>
      </c>
      <c r="F22" s="22" t="str">
        <f>"－"</f>
        <v>－</v>
      </c>
      <c r="G22" s="21" t="n">
        <v>1.406344497E11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1149408.0</v>
      </c>
      <c r="F23" s="26" t="str">
        <f>"－"</f>
        <v>－</v>
      </c>
      <c r="G23" s="25" t="n">
        <v>7.2946844905E11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27632.0</v>
      </c>
      <c r="F24" s="18" t="n">
        <f>1665</f>
        <v>1665.0</v>
      </c>
      <c r="G24" s="17" t="n">
        <v>1.09738480204E12</v>
      </c>
      <c r="H24" s="18" t="n">
        <f>66687612040</f>
        <v>6.668761204E10</v>
      </c>
    </row>
    <row r="25" spans="1:8" ht="24.9" customHeight="1">
      <c r="A25" s="51"/>
      <c r="B25" s="57"/>
      <c r="C25" s="39"/>
      <c r="D25" s="20" t="s">
        <v>16</v>
      </c>
      <c r="E25" s="21" t="n">
        <v>38357.0</v>
      </c>
      <c r="F25" s="22" t="n">
        <f>209</f>
        <v>209.0</v>
      </c>
      <c r="G25" s="21" t="n">
        <v>1.504302328E12</v>
      </c>
      <c r="H25" s="22" t="n">
        <f>8238933000</f>
        <v>8.238933E9</v>
      </c>
    </row>
    <row r="26" spans="1:8" ht="24.9" customHeight="1">
      <c r="A26" s="51"/>
      <c r="B26" s="57"/>
      <c r="C26" s="39"/>
      <c r="D26" s="20" t="s">
        <v>17</v>
      </c>
      <c r="E26" s="21" t="n">
        <v>38921.0</v>
      </c>
      <c r="F26" s="22" t="n">
        <f>8599</f>
        <v>8599.0</v>
      </c>
      <c r="G26" s="21" t="n">
        <v>1.53869787352E12</v>
      </c>
      <c r="H26" s="22" t="n">
        <f>340190753520</f>
        <v>3.4019075352E11</v>
      </c>
    </row>
    <row r="27" spans="1:8" ht="24.9" customHeight="1">
      <c r="A27" s="51"/>
      <c r="B27" s="57"/>
      <c r="C27" s="39"/>
      <c r="D27" s="24" t="s">
        <v>18</v>
      </c>
      <c r="E27" s="25" t="n">
        <v>104910.0</v>
      </c>
      <c r="F27" s="26" t="n">
        <f>10473</f>
        <v>10473.0</v>
      </c>
      <c r="G27" s="25" t="n">
        <v>4.14038500356E12</v>
      </c>
      <c r="H27" s="26" t="n">
        <f>415117298560</f>
        <v>4.1511729856E11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6968.0</v>
      </c>
      <c r="F28" s="18" t="n">
        <f>471</f>
        <v>471.0</v>
      </c>
      <c r="G28" s="17" t="n">
        <v>2.7679724E10</v>
      </c>
      <c r="H28" s="18" t="n">
        <f>1876190500</f>
        <v>1.8761905E9</v>
      </c>
    </row>
    <row r="29" spans="1:8" ht="24.9" customHeight="1">
      <c r="A29" s="51"/>
      <c r="B29" s="57"/>
      <c r="C29" s="39"/>
      <c r="D29" s="20" t="s">
        <v>16</v>
      </c>
      <c r="E29" s="21" t="n">
        <v>16787.0</v>
      </c>
      <c r="F29" s="22" t="n">
        <f>247</f>
        <v>247.0</v>
      </c>
      <c r="G29" s="21" t="n">
        <v>6.583562335E10</v>
      </c>
      <c r="H29" s="22" t="n">
        <f>968075350</f>
        <v>9.6807535E8</v>
      </c>
    </row>
    <row r="30" spans="1:8" ht="24.9" customHeight="1">
      <c r="A30" s="51"/>
      <c r="B30" s="57"/>
      <c r="C30" s="39"/>
      <c r="D30" s="20" t="s">
        <v>17</v>
      </c>
      <c r="E30" s="21" t="n">
        <v>9596.0</v>
      </c>
      <c r="F30" s="22" t="n">
        <f>453</f>
        <v>453.0</v>
      </c>
      <c r="G30" s="21" t="n">
        <v>3.79167382E10</v>
      </c>
      <c r="H30" s="22" t="n">
        <f>1790980200</f>
        <v>1.7909802E9</v>
      </c>
    </row>
    <row r="31" spans="1:8" ht="24.9" customHeight="1">
      <c r="A31" s="51"/>
      <c r="B31" s="57"/>
      <c r="C31" s="39"/>
      <c r="D31" s="24" t="s">
        <v>18</v>
      </c>
      <c r="E31" s="25" t="n">
        <v>33351.0</v>
      </c>
      <c r="F31" s="26" t="n">
        <f>1171</f>
        <v>1171.0</v>
      </c>
      <c r="G31" s="25" t="n">
        <v>1.3143208555E11</v>
      </c>
      <c r="H31" s="26" t="n">
        <f>4635246050</f>
        <v>4.63524605E9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735.0</v>
      </c>
      <c r="F36" s="18" t="n">
        <f>0</f>
        <v>0.0</v>
      </c>
      <c r="G36" s="17" t="n">
        <v>2.6351195E9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1938.0</v>
      </c>
      <c r="F37" s="22" t="n">
        <f>3</f>
        <v>3.0</v>
      </c>
      <c r="G37" s="21" t="n">
        <v>6.8674375E9</v>
      </c>
      <c r="H37" s="22" t="n">
        <f>10690000</f>
        <v>1.069E7</v>
      </c>
    </row>
    <row r="38" spans="1:8" ht="24.9" customHeight="1">
      <c r="A38" s="51"/>
      <c r="B38" s="57"/>
      <c r="C38" s="39"/>
      <c r="D38" s="20" t="s">
        <v>17</v>
      </c>
      <c r="E38" s="21" t="n">
        <v>884.0</v>
      </c>
      <c r="F38" s="22" t="n">
        <f>3</f>
        <v>3.0</v>
      </c>
      <c r="G38" s="21" t="n">
        <v>3.1626445E9</v>
      </c>
      <c r="H38" s="22" t="n">
        <f>10669000</f>
        <v>1.0669E7</v>
      </c>
    </row>
    <row r="39" spans="1:8" ht="24.9" customHeight="1">
      <c r="A39" s="51"/>
      <c r="B39" s="57"/>
      <c r="C39" s="39"/>
      <c r="D39" s="24" t="s">
        <v>18</v>
      </c>
      <c r="E39" s="25" t="n">
        <v>3557.0</v>
      </c>
      <c r="F39" s="26" t="n">
        <f>6</f>
        <v>6.0</v>
      </c>
      <c r="G39" s="25" t="n">
        <v>1.26652015E10</v>
      </c>
      <c r="H39" s="26" t="n">
        <f>21359000</f>
        <v>2.1359E7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15.0</v>
      </c>
      <c r="F45" s="22" t="n">
        <f>15</f>
        <v>15.0</v>
      </c>
      <c r="G45" s="21" t="n">
        <v>1.062E8</v>
      </c>
      <c r="H45" s="22" t="n">
        <f>106200000</f>
        <v>1.062E8</v>
      </c>
    </row>
    <row r="46" spans="1:8" ht="24.9" customHeight="1">
      <c r="A46" s="51"/>
      <c r="B46" s="57"/>
      <c r="C46" s="39"/>
      <c r="D46" s="20" t="s">
        <v>17</v>
      </c>
      <c r="E46" s="21" t="n">
        <v>55.0</v>
      </c>
      <c r="F46" s="22" t="n">
        <f>55</f>
        <v>55.0</v>
      </c>
      <c r="G46" s="21" t="n">
        <v>3.97876E8</v>
      </c>
      <c r="H46" s="22" t="n">
        <f>397876000</f>
        <v>3.97876E8</v>
      </c>
    </row>
    <row r="47" spans="1:8" ht="24.9" customHeight="1">
      <c r="A47" s="51"/>
      <c r="B47" s="57"/>
      <c r="C47" s="39"/>
      <c r="D47" s="24" t="s">
        <v>18</v>
      </c>
      <c r="E47" s="25" t="n">
        <v>70.0</v>
      </c>
      <c r="F47" s="26" t="n">
        <f>70</f>
        <v>70.0</v>
      </c>
      <c r="G47" s="25" t="n">
        <v>5.04076E8</v>
      </c>
      <c r="H47" s="26" t="n">
        <f>504076000</f>
        <v>5.04076E8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15.0</v>
      </c>
      <c r="F48" s="18" t="n">
        <f>14</f>
        <v>14.0</v>
      </c>
      <c r="G48" s="17" t="n">
        <v>2.76817E7</v>
      </c>
      <c r="H48" s="18" t="n">
        <f>25846700</f>
        <v>2.58467E7</v>
      </c>
    </row>
    <row r="49" spans="1:8" ht="24.9" customHeight="1">
      <c r="A49" s="51"/>
      <c r="B49" s="57"/>
      <c r="C49" s="39"/>
      <c r="D49" s="20" t="s">
        <v>16</v>
      </c>
      <c r="E49" s="21" t="n">
        <v>272.0</v>
      </c>
      <c r="F49" s="22" t="n">
        <f>136</f>
        <v>136.0</v>
      </c>
      <c r="G49" s="21" t="n">
        <v>4.972875E8</v>
      </c>
      <c r="H49" s="22" t="n">
        <f>248880000</f>
        <v>2.4888E8</v>
      </c>
    </row>
    <row r="50" spans="1:8" ht="24.9" customHeight="1">
      <c r="A50" s="51"/>
      <c r="B50" s="57"/>
      <c r="C50" s="39"/>
      <c r="D50" s="20" t="s">
        <v>17</v>
      </c>
      <c r="E50" s="21" t="n">
        <v>582.0</v>
      </c>
      <c r="F50" s="22" t="n">
        <f>436</f>
        <v>436.0</v>
      </c>
      <c r="G50" s="21" t="n">
        <v>1.05260887E9</v>
      </c>
      <c r="H50" s="22" t="n">
        <f>787722870</f>
        <v>7.8772287E8</v>
      </c>
    </row>
    <row r="51" spans="1:8" ht="24.9" customHeight="1">
      <c r="A51" s="51"/>
      <c r="B51" s="57"/>
      <c r="C51" s="39"/>
      <c r="D51" s="24" t="s">
        <v>18</v>
      </c>
      <c r="E51" s="25" t="n">
        <v>869.0</v>
      </c>
      <c r="F51" s="26" t="n">
        <f>586</f>
        <v>586.0</v>
      </c>
      <c r="G51" s="25" t="n">
        <v>1.57757807E9</v>
      </c>
      <c r="H51" s="26" t="n">
        <f>1062449570</f>
        <v>1.06244957E9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709.0</v>
      </c>
      <c r="F56" s="18" t="n">
        <f>19</f>
        <v>19.0</v>
      </c>
      <c r="G56" s="17" t="n">
        <v>4.76644E8</v>
      </c>
      <c r="H56" s="18" t="n">
        <f>12745000</f>
        <v>1.2745E7</v>
      </c>
    </row>
    <row r="57" spans="1:8" ht="24.9" customHeight="1">
      <c r="A57" s="51"/>
      <c r="B57" s="57"/>
      <c r="C57" s="39"/>
      <c r="D57" s="20" t="s">
        <v>16</v>
      </c>
      <c r="E57" s="21" t="n">
        <v>760.0</v>
      </c>
      <c r="F57" s="22" t="n">
        <f>67</f>
        <v>67.0</v>
      </c>
      <c r="G57" s="21" t="n">
        <v>5.08225E8</v>
      </c>
      <c r="H57" s="22" t="n">
        <f>44779000</f>
        <v>4.4779E7</v>
      </c>
    </row>
    <row r="58" spans="1:8" ht="24.9" customHeight="1">
      <c r="A58" s="51"/>
      <c r="B58" s="57"/>
      <c r="C58" s="39"/>
      <c r="D58" s="20" t="s">
        <v>17</v>
      </c>
      <c r="E58" s="21" t="n">
        <v>404.0</v>
      </c>
      <c r="F58" s="22" t="n">
        <f>9</f>
        <v>9.0</v>
      </c>
      <c r="G58" s="21" t="n">
        <v>2.7412316E8</v>
      </c>
      <c r="H58" s="22" t="n">
        <f>6113160</f>
        <v>6113160.0</v>
      </c>
    </row>
    <row r="59" spans="1:8" ht="24.9" customHeight="1">
      <c r="A59" s="51"/>
      <c r="B59" s="57"/>
      <c r="C59" s="39"/>
      <c r="D59" s="24" t="s">
        <v>18</v>
      </c>
      <c r="E59" s="25" t="n">
        <v>1873.0</v>
      </c>
      <c r="F59" s="26" t="n">
        <f>95</f>
        <v>95.0</v>
      </c>
      <c r="G59" s="25" t="n">
        <v>1.25899216E9</v>
      </c>
      <c r="H59" s="26" t="n">
        <f>63637160</f>
        <v>6.363716E7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197.0</v>
      </c>
      <c r="F60" s="18" t="n">
        <f>5</f>
        <v>5.0</v>
      </c>
      <c r="G60" s="17" t="n">
        <v>1.0348364E9</v>
      </c>
      <c r="H60" s="18" t="n">
        <f>26257900</f>
        <v>2.62579E7</v>
      </c>
    </row>
    <row r="61" spans="1:8" ht="24.9" customHeight="1">
      <c r="A61" s="51"/>
      <c r="B61" s="57"/>
      <c r="C61" s="39"/>
      <c r="D61" s="20" t="s">
        <v>16</v>
      </c>
      <c r="E61" s="21" t="n">
        <v>68.0</v>
      </c>
      <c r="F61" s="22" t="n">
        <f>10</f>
        <v>10.0</v>
      </c>
      <c r="G61" s="21" t="n">
        <v>3.591929E8</v>
      </c>
      <c r="H61" s="22" t="n">
        <f>52807000</f>
        <v>5.2807E7</v>
      </c>
    </row>
    <row r="62" spans="1:8" ht="24.9" customHeight="1">
      <c r="A62" s="51"/>
      <c r="B62" s="57"/>
      <c r="C62" s="39"/>
      <c r="D62" s="20" t="s">
        <v>17</v>
      </c>
      <c r="E62" s="21" t="n">
        <v>23.0</v>
      </c>
      <c r="F62" s="22" t="n">
        <f>5</f>
        <v>5.0</v>
      </c>
      <c r="G62" s="21" t="n">
        <v>1.217045E8</v>
      </c>
      <c r="H62" s="22" t="n">
        <f>26456500</f>
        <v>2.64565E7</v>
      </c>
    </row>
    <row r="63" spans="1:8" ht="24.9" customHeight="1">
      <c r="A63" s="51"/>
      <c r="B63" s="57"/>
      <c r="C63" s="39"/>
      <c r="D63" s="24" t="s">
        <v>18</v>
      </c>
      <c r="E63" s="25" t="n">
        <v>288.0</v>
      </c>
      <c r="F63" s="26" t="n">
        <f>20</f>
        <v>20.0</v>
      </c>
      <c r="G63" s="25" t="n">
        <v>1.5157338E9</v>
      </c>
      <c r="H63" s="26" t="n">
        <f>105521400</f>
        <v>1.055214E8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769000.0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2.0</v>
      </c>
      <c r="F78" s="22" t="n">
        <f>0</f>
        <v>0.0</v>
      </c>
      <c r="G78" s="21" t="n">
        <v>734500.0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4.0</v>
      </c>
      <c r="F79" s="26" t="n">
        <f>0</f>
        <v>0.0</v>
      </c>
      <c r="G79" s="25" t="n">
        <v>1503500.0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2128.0</v>
      </c>
      <c r="F92" s="18" t="n">
        <f>0</f>
        <v>0.0</v>
      </c>
      <c r="G92" s="17" t="n">
        <v>3.3738857E9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1535.0</v>
      </c>
      <c r="F93" s="22" t="n">
        <f>0</f>
        <v>0.0</v>
      </c>
      <c r="G93" s="21" t="n">
        <v>2.3970184E9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32.0</v>
      </c>
      <c r="F94" s="22" t="n">
        <f>0</f>
        <v>0.0</v>
      </c>
      <c r="G94" s="21" t="n">
        <v>4.99592E7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3695.0</v>
      </c>
      <c r="F95" s="26" t="n">
        <f>0</f>
        <v>0.0</v>
      </c>
      <c r="G95" s="25" t="n">
        <v>5.8208633E9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234.0</v>
      </c>
      <c r="F96" s="18" t="n">
        <f>0</f>
        <v>0.0</v>
      </c>
      <c r="G96" s="17" t="n">
        <v>5.517437E8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14.0</v>
      </c>
      <c r="F97" s="22" t="n">
        <f>0</f>
        <v>0.0</v>
      </c>
      <c r="G97" s="21" t="n">
        <v>3.23984E7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22.0</v>
      </c>
      <c r="F98" s="22" t="n">
        <f>0</f>
        <v>0.0</v>
      </c>
      <c r="G98" s="21" t="n">
        <v>5.09504E7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270.0</v>
      </c>
      <c r="F99" s="26" t="n">
        <f>0</f>
        <v>0.0</v>
      </c>
      <c r="G99" s="25" t="n">
        <v>6.350925E8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405.0</v>
      </c>
      <c r="F100" s="18" t="n">
        <f>0</f>
        <v>0.0</v>
      </c>
      <c r="G100" s="17" t="n">
        <v>7.409515E8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156.0</v>
      </c>
      <c r="F101" s="22" t="n">
        <f>0</f>
        <v>0.0</v>
      </c>
      <c r="G101" s="21" t="n">
        <v>2.823228E8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561.0</v>
      </c>
      <c r="F103" s="26" t="n">
        <f>0</f>
        <v>0.0</v>
      </c>
      <c r="G103" s="25" t="n">
        <v>1.0232743E9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16478.0</v>
      </c>
      <c r="F108" s="18" t="n">
        <f>159</f>
        <v>159.0</v>
      </c>
      <c r="G108" s="17" t="n">
        <v>2.09136892E12</v>
      </c>
      <c r="H108" s="18" t="n">
        <f>20168280000</f>
        <v>2.016828E10</v>
      </c>
    </row>
    <row r="109" spans="1:8" ht="24.9" customHeight="1">
      <c r="A109" s="51"/>
      <c r="B109" s="57"/>
      <c r="C109" s="39"/>
      <c r="D109" s="20" t="s">
        <v>16</v>
      </c>
      <c r="E109" s="21" t="n">
        <v>13429.0</v>
      </c>
      <c r="F109" s="22" t="n">
        <f>1659</f>
        <v>1659.0</v>
      </c>
      <c r="G109" s="21" t="n">
        <v>1.70307169E12</v>
      </c>
      <c r="H109" s="22" t="n">
        <f>210342390000</f>
        <v>2.1034239E11</v>
      </c>
    </row>
    <row r="110" spans="1:8" ht="24.9" customHeight="1">
      <c r="A110" s="51"/>
      <c r="B110" s="57"/>
      <c r="C110" s="39"/>
      <c r="D110" s="20" t="s">
        <v>17</v>
      </c>
      <c r="E110" s="21" t="n">
        <v>12480.0</v>
      </c>
      <c r="F110" s="22" t="n">
        <f>967</f>
        <v>967.0</v>
      </c>
      <c r="G110" s="21" t="n">
        <v>1.58118071E12</v>
      </c>
      <c r="H110" s="22" t="n">
        <f>122506860000</f>
        <v>1.2250686E11</v>
      </c>
    </row>
    <row r="111" spans="1:8" ht="24.9" customHeight="1">
      <c r="A111" s="51"/>
      <c r="B111" s="57"/>
      <c r="C111" s="39"/>
      <c r="D111" s="24" t="s">
        <v>18</v>
      </c>
      <c r="E111" s="25" t="n">
        <v>42387.0</v>
      </c>
      <c r="F111" s="26" t="n">
        <f>2785</f>
        <v>2785.0</v>
      </c>
      <c r="G111" s="25" t="n">
        <v>5.37562132E12</v>
      </c>
      <c r="H111" s="26" t="n">
        <f>353017530000</f>
        <v>3.5301753E11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121.0</v>
      </c>
      <c r="F113" s="22" t="n">
        <f>0</f>
        <v>0.0</v>
      </c>
      <c r="G113" s="21" t="n">
        <v>1.535854E9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3.0</v>
      </c>
      <c r="F114" s="22" t="n">
        <f>0</f>
        <v>0.0</v>
      </c>
      <c r="G114" s="21" t="n">
        <v>3.8003E7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124.0</v>
      </c>
      <c r="F115" s="26" t="n">
        <f>0</f>
        <v>0.0</v>
      </c>
      <c r="G115" s="25" t="n">
        <v>1.573857E9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135.0</v>
      </c>
      <c r="F118" s="22" t="n">
        <f>0</f>
        <v>0.0</v>
      </c>
      <c r="G118" s="21" t="n">
        <v>1.218125E9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135.0</v>
      </c>
      <c r="F119" s="26" t="n">
        <f>0</f>
        <v>0.0</v>
      </c>
      <c r="G119" s="25" t="n">
        <v>1.218125E9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1192.0</v>
      </c>
      <c r="F120" s="18" t="n">
        <f>0</f>
        <v>0.0</v>
      </c>
      <c r="G120" s="17" t="n">
        <v>2.9453080625E10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1449.0</v>
      </c>
      <c r="F121" s="22" t="n">
        <f>0</f>
        <v>0.0</v>
      </c>
      <c r="G121" s="21" t="n">
        <v>3.5780926875E10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3550.0</v>
      </c>
      <c r="F122" s="22" t="n">
        <f>0</f>
        <v>0.0</v>
      </c>
      <c r="G122" s="21" t="n">
        <v>8.7783294375E10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6191.0</v>
      </c>
      <c r="F123" s="26" t="n">
        <f>0</f>
        <v>0.0</v>
      </c>
      <c r="G123" s="25" t="n">
        <v>1.53017301875E11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8229.0</v>
      </c>
      <c r="F124" s="18" t="n">
        <f>0</f>
        <v>0.0</v>
      </c>
      <c r="G124" s="17" t="n">
        <v>1.74724046E11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4762.0</v>
      </c>
      <c r="F125" s="22" t="n">
        <f>0</f>
        <v>0.0</v>
      </c>
      <c r="G125" s="21" t="n">
        <v>9.9583896E10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2442.0</v>
      </c>
      <c r="F126" s="22" t="n">
        <f>0</f>
        <v>0.0</v>
      </c>
      <c r="G126" s="21" t="n">
        <v>5.1025381E10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15433.0</v>
      </c>
      <c r="F127" s="26" t="n">
        <f>0</f>
        <v>0.0</v>
      </c>
      <c r="G127" s="25" t="n">
        <v>3.25333323E11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216.0</v>
      </c>
      <c r="F128" s="18" t="n">
        <f>0</f>
        <v>0.0</v>
      </c>
      <c r="G128" s="17" t="n">
        <v>4.5516E8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174.0</v>
      </c>
      <c r="F129" s="22" t="n">
        <f>0</f>
        <v>0.0</v>
      </c>
      <c r="G129" s="21" t="n">
        <v>3.627301E8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194.0</v>
      </c>
      <c r="F130" s="22" t="n">
        <f>0</f>
        <v>0.0</v>
      </c>
      <c r="G130" s="21" t="n">
        <v>4.039088E8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584.0</v>
      </c>
      <c r="F131" s="26" t="n">
        <f>0</f>
        <v>0.0</v>
      </c>
      <c r="G131" s="25" t="n">
        <v>1.2217989E9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8449.0</v>
      </c>
      <c r="F132" s="18" t="n">
        <f>0</f>
        <v>0.0</v>
      </c>
      <c r="G132" s="17" t="n">
        <v>1.797189935E10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2750.0</v>
      </c>
      <c r="F133" s="22" t="n">
        <f>0</f>
        <v>0.0</v>
      </c>
      <c r="G133" s="21" t="n">
        <v>5.75952785E9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2032.0</v>
      </c>
      <c r="F134" s="22" t="n">
        <f>0</f>
        <v>0.0</v>
      </c>
      <c r="G134" s="21" t="n">
        <v>4.2560948E9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13231.0</v>
      </c>
      <c r="F135" s="26" t="n">
        <f>0</f>
        <v>0.0</v>
      </c>
      <c r="G135" s="25" t="n">
        <v>2.7987522E10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105.0</v>
      </c>
      <c r="F136" s="18" t="n">
        <f>0</f>
        <v>0.0</v>
      </c>
      <c r="G136" s="17" t="n">
        <v>2.202024E8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42.0</v>
      </c>
      <c r="F137" s="22" t="n">
        <f>0</f>
        <v>0.0</v>
      </c>
      <c r="G137" s="21" t="n">
        <v>8.67163E7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35.0</v>
      </c>
      <c r="F138" s="22" t="n">
        <f>0</f>
        <v>0.0</v>
      </c>
      <c r="G138" s="21" t="n">
        <v>7.24044E7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182.0</v>
      </c>
      <c r="F139" s="26" t="n">
        <f>0</f>
        <v>0.0</v>
      </c>
      <c r="G139" s="25" t="n">
        <v>3.793231E8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1406.0</v>
      </c>
      <c r="F144" s="18" t="n">
        <f>0</f>
        <v>0.0</v>
      </c>
      <c r="G144" s="17" t="n">
        <v>5.8273425E9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1134.0</v>
      </c>
      <c r="F145" s="22" t="n">
        <f>0</f>
        <v>0.0</v>
      </c>
      <c r="G145" s="21" t="n">
        <v>4.675126E9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1117.0</v>
      </c>
      <c r="F146" s="22" t="n">
        <f>0</f>
        <v>0.0</v>
      </c>
      <c r="G146" s="21" t="n">
        <v>4.597552E9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3657.0</v>
      </c>
      <c r="F147" s="26" t="n">
        <f>0</f>
        <v>0.0</v>
      </c>
      <c r="G147" s="25" t="n">
        <v>1.51000205E10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13.0</v>
      </c>
      <c r="F148" s="18" t="n">
        <f>0</f>
        <v>0.0</v>
      </c>
      <c r="G148" s="17" t="n">
        <v>1.10048E7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111.0</v>
      </c>
      <c r="F149" s="22" t="n">
        <f>0</f>
        <v>0.0</v>
      </c>
      <c r="G149" s="21" t="n">
        <v>9.35104E7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154.0</v>
      </c>
      <c r="F150" s="22" t="n">
        <f>0</f>
        <v>0.0</v>
      </c>
      <c r="G150" s="21" t="n">
        <v>1.29445E8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278.0</v>
      </c>
      <c r="F151" s="26" t="n">
        <f>0</f>
        <v>0.0</v>
      </c>
      <c r="G151" s="25" t="n">
        <v>2.339602E8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364.0</v>
      </c>
      <c r="F152" s="18" t="n">
        <f>0</f>
        <v>0.0</v>
      </c>
      <c r="G152" s="17" t="n">
        <v>3.0108285E8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334.0</v>
      </c>
      <c r="F153" s="22" t="n">
        <f>0</f>
        <v>0.0</v>
      </c>
      <c r="G153" s="21" t="n">
        <v>2.7466865E8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471.0</v>
      </c>
      <c r="F154" s="22" t="n">
        <f>0</f>
        <v>0.0</v>
      </c>
      <c r="G154" s="21" t="n">
        <v>3.8721285E8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1169.0</v>
      </c>
      <c r="F155" s="26" t="n">
        <f>0</f>
        <v>0.0</v>
      </c>
      <c r="G155" s="25" t="n">
        <v>9.6296435E8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103.0</v>
      </c>
      <c r="F156" s="18" t="n">
        <f>0</f>
        <v>0.0</v>
      </c>
      <c r="G156" s="17" t="n">
        <v>8.53601E7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136.0</v>
      </c>
      <c r="F157" s="22" t="n">
        <f>0</f>
        <v>0.0</v>
      </c>
      <c r="G157" s="21" t="n">
        <v>1.124007E8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1147.0</v>
      </c>
      <c r="F158" s="22" t="n">
        <f>0</f>
        <v>0.0</v>
      </c>
      <c r="G158" s="21" t="n">
        <v>9.44535E8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1386.0</v>
      </c>
      <c r="F159" s="26" t="n">
        <f>0</f>
        <v>0.0</v>
      </c>
      <c r="G159" s="25" t="n">
        <v>1.1422958E9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359.0</v>
      </c>
      <c r="F168" s="18" t="n">
        <f>0</f>
        <v>0.0</v>
      </c>
      <c r="G168" s="17" t="n">
        <v>7.47466E8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826.0</v>
      </c>
      <c r="F169" s="22" t="n">
        <f>0</f>
        <v>0.0</v>
      </c>
      <c r="G169" s="21" t="n">
        <v>1.7119385E9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1089.0</v>
      </c>
      <c r="F170" s="22" t="n">
        <f>0</f>
        <v>0.0</v>
      </c>
      <c r="G170" s="21" t="n">
        <v>2.248095E9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2274.0</v>
      </c>
      <c r="F171" s="26" t="n">
        <f>0</f>
        <v>0.0</v>
      </c>
      <c r="G171" s="25" t="n">
        <v>4.7074995E9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40.0</v>
      </c>
      <c r="F177" s="22" t="n">
        <f>0</f>
        <v>0.0</v>
      </c>
      <c r="G177" s="21" t="n">
        <v>6.94E7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48.0</v>
      </c>
      <c r="F178" s="22" t="n">
        <f>0</f>
        <v>0.0</v>
      </c>
      <c r="G178" s="21" t="n">
        <v>8.3124E7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88.0</v>
      </c>
      <c r="F179" s="26" t="n">
        <f>0</f>
        <v>0.0</v>
      </c>
      <c r="G179" s="25" t="n">
        <v>1.52524E8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348.0</v>
      </c>
      <c r="F204" s="18" t="n">
        <f>0</f>
        <v>0.0</v>
      </c>
      <c r="G204" s="17" t="n">
        <v>1.2900205E9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344.0</v>
      </c>
      <c r="F205" s="22" t="n">
        <f>0</f>
        <v>0.0</v>
      </c>
      <c r="G205" s="21" t="n">
        <v>1.226436E9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1554.0</v>
      </c>
      <c r="F206" s="22" t="n">
        <f>0</f>
        <v>0.0</v>
      </c>
      <c r="G206" s="21" t="n">
        <v>5.4945505E9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2246.0</v>
      </c>
      <c r="F207" s="26" t="n">
        <f>0</f>
        <v>0.0</v>
      </c>
      <c r="G207" s="25" t="n">
        <v>8.011007E9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100.0</v>
      </c>
      <c r="F210" s="22" t="n">
        <f>100</f>
        <v>100.0</v>
      </c>
      <c r="G210" s="21" t="n">
        <v>1.50288E8</v>
      </c>
      <c r="H210" s="22" t="n">
        <f>150288000</f>
        <v>1.50288E8</v>
      </c>
    </row>
    <row r="211" spans="1:8" ht="24.9" customHeight="1">
      <c r="A211" s="57"/>
      <c r="B211" s="59"/>
      <c r="C211" s="39"/>
      <c r="D211" s="24" t="s">
        <v>18</v>
      </c>
      <c r="E211" s="25" t="n">
        <v>100.0</v>
      </c>
      <c r="F211" s="26" t="n">
        <f>100</f>
        <v>100.0</v>
      </c>
      <c r="G211" s="25" t="n">
        <v>1.50288E8</v>
      </c>
      <c r="H211" s="26" t="n">
        <f>150288000</f>
        <v>1.50288E8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24.0</v>
      </c>
      <c r="F225" s="22" t="n">
        <f>24</f>
        <v>24.0</v>
      </c>
      <c r="G225" s="21" t="n">
        <v>1.1664E7</v>
      </c>
      <c r="H225" s="22" t="n">
        <f>11664000</f>
        <v>1.1664E7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24.0</v>
      </c>
      <c r="F227" s="26" t="n">
        <f>24</f>
        <v>24.0</v>
      </c>
      <c r="G227" s="25" t="n">
        <v>1.1664E7</v>
      </c>
      <c r="H227" s="26" t="n">
        <f>11664000</f>
        <v>1.1664E7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46237.0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46237.0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4190</f>
        <v>4190.0</v>
      </c>
      <c r="E12" s="35" t="n">
        <f>2705</f>
        <v>2705.0</v>
      </c>
      <c r="F12" s="17" t="n">
        <f>3151</f>
        <v>3151.0</v>
      </c>
      <c r="G12" s="35" t="n">
        <f>1551</f>
        <v>1551.0</v>
      </c>
      <c r="H12" s="17" t="n">
        <f>7341</f>
        <v>7341.0</v>
      </c>
      <c r="I12" s="35" t="n">
        <f>4256</f>
        <v>4256.0</v>
      </c>
      <c r="J12" s="17" t="n">
        <f>4184863220</f>
        <v>4.18486322E9</v>
      </c>
      <c r="K12" s="35" t="n">
        <f>3668862220</f>
        <v>3.66886222E9</v>
      </c>
      <c r="L12" s="17" t="n">
        <f>1867583220</f>
        <v>1.86758322E9</v>
      </c>
      <c r="M12" s="35" t="n">
        <f>1357711220</f>
        <v>1.35771122E9</v>
      </c>
      <c r="N12" s="17" t="n">
        <f>6052446440</f>
        <v>6.05244644E9</v>
      </c>
      <c r="O12" s="35" t="n">
        <f>5026573440</f>
        <v>5.02657344E9</v>
      </c>
    </row>
    <row r="13" spans="1:15" ht="24.9" customHeight="1">
      <c r="A13" s="38"/>
      <c r="B13" s="62"/>
      <c r="C13" s="20" t="s">
        <v>16</v>
      </c>
      <c r="D13" s="21" t="n">
        <f>3449</f>
        <v>3449.0</v>
      </c>
      <c r="E13" s="36" t="n">
        <f>1150</f>
        <v>1150.0</v>
      </c>
      <c r="F13" s="21" t="n">
        <f>2928</f>
        <v>2928.0</v>
      </c>
      <c r="G13" s="36" t="n">
        <f>1021</f>
        <v>1021.0</v>
      </c>
      <c r="H13" s="21" t="n">
        <f>6377</f>
        <v>6377.0</v>
      </c>
      <c r="I13" s="36" t="n">
        <f>2171</f>
        <v>2171.0</v>
      </c>
      <c r="J13" s="21" t="n">
        <f>2437239590</f>
        <v>2.43723959E9</v>
      </c>
      <c r="K13" s="36" t="n">
        <f>1814590590</f>
        <v>1.81459059E9</v>
      </c>
      <c r="L13" s="21" t="n">
        <f>2036464280</f>
        <v>2.03646428E9</v>
      </c>
      <c r="M13" s="36" t="n">
        <f>1464660280</f>
        <v>1.46466028E9</v>
      </c>
      <c r="N13" s="21" t="n">
        <f>4473703870</f>
        <v>4.47370387E9</v>
      </c>
      <c r="O13" s="36" t="n">
        <f>3279250870</f>
        <v>3.27925087E9</v>
      </c>
    </row>
    <row r="14" spans="1:15" ht="24.9" customHeight="1">
      <c r="A14" s="38"/>
      <c r="B14" s="62"/>
      <c r="C14" s="20" t="s">
        <v>17</v>
      </c>
      <c r="D14" s="21" t="n">
        <f>9734</f>
        <v>9734.0</v>
      </c>
      <c r="E14" s="36" t="n">
        <f>6348</f>
        <v>6348.0</v>
      </c>
      <c r="F14" s="21" t="n">
        <f>5270</f>
        <v>5270.0</v>
      </c>
      <c r="G14" s="36" t="n">
        <f>3251</f>
        <v>3251.0</v>
      </c>
      <c r="H14" s="21" t="n">
        <f>15004</f>
        <v>15004.0</v>
      </c>
      <c r="I14" s="36" t="n">
        <f>9599</f>
        <v>9599.0</v>
      </c>
      <c r="J14" s="21" t="n">
        <f>17826077889</f>
        <v>1.7826077889E10</v>
      </c>
      <c r="K14" s="36" t="n">
        <f>16154966889</f>
        <v>1.6154966889E10</v>
      </c>
      <c r="L14" s="21" t="n">
        <f>3795673800</f>
        <v>3.7956738E9</v>
      </c>
      <c r="M14" s="36" t="n">
        <f>2758092800</f>
        <v>2.7580928E9</v>
      </c>
      <c r="N14" s="21" t="n">
        <f>21621751689</f>
        <v>2.1621751689E10</v>
      </c>
      <c r="O14" s="36" t="n">
        <f>18913059689</f>
        <v>1.8913059689E10</v>
      </c>
    </row>
    <row r="15" spans="1:15" ht="24.9" customHeight="1">
      <c r="A15" s="38"/>
      <c r="B15" s="62"/>
      <c r="C15" s="24" t="s">
        <v>18</v>
      </c>
      <c r="D15" s="25" t="n">
        <f>17373</f>
        <v>17373.0</v>
      </c>
      <c r="E15" s="37" t="n">
        <f>10203</f>
        <v>10203.0</v>
      </c>
      <c r="F15" s="25" t="n">
        <f>11349</f>
        <v>11349.0</v>
      </c>
      <c r="G15" s="37" t="n">
        <f>5823</f>
        <v>5823.0</v>
      </c>
      <c r="H15" s="25" t="n">
        <f>28722</f>
        <v>28722.0</v>
      </c>
      <c r="I15" s="37" t="n">
        <f>16026</f>
        <v>16026.0</v>
      </c>
      <c r="J15" s="25" t="n">
        <f>24448180699</f>
        <v>2.4448180699E10</v>
      </c>
      <c r="K15" s="37" t="n">
        <f>21638419699</f>
        <v>2.1638419699E10</v>
      </c>
      <c r="L15" s="25" t="n">
        <f>7699721300</f>
        <v>7.6997213E9</v>
      </c>
      <c r="M15" s="37" t="n">
        <f>5580464300</f>
        <v>5.5804643E9</v>
      </c>
      <c r="N15" s="25" t="n">
        <f>32147901999</f>
        <v>3.2147901999E10</v>
      </c>
      <c r="O15" s="37" t="n">
        <f>27218883999</f>
        <v>2.7218883999E10</v>
      </c>
    </row>
    <row r="16" spans="1:15" ht="24.9" customHeight="1">
      <c r="A16" s="38"/>
      <c r="B16" s="61" t="s">
        <v>105</v>
      </c>
      <c r="C16" s="16" t="s">
        <v>15</v>
      </c>
      <c r="D16" s="17" t="n">
        <f>9332</f>
        <v>9332.0</v>
      </c>
      <c r="E16" s="35" t="n">
        <f>590</f>
        <v>590.0</v>
      </c>
      <c r="F16" s="17" t="n">
        <f>8150</f>
        <v>8150.0</v>
      </c>
      <c r="G16" s="35" t="n">
        <f>530</f>
        <v>530.0</v>
      </c>
      <c r="H16" s="17" t="n">
        <f>17482</f>
        <v>17482.0</v>
      </c>
      <c r="I16" s="35" t="n">
        <f>1120</f>
        <v>1120.0</v>
      </c>
      <c r="J16" s="17" t="n">
        <f>589939250</f>
        <v>5.8993925E8</v>
      </c>
      <c r="K16" s="35" t="n">
        <f>15835050</f>
        <v>1.583505E7</v>
      </c>
      <c r="L16" s="17" t="n">
        <f>309279840</f>
        <v>3.0927984E8</v>
      </c>
      <c r="M16" s="35" t="n">
        <f>15867440</f>
        <v>1.586744E7</v>
      </c>
      <c r="N16" s="17" t="n">
        <f>899219090</f>
        <v>8.9921909E8</v>
      </c>
      <c r="O16" s="35" t="n">
        <f>31702490</f>
        <v>3.170249E7</v>
      </c>
    </row>
    <row r="17" spans="1:15" ht="24.9" customHeight="1">
      <c r="A17" s="38"/>
      <c r="B17" s="62"/>
      <c r="C17" s="20" t="s">
        <v>16</v>
      </c>
      <c r="D17" s="21" t="n">
        <f>5122</f>
        <v>5122.0</v>
      </c>
      <c r="E17" s="36" t="n">
        <f>150</f>
        <v>150.0</v>
      </c>
      <c r="F17" s="21" t="n">
        <f>7087</f>
        <v>7087.0</v>
      </c>
      <c r="G17" s="36" t="n">
        <f>170</f>
        <v>170.0</v>
      </c>
      <c r="H17" s="21" t="n">
        <f>12209</f>
        <v>12209.0</v>
      </c>
      <c r="I17" s="36" t="n">
        <f>320</f>
        <v>320.0</v>
      </c>
      <c r="J17" s="21" t="n">
        <f>203842970</f>
        <v>2.0384297E8</v>
      </c>
      <c r="K17" s="36" t="n">
        <f>5703070</f>
        <v>5703070.0</v>
      </c>
      <c r="L17" s="21" t="n">
        <f>203127130</f>
        <v>2.0312713E8</v>
      </c>
      <c r="M17" s="36" t="n">
        <f>1973530</f>
        <v>1973530.0</v>
      </c>
      <c r="N17" s="21" t="n">
        <f>406970100</f>
        <v>4.069701E8</v>
      </c>
      <c r="O17" s="36" t="n">
        <f>7676600</f>
        <v>7676600.0</v>
      </c>
    </row>
    <row r="18" spans="1:15" ht="24.9" customHeight="1">
      <c r="A18" s="38"/>
      <c r="B18" s="62"/>
      <c r="C18" s="20" t="s">
        <v>17</v>
      </c>
      <c r="D18" s="21" t="n">
        <f>4114</f>
        <v>4114.0</v>
      </c>
      <c r="E18" s="36" t="n">
        <f>140</f>
        <v>140.0</v>
      </c>
      <c r="F18" s="21" t="n">
        <f>4935</f>
        <v>4935.0</v>
      </c>
      <c r="G18" s="36" t="n">
        <f>130</f>
        <v>130.0</v>
      </c>
      <c r="H18" s="21" t="n">
        <f>9049</f>
        <v>9049.0</v>
      </c>
      <c r="I18" s="36" t="n">
        <f>270</f>
        <v>270.0</v>
      </c>
      <c r="J18" s="21" t="n">
        <f>162973060</f>
        <v>1.6297306E8</v>
      </c>
      <c r="K18" s="36" t="n">
        <f>3562060</f>
        <v>3562060.0</v>
      </c>
      <c r="L18" s="21" t="n">
        <f>149564350</f>
        <v>1.4956435E8</v>
      </c>
      <c r="M18" s="36" t="n">
        <f>3361850</f>
        <v>3361850.0</v>
      </c>
      <c r="N18" s="21" t="n">
        <f>312537410</f>
        <v>3.1253741E8</v>
      </c>
      <c r="O18" s="36" t="n">
        <f>6923910</f>
        <v>6923910.0</v>
      </c>
    </row>
    <row r="19" spans="1:15" ht="24.9" customHeight="1">
      <c r="A19" s="38"/>
      <c r="B19" s="62"/>
      <c r="C19" s="24" t="s">
        <v>18</v>
      </c>
      <c r="D19" s="25" t="n">
        <f>18568</f>
        <v>18568.0</v>
      </c>
      <c r="E19" s="37" t="n">
        <f>880</f>
        <v>880.0</v>
      </c>
      <c r="F19" s="25" t="n">
        <f>20172</f>
        <v>20172.0</v>
      </c>
      <c r="G19" s="37" t="n">
        <f>830</f>
        <v>830.0</v>
      </c>
      <c r="H19" s="25" t="n">
        <f>38740</f>
        <v>38740.0</v>
      </c>
      <c r="I19" s="37" t="n">
        <f>1710</f>
        <v>1710.0</v>
      </c>
      <c r="J19" s="25" t="n">
        <f>956755280</f>
        <v>9.5675528E8</v>
      </c>
      <c r="K19" s="37" t="n">
        <f>25100180</f>
        <v>2.510018E7</v>
      </c>
      <c r="L19" s="25" t="n">
        <f>661971320</f>
        <v>6.6197132E8</v>
      </c>
      <c r="M19" s="37" t="n">
        <f>21202820</f>
        <v>2.120282E7</v>
      </c>
      <c r="N19" s="25" t="n">
        <f>1618726600</f>
        <v>1.6187266E9</v>
      </c>
      <c r="O19" s="37" t="n">
        <f>46303000</f>
        <v>4.6303E7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20</f>
        <v>20.0</v>
      </c>
      <c r="E21" s="36" t="n">
        <f>20</f>
        <v>20.0</v>
      </c>
      <c r="F21" s="21" t="n">
        <f>370</f>
        <v>370.0</v>
      </c>
      <c r="G21" s="36" t="n">
        <f>260</f>
        <v>260.0</v>
      </c>
      <c r="H21" s="21" t="n">
        <f>390</f>
        <v>390.0</v>
      </c>
      <c r="I21" s="36" t="n">
        <f>280</f>
        <v>280.0</v>
      </c>
      <c r="J21" s="21" t="n">
        <f>3880000</f>
        <v>3880000.0</v>
      </c>
      <c r="K21" s="36" t="n">
        <f>3880000</f>
        <v>3880000.0</v>
      </c>
      <c r="L21" s="21" t="n">
        <f>65578000</f>
        <v>6.5578E7</v>
      </c>
      <c r="M21" s="36" t="n">
        <f>57878000</f>
        <v>5.7878E7</v>
      </c>
      <c r="N21" s="21" t="n">
        <f>69458000</f>
        <v>6.9458E7</v>
      </c>
      <c r="O21" s="36" t="n">
        <f>61758000</f>
        <v>6.1758E7</v>
      </c>
    </row>
    <row r="22" spans="1:15" ht="24.9" customHeight="1">
      <c r="A22" s="38"/>
      <c r="B22" s="62"/>
      <c r="C22" s="20" t="s">
        <v>17</v>
      </c>
      <c r="D22" s="21" t="n">
        <f>656</f>
        <v>656.0</v>
      </c>
      <c r="E22" s="36" t="n">
        <f>656</f>
        <v>656.0</v>
      </c>
      <c r="F22" s="21" t="n">
        <f>255</f>
        <v>255.0</v>
      </c>
      <c r="G22" s="36" t="n">
        <f>250</f>
        <v>250.0</v>
      </c>
      <c r="H22" s="21" t="n">
        <f>911</f>
        <v>911.0</v>
      </c>
      <c r="I22" s="36" t="n">
        <f>906</f>
        <v>906.0</v>
      </c>
      <c r="J22" s="21" t="n">
        <f>609599340</f>
        <v>6.0959934E8</v>
      </c>
      <c r="K22" s="36" t="n">
        <f>609599340</f>
        <v>6.0959934E8</v>
      </c>
      <c r="L22" s="21" t="n">
        <f>26875000</f>
        <v>2.6875E7</v>
      </c>
      <c r="M22" s="36" t="n">
        <f>21250000</f>
        <v>2.125E7</v>
      </c>
      <c r="N22" s="21" t="n">
        <f>636474340</f>
        <v>6.3647434E8</v>
      </c>
      <c r="O22" s="36" t="n">
        <f>630849340</f>
        <v>6.3084934E8</v>
      </c>
    </row>
    <row r="23" spans="1:15" ht="24.9" customHeight="1">
      <c r="A23" s="38"/>
      <c r="B23" s="62"/>
      <c r="C23" s="24" t="s">
        <v>18</v>
      </c>
      <c r="D23" s="25" t="n">
        <f>676</f>
        <v>676.0</v>
      </c>
      <c r="E23" s="37" t="n">
        <f>676</f>
        <v>676.0</v>
      </c>
      <c r="F23" s="25" t="n">
        <f>625</f>
        <v>625.0</v>
      </c>
      <c r="G23" s="37" t="n">
        <f>510</f>
        <v>510.0</v>
      </c>
      <c r="H23" s="25" t="n">
        <f>1301</f>
        <v>1301.0</v>
      </c>
      <c r="I23" s="37" t="n">
        <f>1186</f>
        <v>1186.0</v>
      </c>
      <c r="J23" s="25" t="n">
        <f>613479340</f>
        <v>6.1347934E8</v>
      </c>
      <c r="K23" s="37" t="n">
        <f>613479340</f>
        <v>6.1347934E8</v>
      </c>
      <c r="L23" s="25" t="n">
        <f>92453000</f>
        <v>9.2453E7</v>
      </c>
      <c r="M23" s="37" t="n">
        <f>79128000</f>
        <v>7.9128E7</v>
      </c>
      <c r="N23" s="25" t="n">
        <f>705932340</f>
        <v>7.0593234E8</v>
      </c>
      <c r="O23" s="37" t="n">
        <f>692607340</f>
        <v>6.9260734E8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115</f>
        <v>115.0</v>
      </c>
      <c r="E36" s="18" t="n">
        <f>115</f>
        <v>115.0</v>
      </c>
      <c r="F36" s="17" t="n">
        <f>0</f>
        <v>0.0</v>
      </c>
      <c r="G36" s="18" t="n">
        <f>0</f>
        <v>0.0</v>
      </c>
      <c r="H36" s="17" t="n">
        <f>115</f>
        <v>115.0</v>
      </c>
      <c r="I36" s="18" t="n">
        <f>115</f>
        <v>115.0</v>
      </c>
      <c r="J36" s="17" t="n">
        <f>52400000</f>
        <v>5.24E7</v>
      </c>
      <c r="K36" s="18" t="n">
        <f>52400000</f>
        <v>5.24E7</v>
      </c>
      <c r="L36" s="17" t="n">
        <f>0</f>
        <v>0.0</v>
      </c>
      <c r="M36" s="18" t="n">
        <f>0</f>
        <v>0.0</v>
      </c>
      <c r="N36" s="17" t="n">
        <f>52400000</f>
        <v>5.24E7</v>
      </c>
      <c r="O36" s="18" t="n">
        <f>52400000</f>
        <v>5.24E7</v>
      </c>
    </row>
    <row r="37" spans="1:15" ht="24.9" customHeight="1">
      <c r="A37" s="38"/>
      <c r="B37" s="62"/>
      <c r="C37" s="20" t="s">
        <v>16</v>
      </c>
      <c r="D37" s="21" t="n">
        <f>37</f>
        <v>37.0</v>
      </c>
      <c r="E37" s="22" t="n">
        <f>0</f>
        <v>0.0</v>
      </c>
      <c r="F37" s="21" t="n">
        <f>24</f>
        <v>24.0</v>
      </c>
      <c r="G37" s="22" t="n">
        <f>0</f>
        <v>0.0</v>
      </c>
      <c r="H37" s="21" t="n">
        <f>61</f>
        <v>61.0</v>
      </c>
      <c r="I37" s="22" t="n">
        <f>0</f>
        <v>0.0</v>
      </c>
      <c r="J37" s="21" t="n">
        <f>5520000</f>
        <v>5520000.0</v>
      </c>
      <c r="K37" s="22" t="n">
        <f>0</f>
        <v>0.0</v>
      </c>
      <c r="L37" s="21" t="n">
        <f>7290000</f>
        <v>7290000.0</v>
      </c>
      <c r="M37" s="22" t="n">
        <f>0</f>
        <v>0.0</v>
      </c>
      <c r="N37" s="21" t="n">
        <f>12810000</f>
        <v>1.281E7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236</f>
        <v>236.0</v>
      </c>
      <c r="E38" s="36" t="n">
        <f>75</f>
        <v>75.0</v>
      </c>
      <c r="F38" s="21" t="n">
        <f>2</f>
        <v>2.0</v>
      </c>
      <c r="G38" s="36" t="n">
        <f>0</f>
        <v>0.0</v>
      </c>
      <c r="H38" s="21" t="n">
        <f>238</f>
        <v>238.0</v>
      </c>
      <c r="I38" s="36" t="n">
        <f>75</f>
        <v>75.0</v>
      </c>
      <c r="J38" s="21" t="n">
        <f>34980000</f>
        <v>3.498E7</v>
      </c>
      <c r="K38" s="36" t="n">
        <f>21900000</f>
        <v>2.19E7</v>
      </c>
      <c r="L38" s="21" t="n">
        <f>960000</f>
        <v>960000.0</v>
      </c>
      <c r="M38" s="36" t="n">
        <f>0</f>
        <v>0.0</v>
      </c>
      <c r="N38" s="21" t="n">
        <f>35940000</f>
        <v>3.594E7</v>
      </c>
      <c r="O38" s="36" t="n">
        <f>21900000</f>
        <v>2.19E7</v>
      </c>
    </row>
    <row r="39" spans="1:15" ht="24.9" customHeight="1">
      <c r="A39" s="38"/>
      <c r="B39" s="62"/>
      <c r="C39" s="24" t="s">
        <v>18</v>
      </c>
      <c r="D39" s="25" t="n">
        <f>388</f>
        <v>388.0</v>
      </c>
      <c r="E39" s="37" t="n">
        <f>190</f>
        <v>190.0</v>
      </c>
      <c r="F39" s="25" t="n">
        <f>26</f>
        <v>26.0</v>
      </c>
      <c r="G39" s="37" t="n">
        <f>0</f>
        <v>0.0</v>
      </c>
      <c r="H39" s="25" t="n">
        <f>414</f>
        <v>414.0</v>
      </c>
      <c r="I39" s="37" t="n">
        <f>190</f>
        <v>190.0</v>
      </c>
      <c r="J39" s="25" t="n">
        <f>92900000</f>
        <v>9.29E7</v>
      </c>
      <c r="K39" s="37" t="n">
        <f>74300000</f>
        <v>7.43E7</v>
      </c>
      <c r="L39" s="25" t="n">
        <f>8250000</f>
        <v>8250000.0</v>
      </c>
      <c r="M39" s="37" t="n">
        <f>0</f>
        <v>0.0</v>
      </c>
      <c r="N39" s="25" t="n">
        <f>101150000</f>
        <v>1.0115E8</v>
      </c>
      <c r="O39" s="37" t="n">
        <f>74300000</f>
        <v>7.43E7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4027</f>
        <v>4027.0</v>
      </c>
      <c r="E41" s="36" t="n">
        <f>0</f>
        <v>0.0</v>
      </c>
      <c r="F41" s="21" t="n">
        <f>12010</f>
        <v>12010.0</v>
      </c>
      <c r="G41" s="36" t="n">
        <f>0</f>
        <v>0.0</v>
      </c>
      <c r="H41" s="21" t="n">
        <f>16037</f>
        <v>16037.0</v>
      </c>
      <c r="I41" s="36" t="n">
        <f>0</f>
        <v>0.0</v>
      </c>
      <c r="J41" s="21" t="n">
        <f>110354640</f>
        <v>1.1035464E8</v>
      </c>
      <c r="K41" s="36" t="n">
        <f>0</f>
        <v>0.0</v>
      </c>
      <c r="L41" s="21" t="n">
        <f>10821410</f>
        <v>1.082141E7</v>
      </c>
      <c r="M41" s="36" t="n">
        <f>0</f>
        <v>0.0</v>
      </c>
      <c r="N41" s="21" t="n">
        <f>121176050</f>
        <v>1.2117605E8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12598</f>
        <v>12598.0</v>
      </c>
      <c r="E42" s="36" t="n">
        <f>0</f>
        <v>0.0</v>
      </c>
      <c r="F42" s="21" t="n">
        <f>5934</f>
        <v>5934.0</v>
      </c>
      <c r="G42" s="36" t="n">
        <f>0</f>
        <v>0.0</v>
      </c>
      <c r="H42" s="21" t="n">
        <f>18532</f>
        <v>18532.0</v>
      </c>
      <c r="I42" s="36" t="n">
        <f>0</f>
        <v>0.0</v>
      </c>
      <c r="J42" s="21" t="n">
        <f>124578860</f>
        <v>1.2457886E8</v>
      </c>
      <c r="K42" s="36" t="n">
        <f>0</f>
        <v>0.0</v>
      </c>
      <c r="L42" s="21" t="n">
        <f>50228955</f>
        <v>5.0228955E7</v>
      </c>
      <c r="M42" s="36" t="n">
        <f>0</f>
        <v>0.0</v>
      </c>
      <c r="N42" s="21" t="n">
        <f>174807815</f>
        <v>1.74807815E8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16625</f>
        <v>16625.0</v>
      </c>
      <c r="E43" s="37" t="n">
        <f>0</f>
        <v>0.0</v>
      </c>
      <c r="F43" s="25" t="n">
        <f>17944</f>
        <v>17944.0</v>
      </c>
      <c r="G43" s="37" t="n">
        <f>0</f>
        <v>0.0</v>
      </c>
      <c r="H43" s="25" t="n">
        <f>34569</f>
        <v>34569.0</v>
      </c>
      <c r="I43" s="37" t="n">
        <f>0</f>
        <v>0.0</v>
      </c>
      <c r="J43" s="25" t="n">
        <f>234933500</f>
        <v>2.349335E8</v>
      </c>
      <c r="K43" s="37" t="n">
        <f>0</f>
        <v>0.0</v>
      </c>
      <c r="L43" s="25" t="n">
        <f>61050365</f>
        <v>6.1050365E7</v>
      </c>
      <c r="M43" s="37" t="n">
        <f>0</f>
        <v>0.0</v>
      </c>
      <c r="N43" s="25" t="n">
        <f>295983865</f>
        <v>2.95983865E8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