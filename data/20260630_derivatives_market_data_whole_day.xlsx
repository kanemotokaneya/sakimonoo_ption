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<sst xmlns="http://schemas.openxmlformats.org/spreadsheetml/2006/main" count="528" uniqueCount="129">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</sst>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DATE(2026,06,30)</f>
        <v>46203.0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DATE(2026,06,30)</f>
        <v>46203.0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754991.0</f>
        <v>754991.0</v>
      </c>
      <c r="E12" s="18" t="n">
        <f>33228.0</f>
        <v>33228.0</v>
      </c>
      <c r="F12" s="19" t="n">
        <f>1.0</f>
        <v>1.0</v>
      </c>
      <c r="G12" s="17" t="n">
        <f>4694439887075.0</f>
        <v>4.694439887075E12</v>
      </c>
      <c r="H12" s="18" t="n">
        <f>287932856100.0</f>
        <v>2.879328561E11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534774.0</f>
        <v>534774.0</v>
      </c>
      <c r="E13" s="22" t="n">
        <f>20612.0</f>
        <v>20612.0</v>
      </c>
      <c r="F13" s="23" t="n">
        <f>1.0</f>
        <v>1.0</v>
      </c>
      <c r="G13" s="21" t="n">
        <f>4643535465745.0</f>
        <v>4.643535465745E12</v>
      </c>
      <c r="H13" s="22" t="n">
        <f>321207327220.0</f>
        <v>3.2120732722E11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437963.0</f>
        <v>437963.0</v>
      </c>
      <c r="E14" s="22" t="n">
        <f>31149.0</f>
        <v>31149.0</v>
      </c>
      <c r="F14" s="23" t="n">
        <f>1.0</f>
        <v>1.0</v>
      </c>
      <c r="G14" s="21" t="n">
        <f>6143235437059.0</f>
        <v>6.143235437059E12</v>
      </c>
      <c r="H14" s="22" t="n">
        <f>841760275459.0</f>
        <v>8.41760275459E11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1727728.0</f>
        <v>1727728.0</v>
      </c>
      <c r="E15" s="26" t="n">
        <f>84989.0</f>
        <v>84989.0</v>
      </c>
      <c r="F15" s="27" t="n">
        <f>1.0</f>
        <v>1.0</v>
      </c>
      <c r="G15" s="25" t="n">
        <f>15481210789879.0</f>
        <v>1.5481210789879E13</v>
      </c>
      <c r="H15" s="26" t="n">
        <f>1450900458779.0</f>
        <v>1.450900458779E12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10459.0</f>
        <v>10459.0</v>
      </c>
      <c r="E16" s="18" t="n">
        <f>149.0</f>
        <v>149.0</v>
      </c>
      <c r="F16" s="19" t="n">
        <f>0.014</f>
        <v>0.014</v>
      </c>
      <c r="G16" s="17" t="n">
        <f>911056888125.0</f>
        <v>9.11056888125E11</v>
      </c>
      <c r="H16" s="18" t="n">
        <f>19074580000.0</f>
        <v>1.907458E10</v>
      </c>
      <c r="I16" s="19" t="n">
        <f>0.194</f>
        <v>0.194</v>
      </c>
    </row>
    <row r="17" spans="1:9" ht="24.9" customHeight="1">
      <c r="A17" s="41"/>
      <c r="B17" s="39"/>
      <c r="C17" s="20" t="s">
        <v>16</v>
      </c>
      <c r="D17" s="21" t="n">
        <f>12294.0</f>
        <v>12294.0</v>
      </c>
      <c r="E17" s="22" t="n">
        <f>842.0</f>
        <v>842.0</v>
      </c>
      <c r="F17" s="23" t="n">
        <f>0.023</f>
        <v>0.023</v>
      </c>
      <c r="G17" s="21" t="n">
        <f>1406341856875.0</f>
        <v>1.406341856875E12</v>
      </c>
      <c r="H17" s="22" t="n">
        <f>107733580000.0</f>
        <v>1.0773358E11</v>
      </c>
      <c r="I17" s="23" t="n">
        <f>0.303</f>
        <v>0.303</v>
      </c>
    </row>
    <row r="18" spans="1:9" ht="24.9" customHeight="1">
      <c r="A18" s="41"/>
      <c r="B18" s="39"/>
      <c r="C18" s="20" t="s">
        <v>17</v>
      </c>
      <c r="D18" s="21" t="n">
        <f>18883.0</f>
        <v>18883.0</v>
      </c>
      <c r="E18" s="22" t="n">
        <f>590.0</f>
        <v>590.0</v>
      </c>
      <c r="F18" s="23" t="n">
        <f>0.043</f>
        <v>0.043</v>
      </c>
      <c r="G18" s="21" t="n">
        <f>2345473451500.0</f>
        <v>2.3454734515E12</v>
      </c>
      <c r="H18" s="22" t="n">
        <f>75407665000.0</f>
        <v>7.5407665E10</v>
      </c>
      <c r="I18" s="23" t="n">
        <f>0.382</f>
        <v>0.382</v>
      </c>
    </row>
    <row r="19" spans="1:9" ht="24.9" customHeight="1">
      <c r="A19" s="41"/>
      <c r="B19" s="39"/>
      <c r="C19" s="24" t="s">
        <v>18</v>
      </c>
      <c r="D19" s="25" t="n">
        <f>41636.0</f>
        <v>41636.0</v>
      </c>
      <c r="E19" s="26" t="n">
        <f>1581.0</f>
        <v>1581.0</v>
      </c>
      <c r="F19" s="27" t="n">
        <f>0.024</f>
        <v>0.024</v>
      </c>
      <c r="G19" s="25" t="n">
        <f>4662872196500.0</f>
        <v>4.6628721965E12</v>
      </c>
      <c r="H19" s="26" t="n">
        <f>202215825000.0</f>
        <v>2.02215825E11</v>
      </c>
      <c r="I19" s="27" t="n">
        <f>0.301</f>
        <v>0.301</v>
      </c>
    </row>
    <row r="20" spans="1:9" ht="24.9" customHeight="1">
      <c r="A20" s="41"/>
      <c r="B20" s="39" t="s">
        <v>21</v>
      </c>
      <c r="C20" s="16" t="s">
        <v>15</v>
      </c>
      <c r="D20" s="17" t="n">
        <f>730187.0</f>
        <v>730187.0</v>
      </c>
      <c r="E20" s="18" t="n">
        <f>33036.0</f>
        <v>33036.0</v>
      </c>
      <c r="F20" s="19" t="n">
        <f>0.967</f>
        <v>0.967</v>
      </c>
      <c r="G20" s="17" t="n">
        <f>3639481262760.0</f>
        <v>3.63948126276E12</v>
      </c>
      <c r="H20" s="18" t="n">
        <f>268802982260.0</f>
        <v>2.6880298226E11</v>
      </c>
      <c r="I20" s="19" t="n">
        <f>0.775</f>
        <v>0.775</v>
      </c>
    </row>
    <row r="21" spans="1:9" ht="24.9" customHeight="1">
      <c r="A21" s="41"/>
      <c r="B21" s="39"/>
      <c r="C21" s="20" t="s">
        <v>16</v>
      </c>
      <c r="D21" s="21" t="n">
        <f>513104.0</f>
        <v>513104.0</v>
      </c>
      <c r="E21" s="22" t="n">
        <f>19768.0</f>
        <v>19768.0</v>
      </c>
      <c r="F21" s="23" t="n">
        <f>0.959</f>
        <v>0.959</v>
      </c>
      <c r="G21" s="21" t="n">
        <f>3134888650670.0</f>
        <v>3.13488865067E12</v>
      </c>
      <c r="H21" s="22" t="n">
        <f>213465726220.0</f>
        <v>2.1346572622E11</v>
      </c>
      <c r="I21" s="23" t="n">
        <f>0.675</f>
        <v>0.675</v>
      </c>
    </row>
    <row r="22" spans="1:9" ht="24.9" customHeight="1">
      <c r="A22" s="41"/>
      <c r="B22" s="39"/>
      <c r="C22" s="20" t="s">
        <v>17</v>
      </c>
      <c r="D22" s="21" t="n">
        <f>409150.0</f>
        <v>409150.0</v>
      </c>
      <c r="E22" s="22" t="n">
        <f>30558.0</f>
        <v>30558.0</v>
      </c>
      <c r="F22" s="23" t="n">
        <f>0.934</f>
        <v>0.934</v>
      </c>
      <c r="G22" s="21" t="n">
        <f>3716592552659.0</f>
        <v>3.716592552659E12</v>
      </c>
      <c r="H22" s="22" t="n">
        <f>766349063959.0</f>
        <v>7.66349063959E11</v>
      </c>
      <c r="I22" s="23" t="n">
        <f>0.605</f>
        <v>0.605</v>
      </c>
    </row>
    <row r="23" spans="1:9" ht="24.9" customHeight="1">
      <c r="A23" s="41"/>
      <c r="B23" s="39"/>
      <c r="C23" s="24" t="s">
        <v>18</v>
      </c>
      <c r="D23" s="25" t="n">
        <f>1652441.0</f>
        <v>1652441.0</v>
      </c>
      <c r="E23" s="26" t="n">
        <f>83362.0</f>
        <v>83362.0</v>
      </c>
      <c r="F23" s="27" t="n">
        <f>0.956</f>
        <v>0.956</v>
      </c>
      <c r="G23" s="25" t="n">
        <f>10490962466089.0</f>
        <v>1.0490962466089E13</v>
      </c>
      <c r="H23" s="26" t="n">
        <f>1248617772439.0</f>
        <v>1.248617772439E12</v>
      </c>
      <c r="I23" s="27" t="n">
        <f>0.678</f>
        <v>0.678</v>
      </c>
    </row>
    <row r="24" spans="1:9" ht="24.9" customHeight="1">
      <c r="A24" s="41"/>
      <c r="B24" s="39" t="s">
        <v>22</v>
      </c>
      <c r="C24" s="16" t="s">
        <v>15</v>
      </c>
      <c r="D24" s="17" t="n">
        <f>14113.0</f>
        <v>14113.0</v>
      </c>
      <c r="E24" s="18" t="n">
        <f>0.0</f>
        <v>0.0</v>
      </c>
      <c r="F24" s="19" t="n">
        <f>0.019</f>
        <v>0.019</v>
      </c>
      <c r="G24" s="17" t="n">
        <f>143185251350.0</f>
        <v>1.4318525135E11</v>
      </c>
      <c r="H24" s="18" t="n">
        <f>0.0</f>
        <v>0.0</v>
      </c>
      <c r="I24" s="19" t="n">
        <f>0.031</f>
        <v>0.031</v>
      </c>
    </row>
    <row r="25" spans="1:9" ht="24.9" customHeight="1">
      <c r="A25" s="41"/>
      <c r="B25" s="39"/>
      <c r="C25" s="20" t="s">
        <v>16</v>
      </c>
      <c r="D25" s="21" t="n">
        <f>9313.0</f>
        <v>9313.0</v>
      </c>
      <c r="E25" s="22" t="n">
        <f>2.0</f>
        <v>2.0</v>
      </c>
      <c r="F25" s="23" t="n">
        <f>0.017</f>
        <v>0.017</v>
      </c>
      <c r="G25" s="21" t="n">
        <f>102083182700.0</f>
        <v>1.020831827E11</v>
      </c>
      <c r="H25" s="22" t="n">
        <f>8021000.0</f>
        <v>8021000.0</v>
      </c>
      <c r="I25" s="23" t="n">
        <f>0.022</f>
        <v>0.022</v>
      </c>
    </row>
    <row r="26" spans="1:9" ht="24.9" customHeight="1">
      <c r="A26" s="41"/>
      <c r="B26" s="39"/>
      <c r="C26" s="20" t="s">
        <v>17</v>
      </c>
      <c r="D26" s="21" t="n">
        <f>9186.0</f>
        <v>9186.0</v>
      </c>
      <c r="E26" s="22" t="n">
        <f>0.0</f>
        <v>0.0</v>
      </c>
      <c r="F26" s="23" t="n">
        <f>0.021</f>
        <v>0.021</v>
      </c>
      <c r="G26" s="21" t="n">
        <f>78553218900.0</f>
        <v>7.85532189E10</v>
      </c>
      <c r="H26" s="22" t="n">
        <f>0.0</f>
        <v>0.0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32612.0</f>
        <v>32612.0</v>
      </c>
      <c r="E27" s="26" t="n">
        <f>2.0</f>
        <v>2.0</v>
      </c>
      <c r="F27" s="27" t="n">
        <f>0.019</f>
        <v>0.019</v>
      </c>
      <c r="G27" s="25" t="n">
        <f>323821652950.0</f>
        <v>3.2382165295E11</v>
      </c>
      <c r="H27" s="26" t="n">
        <f>8021000.0</f>
        <v>8021000.0</v>
      </c>
      <c r="I27" s="27" t="n">
        <f>0.021</f>
        <v>0.021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232.0</f>
        <v>232.0</v>
      </c>
      <c r="E28" s="18" t="n">
        <f>43.0</f>
        <v>43.0</v>
      </c>
      <c r="F28" s="19" t="n">
        <f>0.0</f>
        <v>0.0</v>
      </c>
      <c r="G28" s="17" t="n">
        <f>716484840.0</f>
        <v>7.1648484E8</v>
      </c>
      <c r="H28" s="18" t="n">
        <f>55293840.0</f>
        <v>5.529384E7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63.0</f>
        <v>63.0</v>
      </c>
      <c r="E29" s="22" t="n">
        <f>0.0</f>
        <v>0.0</v>
      </c>
      <c r="F29" s="23" t="n">
        <f>0.0</f>
        <v>0.0</v>
      </c>
      <c r="G29" s="21" t="n">
        <f>221775500.0</f>
        <v>2.217755E8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744.0</f>
        <v>744.0</v>
      </c>
      <c r="E30" s="22" t="n">
        <f>1.0</f>
        <v>1.0</v>
      </c>
      <c r="F30" s="23" t="n">
        <f>0.002</f>
        <v>0.002</v>
      </c>
      <c r="G30" s="21" t="n">
        <f>2616214000.0</f>
        <v>2.616214E9</v>
      </c>
      <c r="H30" s="22" t="n">
        <f>3546500.0</f>
        <v>3546500.0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1039.0</f>
        <v>1039.0</v>
      </c>
      <c r="E31" s="26" t="n">
        <f>44.0</f>
        <v>44.0</v>
      </c>
      <c r="F31" s="27" t="n">
        <f>0.001</f>
        <v>0.001</v>
      </c>
      <c r="G31" s="25" t="n">
        <f>3554474340.0</f>
        <v>3.55447434E9</v>
      </c>
      <c r="H31" s="26" t="n">
        <f>58840340.0</f>
        <v>5.884034E7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46203.0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46203.0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21319</f>
        <v>21319.0</v>
      </c>
      <c r="E11" s="18" t="n">
        <f>3658</f>
        <v>3658.0</v>
      </c>
      <c r="F11" s="19" t="n">
        <f>1</f>
        <v>1.0</v>
      </c>
      <c r="G11" s="17" t="n">
        <f>9159620430</f>
        <v>9.15962043E9</v>
      </c>
      <c r="H11" s="18" t="n">
        <f>7478578930</f>
        <v>7.47857893E9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35375</f>
        <v>35375.0</v>
      </c>
      <c r="E12" s="22" t="n">
        <f>3528</f>
        <v>3528.0</v>
      </c>
      <c r="F12" s="23" t="n">
        <f>1</f>
        <v>1.0</v>
      </c>
      <c r="G12" s="21" t="n">
        <f>4328097195</f>
        <v>4.328097195E9</v>
      </c>
      <c r="H12" s="22" t="n">
        <f>2234854610</f>
        <v>2.23485461E9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57182</f>
        <v>57182.0</v>
      </c>
      <c r="E13" s="22" t="n">
        <f>19101</f>
        <v>19101.0</v>
      </c>
      <c r="F13" s="23" t="n">
        <f>1</f>
        <v>1.0</v>
      </c>
      <c r="G13" s="21" t="n">
        <f>21708481440</f>
        <v>2.170848144E10</v>
      </c>
      <c r="H13" s="22" t="n">
        <f>18517038040</f>
        <v>1.851703804E10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113876</f>
        <v>113876.0</v>
      </c>
      <c r="E14" s="26" t="n">
        <f>26287</f>
        <v>26287.0</v>
      </c>
      <c r="F14" s="27" t="n">
        <f>1</f>
        <v>1.0</v>
      </c>
      <c r="G14" s="25" t="n">
        <f>35196199065</f>
        <v>3.5196199065E10</v>
      </c>
      <c r="H14" s="26" t="n">
        <f>28230471580</f>
        <v>2.823047158E10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231</f>
        <v>231.0</v>
      </c>
      <c r="E16" s="22" t="n">
        <f>190</f>
        <v>190.0</v>
      </c>
      <c r="F16" s="23" t="n">
        <f>0.007</f>
        <v>0.007</v>
      </c>
      <c r="G16" s="21" t="n">
        <f>3480000</f>
        <v>3480000.0</v>
      </c>
      <c r="H16" s="22" t="n">
        <f>1900000</f>
        <v>1900000.0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154</f>
        <v>154.0</v>
      </c>
      <c r="E17" s="22" t="n">
        <f>0</f>
        <v>0.0</v>
      </c>
      <c r="F17" s="23" t="n">
        <f>0.003</f>
        <v>0.003</v>
      </c>
      <c r="G17" s="21" t="n">
        <f>13260000</f>
        <v>1.326E7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385</f>
        <v>385.0</v>
      </c>
      <c r="E18" s="26" t="n">
        <f>190</f>
        <v>190.0</v>
      </c>
      <c r="F18" s="27" t="n">
        <f>0.003</f>
        <v>0.003</v>
      </c>
      <c r="G18" s="25" t="n">
        <f>16740000</f>
        <v>1.674E7</v>
      </c>
      <c r="H18" s="26" t="n">
        <f>1900000</f>
        <v>1900000.0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21319</f>
        <v>21319.0</v>
      </c>
      <c r="E19" s="18" t="n">
        <f>3658</f>
        <v>3658.0</v>
      </c>
      <c r="F19" s="19" t="n">
        <f>1</f>
        <v>1.0</v>
      </c>
      <c r="G19" s="17" t="n">
        <f>9159620430</f>
        <v>9.15962043E9</v>
      </c>
      <c r="H19" s="18" t="n">
        <f>7478578930</f>
        <v>7.47857893E9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22035</f>
        <v>22035.0</v>
      </c>
      <c r="E20" s="22" t="n">
        <f>3338</f>
        <v>3338.0</v>
      </c>
      <c r="F20" s="23" t="n">
        <f>0.623</f>
        <v>0.623</v>
      </c>
      <c r="G20" s="21" t="n">
        <f>4201275010</f>
        <v>4.20127501E9</v>
      </c>
      <c r="H20" s="22" t="n">
        <f>2232954610</f>
        <v>2.23295461E9</v>
      </c>
      <c r="I20" s="23" t="n">
        <f>0.971</f>
        <v>0.971</v>
      </c>
    </row>
    <row r="21" spans="1:9" ht="24.9" customHeight="1">
      <c r="A21" s="41"/>
      <c r="B21" s="39"/>
      <c r="C21" s="20" t="s">
        <v>17</v>
      </c>
      <c r="D21" s="21" t="n">
        <f>39959</f>
        <v>39959.0</v>
      </c>
      <c r="E21" s="22" t="n">
        <f>19101</f>
        <v>19101.0</v>
      </c>
      <c r="F21" s="23" t="n">
        <f>0.699</f>
        <v>0.699</v>
      </c>
      <c r="G21" s="21" t="n">
        <f>21677054340</f>
        <v>2.167705434E10</v>
      </c>
      <c r="H21" s="22" t="n">
        <f>18517038040</f>
        <v>1.851703804E10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83313</f>
        <v>83313.0</v>
      </c>
      <c r="E22" s="26" t="n">
        <f>26097</f>
        <v>26097.0</v>
      </c>
      <c r="F22" s="27" t="n">
        <f>0.732</f>
        <v>0.732</v>
      </c>
      <c r="G22" s="25" t="n">
        <f>35037949780</f>
        <v>3.503794978E10</v>
      </c>
      <c r="H22" s="26" t="n">
        <f>28228571580</f>
        <v>2.822857158E10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13109</f>
        <v>13109.0</v>
      </c>
      <c r="E24" s="22" t="n">
        <f>0</f>
        <v>0.0</v>
      </c>
      <c r="F24" s="23" t="n">
        <f>0.371</f>
        <v>0.371</v>
      </c>
      <c r="G24" s="21" t="n">
        <f>123342185</f>
        <v>1.23342185E8</v>
      </c>
      <c r="H24" s="22" t="n">
        <f>0</f>
        <v>0.0</v>
      </c>
      <c r="I24" s="23" t="n">
        <f>0.028</f>
        <v>0.028</v>
      </c>
    </row>
    <row r="25" spans="1:9" ht="24.9" customHeight="1">
      <c r="A25" s="41"/>
      <c r="B25" s="39"/>
      <c r="C25" s="20" t="s">
        <v>17</v>
      </c>
      <c r="D25" s="21" t="n">
        <f>17069</f>
        <v>17069.0</v>
      </c>
      <c r="E25" s="22" t="n">
        <f>0</f>
        <v>0.0</v>
      </c>
      <c r="F25" s="23" t="n">
        <f>0.299</f>
        <v>0.299</v>
      </c>
      <c r="G25" s="21" t="n">
        <f>18167100</f>
        <v>1.81671E7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30178</f>
        <v>30178.0</v>
      </c>
      <c r="E26" s="26" t="n">
        <f>0</f>
        <v>0.0</v>
      </c>
      <c r="F26" s="27" t="n">
        <f>0.265</f>
        <v>0.265</v>
      </c>
      <c r="G26" s="25" t="n">
        <f>141509285</f>
        <v>1.41509285E8</v>
      </c>
      <c r="H26" s="26" t="n">
        <f>0</f>
        <v>0.0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46203.0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46203.0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11046.0</v>
      </c>
      <c r="F12" s="18" t="n">
        <f>579</f>
        <v>579.0</v>
      </c>
      <c r="G12" s="17" t="n">
        <v>7.7210957756E11</v>
      </c>
      <c r="H12" s="18" t="n">
        <f>40451943560</f>
        <v>4.045194356E10</v>
      </c>
    </row>
    <row r="13" spans="1:8" ht="24.9" customHeight="1">
      <c r="A13" s="51"/>
      <c r="B13" s="57"/>
      <c r="C13" s="39"/>
      <c r="D13" s="20" t="s">
        <v>16</v>
      </c>
      <c r="E13" s="21" t="n">
        <v>10755.0</v>
      </c>
      <c r="F13" s="22" t="n">
        <f>882</f>
        <v>882.0</v>
      </c>
      <c r="G13" s="21" t="n">
        <v>7.542407643E11</v>
      </c>
      <c r="H13" s="22" t="n">
        <f>61758494300</f>
        <v>6.17584943E10</v>
      </c>
    </row>
    <row r="14" spans="1:8" ht="24.9" customHeight="1">
      <c r="A14" s="51"/>
      <c r="B14" s="57"/>
      <c r="C14" s="39"/>
      <c r="D14" s="20" t="s">
        <v>17</v>
      </c>
      <c r="E14" s="21" t="n">
        <v>17204.0</v>
      </c>
      <c r="F14" s="22" t="n">
        <f>5036</f>
        <v>5036.0</v>
      </c>
      <c r="G14" s="21" t="n">
        <v>1.21130434844E12</v>
      </c>
      <c r="H14" s="22" t="n">
        <f>354071328440</f>
        <v>3.5407132844E11</v>
      </c>
    </row>
    <row r="15" spans="1:8" ht="24.9" customHeight="1">
      <c r="A15" s="51"/>
      <c r="B15" s="57"/>
      <c r="C15" s="39"/>
      <c r="D15" s="24" t="s">
        <v>18</v>
      </c>
      <c r="E15" s="25" t="n">
        <v>39005.0</v>
      </c>
      <c r="F15" s="26" t="n">
        <f>6497</f>
        <v>6497.0</v>
      </c>
      <c r="G15" s="25" t="n">
        <v>2.7376546903E12</v>
      </c>
      <c r="H15" s="26" t="n">
        <f>456281766300</f>
        <v>4.562817663E11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278865.0</v>
      </c>
      <c r="F16" s="18" t="n">
        <f>32055</f>
        <v>32055.0</v>
      </c>
      <c r="G16" s="17" t="n">
        <v>1.94877613677E12</v>
      </c>
      <c r="H16" s="18" t="n">
        <f>223917281270</f>
        <v>2.2391728127E11</v>
      </c>
    </row>
    <row r="17" spans="1:8" ht="24.9" customHeight="1">
      <c r="A17" s="51"/>
      <c r="B17" s="57"/>
      <c r="C17" s="39"/>
      <c r="D17" s="20" t="s">
        <v>16</v>
      </c>
      <c r="E17" s="21" t="n">
        <v>217185.0</v>
      </c>
      <c r="F17" s="22" t="n">
        <f>18057</f>
        <v>18057.0</v>
      </c>
      <c r="G17" s="21" t="n">
        <v>1.52331463868E12</v>
      </c>
      <c r="H17" s="22" t="n">
        <f>126555133180</f>
        <v>1.2655513318E11</v>
      </c>
    </row>
    <row r="18" spans="1:8" ht="24.9" customHeight="1">
      <c r="A18" s="51"/>
      <c r="B18" s="57"/>
      <c r="C18" s="39"/>
      <c r="D18" s="20" t="s">
        <v>17</v>
      </c>
      <c r="E18" s="21" t="n">
        <v>152863.0</v>
      </c>
      <c r="F18" s="22" t="n">
        <f>16986</f>
        <v>16986.0</v>
      </c>
      <c r="G18" s="21" t="n">
        <v>1.07658242887E12</v>
      </c>
      <c r="H18" s="22" t="n">
        <f>119662468870</f>
        <v>1.1966246887E11</v>
      </c>
    </row>
    <row r="19" spans="1:8" ht="24.9" customHeight="1">
      <c r="A19" s="51"/>
      <c r="B19" s="57"/>
      <c r="C19" s="39"/>
      <c r="D19" s="24" t="s">
        <v>18</v>
      </c>
      <c r="E19" s="25" t="n">
        <v>648913.0</v>
      </c>
      <c r="F19" s="26" t="n">
        <f>67098</f>
        <v>67098.0</v>
      </c>
      <c r="G19" s="25" t="n">
        <v>4.54867320432E12</v>
      </c>
      <c r="H19" s="26" t="n">
        <f>470134883320</f>
        <v>4.7013488332E11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418976.0</v>
      </c>
      <c r="F20" s="18" t="str">
        <f>"－"</f>
        <v>－</v>
      </c>
      <c r="G20" s="17" t="n">
        <v>2.928503771E11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258726.0</v>
      </c>
      <c r="F21" s="22" t="str">
        <f>"－"</f>
        <v>－</v>
      </c>
      <c r="G21" s="21" t="n">
        <v>1.8137994555E11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195837.0</v>
      </c>
      <c r="F22" s="22" t="str">
        <f>"－"</f>
        <v>－</v>
      </c>
      <c r="G22" s="21" t="n">
        <v>1.379588121E11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873539.0</v>
      </c>
      <c r="F23" s="26" t="str">
        <f>"－"</f>
        <v>－</v>
      </c>
      <c r="G23" s="25" t="n">
        <v>6.1218913475E11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15083.0</v>
      </c>
      <c r="F24" s="18" t="n">
        <f>81</f>
        <v>81.0</v>
      </c>
      <c r="G24" s="17" t="n">
        <v>6.03245723E11</v>
      </c>
      <c r="H24" s="18" t="n">
        <f>3236933000</f>
        <v>3.236933E9</v>
      </c>
    </row>
    <row r="25" spans="1:8" ht="24.9" customHeight="1">
      <c r="A25" s="51"/>
      <c r="B25" s="57"/>
      <c r="C25" s="39"/>
      <c r="D25" s="20" t="s">
        <v>16</v>
      </c>
      <c r="E25" s="21" t="n">
        <v>15921.0</v>
      </c>
      <c r="F25" s="22" t="n">
        <f>605</f>
        <v>605.0</v>
      </c>
      <c r="G25" s="21" t="n">
        <v>6.37718952E11</v>
      </c>
      <c r="H25" s="22" t="n">
        <f>24310452000</f>
        <v>2.4310452E10</v>
      </c>
    </row>
    <row r="26" spans="1:8" ht="24.9" customHeight="1">
      <c r="A26" s="51"/>
      <c r="B26" s="57"/>
      <c r="C26" s="39"/>
      <c r="D26" s="20" t="s">
        <v>17</v>
      </c>
      <c r="E26" s="21" t="n">
        <v>31064.0</v>
      </c>
      <c r="F26" s="22" t="n">
        <f>7182</f>
        <v>7182.0</v>
      </c>
      <c r="G26" s="21" t="n">
        <v>1.2458350886E12</v>
      </c>
      <c r="H26" s="22" t="n">
        <f>287664353600</f>
        <v>2.876643536E11</v>
      </c>
    </row>
    <row r="27" spans="1:8" ht="24.9" customHeight="1">
      <c r="A27" s="51"/>
      <c r="B27" s="57"/>
      <c r="C27" s="39"/>
      <c r="D27" s="24" t="s">
        <v>18</v>
      </c>
      <c r="E27" s="25" t="n">
        <v>62068.0</v>
      </c>
      <c r="F27" s="26" t="n">
        <f>7868</f>
        <v>7868.0</v>
      </c>
      <c r="G27" s="25" t="n">
        <v>2.4867997636E12</v>
      </c>
      <c r="H27" s="26" t="n">
        <f>315211738600</f>
        <v>3.152117386E11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4890.0</v>
      </c>
      <c r="F28" s="18" t="n">
        <f>291</f>
        <v>291.0</v>
      </c>
      <c r="G28" s="17" t="n">
        <v>1.95506632E10</v>
      </c>
      <c r="H28" s="18" t="n">
        <f>1162652200</f>
        <v>1.1626522E9</v>
      </c>
    </row>
    <row r="29" spans="1:8" ht="24.9" customHeight="1">
      <c r="A29" s="51"/>
      <c r="B29" s="57"/>
      <c r="C29" s="39"/>
      <c r="D29" s="20" t="s">
        <v>16</v>
      </c>
      <c r="E29" s="21" t="n">
        <v>8207.0</v>
      </c>
      <c r="F29" s="22" t="n">
        <f>205</f>
        <v>205.0</v>
      </c>
      <c r="G29" s="21" t="n">
        <v>3.286956395E10</v>
      </c>
      <c r="H29" s="22" t="n">
        <f>821010950</f>
        <v>8.2101095E8</v>
      </c>
    </row>
    <row r="30" spans="1:8" ht="24.9" customHeight="1">
      <c r="A30" s="51"/>
      <c r="B30" s="57"/>
      <c r="C30" s="39"/>
      <c r="D30" s="20" t="s">
        <v>17</v>
      </c>
      <c r="E30" s="21" t="n">
        <v>9502.0</v>
      </c>
      <c r="F30" s="22" t="n">
        <f>684</f>
        <v>684.0</v>
      </c>
      <c r="G30" s="21" t="n">
        <v>3.8104841E10</v>
      </c>
      <c r="H30" s="22" t="n">
        <f>2741592000</f>
        <v>2.741592E9</v>
      </c>
    </row>
    <row r="31" spans="1:8" ht="24.9" customHeight="1">
      <c r="A31" s="51"/>
      <c r="B31" s="57"/>
      <c r="C31" s="39"/>
      <c r="D31" s="24" t="s">
        <v>18</v>
      </c>
      <c r="E31" s="25" t="n">
        <v>22599.0</v>
      </c>
      <c r="F31" s="26" t="n">
        <f>1180</f>
        <v>1180.0</v>
      </c>
      <c r="G31" s="25" t="n">
        <v>9.052506815E10</v>
      </c>
      <c r="H31" s="26" t="n">
        <f>4725255150</f>
        <v>4.72525515E9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473.0</v>
      </c>
      <c r="F36" s="18" t="n">
        <f>3</f>
        <v>3.0</v>
      </c>
      <c r="G36" s="17" t="n">
        <v>1.71689853E9</v>
      </c>
      <c r="H36" s="18" t="n">
        <f>10932030</f>
        <v>1.093203E7</v>
      </c>
    </row>
    <row r="37" spans="1:8" ht="24.9" customHeight="1">
      <c r="A37" s="51"/>
      <c r="B37" s="57"/>
      <c r="C37" s="39"/>
      <c r="D37" s="20" t="s">
        <v>16</v>
      </c>
      <c r="E37" s="21" t="n">
        <v>1145.0</v>
      </c>
      <c r="F37" s="22" t="n">
        <f>1</f>
        <v>1.0</v>
      </c>
      <c r="G37" s="21" t="n">
        <v>4.16463799E9</v>
      </c>
      <c r="H37" s="22" t="n">
        <f>3636990</f>
        <v>3636990.0</v>
      </c>
    </row>
    <row r="38" spans="1:8" ht="24.9" customHeight="1">
      <c r="A38" s="51"/>
      <c r="B38" s="57"/>
      <c r="C38" s="39"/>
      <c r="D38" s="20" t="s">
        <v>17</v>
      </c>
      <c r="E38" s="21" t="n">
        <v>1578.0</v>
      </c>
      <c r="F38" s="22" t="n">
        <f>592</f>
        <v>592.0</v>
      </c>
      <c r="G38" s="21" t="n">
        <v>5.748130749E9</v>
      </c>
      <c r="H38" s="22" t="n">
        <f>2154142749</f>
        <v>2.154142749E9</v>
      </c>
    </row>
    <row r="39" spans="1:8" ht="24.9" customHeight="1">
      <c r="A39" s="51"/>
      <c r="B39" s="57"/>
      <c r="C39" s="39"/>
      <c r="D39" s="24" t="s">
        <v>18</v>
      </c>
      <c r="E39" s="25" t="n">
        <v>3196.0</v>
      </c>
      <c r="F39" s="26" t="n">
        <f>596</f>
        <v>596.0</v>
      </c>
      <c r="G39" s="25" t="n">
        <v>1.1629667269E10</v>
      </c>
      <c r="H39" s="26" t="n">
        <f>2168711769</f>
        <v>2.168711769E9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63.0</v>
      </c>
      <c r="F49" s="22" t="n">
        <f>0</f>
        <v>0.0</v>
      </c>
      <c r="G49" s="21" t="n">
        <v>1.13518E8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86.0</v>
      </c>
      <c r="F50" s="22" t="n">
        <f>0</f>
        <v>0.0</v>
      </c>
      <c r="G50" s="21" t="n">
        <v>1.548455E8</v>
      </c>
      <c r="H50" s="22" t="n">
        <f>0</f>
        <v>0.0</v>
      </c>
    </row>
    <row r="51" spans="1:8" ht="24.9" customHeight="1">
      <c r="A51" s="51"/>
      <c r="B51" s="57"/>
      <c r="C51" s="39"/>
      <c r="D51" s="24" t="s">
        <v>18</v>
      </c>
      <c r="E51" s="25" t="n">
        <v>149.0</v>
      </c>
      <c r="F51" s="26" t="n">
        <f>0</f>
        <v>0.0</v>
      </c>
      <c r="G51" s="25" t="n">
        <v>2.683635E8</v>
      </c>
      <c r="H51" s="26" t="n">
        <f>0</f>
        <v>0.0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674.0</v>
      </c>
      <c r="F56" s="18" t="n">
        <f>26</f>
        <v>26.0</v>
      </c>
      <c r="G56" s="17" t="n">
        <v>4.667019E8</v>
      </c>
      <c r="H56" s="18" t="n">
        <f>18002900</f>
        <v>1.80029E7</v>
      </c>
    </row>
    <row r="57" spans="1:8" ht="24.9" customHeight="1">
      <c r="A57" s="51"/>
      <c r="B57" s="57"/>
      <c r="C57" s="39"/>
      <c r="D57" s="20" t="s">
        <v>16</v>
      </c>
      <c r="E57" s="21" t="n">
        <v>834.0</v>
      </c>
      <c r="F57" s="22" t="n">
        <f>17</f>
        <v>17.0</v>
      </c>
      <c r="G57" s="21" t="n">
        <v>5.7687E8</v>
      </c>
      <c r="H57" s="22" t="n">
        <f>11746000</f>
        <v>1.1746E7</v>
      </c>
    </row>
    <row r="58" spans="1:8" ht="24.9" customHeight="1">
      <c r="A58" s="51"/>
      <c r="B58" s="57"/>
      <c r="C58" s="39"/>
      <c r="D58" s="20" t="s">
        <v>17</v>
      </c>
      <c r="E58" s="21" t="n">
        <v>893.0</v>
      </c>
      <c r="F58" s="22" t="n">
        <f>78</f>
        <v>78.0</v>
      </c>
      <c r="G58" s="21" t="n">
        <v>6.224503E8</v>
      </c>
      <c r="H58" s="22" t="n">
        <f>55178300</f>
        <v>5.51783E7</v>
      </c>
    </row>
    <row r="59" spans="1:8" ht="24.9" customHeight="1">
      <c r="A59" s="51"/>
      <c r="B59" s="57"/>
      <c r="C59" s="39"/>
      <c r="D59" s="24" t="s">
        <v>18</v>
      </c>
      <c r="E59" s="25" t="n">
        <v>2401.0</v>
      </c>
      <c r="F59" s="26" t="n">
        <f>121</f>
        <v>121.0</v>
      </c>
      <c r="G59" s="25" t="n">
        <v>1.6660222E9</v>
      </c>
      <c r="H59" s="26" t="n">
        <f>84927200</f>
        <v>8.49272E7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128.0</v>
      </c>
      <c r="F60" s="18" t="n">
        <f>1</f>
        <v>1.0</v>
      </c>
      <c r="G60" s="17" t="n">
        <v>6.716533E8</v>
      </c>
      <c r="H60" s="18" t="n">
        <f>5237300</f>
        <v>5237300.0</v>
      </c>
    </row>
    <row r="61" spans="1:8" ht="24.9" customHeight="1">
      <c r="A61" s="51"/>
      <c r="B61" s="57"/>
      <c r="C61" s="39"/>
      <c r="D61" s="20" t="s">
        <v>16</v>
      </c>
      <c r="E61" s="21" t="n">
        <v>6.0</v>
      </c>
      <c r="F61" s="22" t="n">
        <f>1</f>
        <v>1.0</v>
      </c>
      <c r="G61" s="21" t="n">
        <v>3.15176E7</v>
      </c>
      <c r="H61" s="22" t="n">
        <f>5252800</f>
        <v>5252800.0</v>
      </c>
    </row>
    <row r="62" spans="1:8" ht="24.9" customHeight="1">
      <c r="A62" s="51"/>
      <c r="B62" s="57"/>
      <c r="C62" s="39"/>
      <c r="D62" s="20" t="s">
        <v>17</v>
      </c>
      <c r="E62" s="21" t="n">
        <v>16.0</v>
      </c>
      <c r="F62" s="22" t="n">
        <f>0</f>
        <v>0.0</v>
      </c>
      <c r="G62" s="21" t="n">
        <v>8.41037E7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150.0</v>
      </c>
      <c r="F63" s="26" t="n">
        <f>2</f>
        <v>2.0</v>
      </c>
      <c r="G63" s="25" t="n">
        <v>7.872746E8</v>
      </c>
      <c r="H63" s="26" t="n">
        <f>10490100</f>
        <v>1.04901E7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390000.0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382500.0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772500.0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10.0</v>
      </c>
      <c r="F92" s="18" t="n">
        <f>0</f>
        <v>0.0</v>
      </c>
      <c r="G92" s="17" t="n">
        <v>1.60918E7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159.0</v>
      </c>
      <c r="F93" s="22" t="n">
        <f>0</f>
        <v>0.0</v>
      </c>
      <c r="G93" s="21" t="n">
        <v>2.561936E8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23.0</v>
      </c>
      <c r="F94" s="22" t="n">
        <f>0</f>
        <v>0.0</v>
      </c>
      <c r="G94" s="21" t="n">
        <v>3.70987E7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192.0</v>
      </c>
      <c r="F95" s="26" t="n">
        <f>0</f>
        <v>0.0</v>
      </c>
      <c r="G95" s="25" t="n">
        <v>3.093841E8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62.0</v>
      </c>
      <c r="F97" s="22" t="n">
        <f>0</f>
        <v>0.0</v>
      </c>
      <c r="G97" s="21" t="n">
        <v>1.47835E8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13.0</v>
      </c>
      <c r="F98" s="22" t="n">
        <f>0</f>
        <v>0.0</v>
      </c>
      <c r="G98" s="21" t="n">
        <v>3.09912E7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75.0</v>
      </c>
      <c r="F99" s="26" t="n">
        <f>0</f>
        <v>0.0</v>
      </c>
      <c r="G99" s="25" t="n">
        <v>1.788262E8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42.0</v>
      </c>
      <c r="F100" s="18" t="n">
        <f>0</f>
        <v>0.0</v>
      </c>
      <c r="G100" s="17" t="n">
        <v>7.74396E7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40.0</v>
      </c>
      <c r="F101" s="22" t="n">
        <f>0</f>
        <v>0.0</v>
      </c>
      <c r="G101" s="21" t="n">
        <v>7.3824E7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70.0</v>
      </c>
      <c r="F102" s="22" t="n">
        <f>0</f>
        <v>0.0</v>
      </c>
      <c r="G102" s="21" t="n">
        <v>1.29031E8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152.0</v>
      </c>
      <c r="F103" s="26" t="n">
        <f>0</f>
        <v>0.0</v>
      </c>
      <c r="G103" s="25" t="n">
        <v>2.802946E8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6321.0</v>
      </c>
      <c r="F108" s="18" t="n">
        <f>149</f>
        <v>149.0</v>
      </c>
      <c r="G108" s="17" t="n">
        <v>8.0912236E11</v>
      </c>
      <c r="H108" s="18" t="n">
        <f>19074580000</f>
        <v>1.907458E10</v>
      </c>
    </row>
    <row r="109" spans="1:8" ht="24.9" customHeight="1">
      <c r="A109" s="51"/>
      <c r="B109" s="57"/>
      <c r="C109" s="39"/>
      <c r="D109" s="20" t="s">
        <v>16</v>
      </c>
      <c r="E109" s="21" t="n">
        <v>10685.0</v>
      </c>
      <c r="F109" s="22" t="n">
        <f>842</f>
        <v>842.0</v>
      </c>
      <c r="G109" s="21" t="n">
        <v>1.36665175E12</v>
      </c>
      <c r="H109" s="22" t="n">
        <f>107733580000</f>
        <v>1.0773358E11</v>
      </c>
    </row>
    <row r="110" spans="1:8" ht="24.9" customHeight="1">
      <c r="A110" s="51"/>
      <c r="B110" s="57"/>
      <c r="C110" s="39"/>
      <c r="D110" s="20" t="s">
        <v>17</v>
      </c>
      <c r="E110" s="21" t="n">
        <v>18229.0</v>
      </c>
      <c r="F110" s="22" t="n">
        <f>590</f>
        <v>590.0</v>
      </c>
      <c r="G110" s="21" t="n">
        <v>2.329375675E12</v>
      </c>
      <c r="H110" s="22" t="n">
        <f>75407665000</f>
        <v>7.5407665E10</v>
      </c>
    </row>
    <row r="111" spans="1:8" ht="24.9" customHeight="1">
      <c r="A111" s="51"/>
      <c r="B111" s="57"/>
      <c r="C111" s="39"/>
      <c r="D111" s="24" t="s">
        <v>18</v>
      </c>
      <c r="E111" s="25" t="n">
        <v>35235.0</v>
      </c>
      <c r="F111" s="26" t="n">
        <f>1581</f>
        <v>1581.0</v>
      </c>
      <c r="G111" s="25" t="n">
        <v>4.505149785E12</v>
      </c>
      <c r="H111" s="26" t="n">
        <f>202215825000</f>
        <v>2.02215825E11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1.278E7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1.0</v>
      </c>
      <c r="F115" s="26" t="n">
        <f>0</f>
        <v>0.0</v>
      </c>
      <c r="G115" s="25" t="n">
        <v>1.278E7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1.0</v>
      </c>
      <c r="F118" s="22" t="n">
        <f>0</f>
        <v>0.0</v>
      </c>
      <c r="G118" s="21" t="n">
        <v>9149000.0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1.0</v>
      </c>
      <c r="F119" s="26" t="n">
        <f>0</f>
        <v>0.0</v>
      </c>
      <c r="G119" s="25" t="n">
        <v>9149000.0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4138.0</v>
      </c>
      <c r="F120" s="18" t="n">
        <f>0</f>
        <v>0.0</v>
      </c>
      <c r="G120" s="17" t="n">
        <v>1.01934528125E11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1609.0</v>
      </c>
      <c r="F121" s="22" t="n">
        <f>0</f>
        <v>0.0</v>
      </c>
      <c r="G121" s="21" t="n">
        <v>3.9690106875E10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652.0</v>
      </c>
      <c r="F122" s="22" t="n">
        <f>0</f>
        <v>0.0</v>
      </c>
      <c r="G122" s="21" t="n">
        <v>1.60758475E10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6399.0</v>
      </c>
      <c r="F123" s="26" t="n">
        <f>0</f>
        <v>0.0</v>
      </c>
      <c r="G123" s="25" t="n">
        <v>1.577004825E11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5716.0</v>
      </c>
      <c r="F124" s="18" t="n">
        <f>0</f>
        <v>0.0</v>
      </c>
      <c r="G124" s="17" t="n">
        <v>1.22767445E11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4200.0</v>
      </c>
      <c r="F125" s="22" t="n">
        <f>0</f>
        <v>0.0</v>
      </c>
      <c r="G125" s="21" t="n">
        <v>8.9104694E10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3017.0</v>
      </c>
      <c r="F126" s="22" t="n">
        <f>0</f>
        <v>0.0</v>
      </c>
      <c r="G126" s="21" t="n">
        <v>6.4061905E10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12933.0</v>
      </c>
      <c r="F127" s="26" t="n">
        <f>0</f>
        <v>0.0</v>
      </c>
      <c r="G127" s="25" t="n">
        <v>2.75934044E11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173.0</v>
      </c>
      <c r="F128" s="18" t="n">
        <f>0</f>
        <v>0.0</v>
      </c>
      <c r="G128" s="17" t="n">
        <v>3.708478E8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202.0</v>
      </c>
      <c r="F129" s="22" t="n">
        <f>0</f>
        <v>0.0</v>
      </c>
      <c r="G129" s="21" t="n">
        <v>4.269528E8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110.0</v>
      </c>
      <c r="F130" s="22" t="n">
        <f>0</f>
        <v>0.0</v>
      </c>
      <c r="G130" s="21" t="n">
        <v>2.322132E8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485.0</v>
      </c>
      <c r="F131" s="26" t="n">
        <f>0</f>
        <v>0.0</v>
      </c>
      <c r="G131" s="25" t="n">
        <v>1.0300138E9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4903.0</v>
      </c>
      <c r="F132" s="18" t="n">
        <f>0</f>
        <v>0.0</v>
      </c>
      <c r="G132" s="17" t="n">
        <v>1.05269449E10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2757.0</v>
      </c>
      <c r="F133" s="22" t="n">
        <f>0</f>
        <v>0.0</v>
      </c>
      <c r="G133" s="21" t="n">
        <v>5.8488226E9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3063.0</v>
      </c>
      <c r="F134" s="22" t="n">
        <f>0</f>
        <v>0.0</v>
      </c>
      <c r="G134" s="21" t="n">
        <v>6.50544865E9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10723.0</v>
      </c>
      <c r="F135" s="26" t="n">
        <f>0</f>
        <v>0.0</v>
      </c>
      <c r="G135" s="25" t="n">
        <v>2.288121615E10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21.0</v>
      </c>
      <c r="F136" s="18" t="n">
        <f>0</f>
        <v>0.0</v>
      </c>
      <c r="G136" s="17" t="n">
        <v>4.46055E7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8.0</v>
      </c>
      <c r="F137" s="22" t="n">
        <f>0</f>
        <v>0.0</v>
      </c>
      <c r="G137" s="21" t="n">
        <v>1.6809E7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223.0</v>
      </c>
      <c r="F138" s="22" t="n">
        <f>0</f>
        <v>0.0</v>
      </c>
      <c r="G138" s="21" t="n">
        <v>4.678086E8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252.0</v>
      </c>
      <c r="F139" s="26" t="n">
        <f>0</f>
        <v>0.0</v>
      </c>
      <c r="G139" s="25" t="n">
        <v>5.292231E8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9000000.0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9000000.0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1629.0</v>
      </c>
      <c r="F144" s="18" t="n">
        <f>0</f>
        <v>0.0</v>
      </c>
      <c r="G144" s="17" t="n">
        <v>6.5283515E9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1423.0</v>
      </c>
      <c r="F145" s="22" t="n">
        <f>2</f>
        <v>2.0</v>
      </c>
      <c r="G145" s="21" t="n">
        <v>5.6532635E9</v>
      </c>
      <c r="H145" s="22" t="n">
        <f>8021000</f>
        <v>8021000.0</v>
      </c>
    </row>
    <row r="146" spans="1:8" ht="24.9" customHeight="1">
      <c r="A146" s="51"/>
      <c r="B146" s="57"/>
      <c r="C146" s="39"/>
      <c r="D146" s="20" t="s">
        <v>17</v>
      </c>
      <c r="E146" s="21" t="n">
        <v>1125.0</v>
      </c>
      <c r="F146" s="22" t="n">
        <f>0</f>
        <v>0.0</v>
      </c>
      <c r="G146" s="21" t="n">
        <v>4.4489025E9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4177.0</v>
      </c>
      <c r="F147" s="26" t="n">
        <f>2</f>
        <v>2.0</v>
      </c>
      <c r="G147" s="25" t="n">
        <v>1.66305175E10</v>
      </c>
      <c r="H147" s="26" t="n">
        <f>8021000</f>
        <v>8021000.0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34.0</v>
      </c>
      <c r="F148" s="18" t="n">
        <f>0</f>
        <v>0.0</v>
      </c>
      <c r="G148" s="17" t="n">
        <v>2.80926E7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52.0</v>
      </c>
      <c r="F149" s="22" t="n">
        <f>0</f>
        <v>0.0</v>
      </c>
      <c r="G149" s="21" t="n">
        <v>4.23699E7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31.0</v>
      </c>
      <c r="F150" s="22" t="n">
        <f>0</f>
        <v>0.0</v>
      </c>
      <c r="G150" s="21" t="n">
        <v>2.52217E7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117.0</v>
      </c>
      <c r="F151" s="26" t="n">
        <f>0</f>
        <v>0.0</v>
      </c>
      <c r="G151" s="25" t="n">
        <v>9.56842E7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287.0</v>
      </c>
      <c r="F152" s="18" t="n">
        <f>0</f>
        <v>0.0</v>
      </c>
      <c r="G152" s="17" t="n">
        <v>2.3092705E8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134.0</v>
      </c>
      <c r="F153" s="22" t="n">
        <f>0</f>
        <v>0.0</v>
      </c>
      <c r="G153" s="21" t="n">
        <v>1.063967E8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125.0</v>
      </c>
      <c r="F154" s="22" t="n">
        <f>0</f>
        <v>0.0</v>
      </c>
      <c r="G154" s="21" t="n">
        <v>9.871435E7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546.0</v>
      </c>
      <c r="F155" s="26" t="n">
        <f>0</f>
        <v>0.0</v>
      </c>
      <c r="G155" s="25" t="n">
        <v>4.360381E8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77.0</v>
      </c>
      <c r="F156" s="18" t="n">
        <f>0</f>
        <v>0.0</v>
      </c>
      <c r="G156" s="17" t="n">
        <v>6.181E7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174.0</v>
      </c>
      <c r="F157" s="22" t="n">
        <f>0</f>
        <v>0.0</v>
      </c>
      <c r="G157" s="21" t="n">
        <v>1.381627E8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286.0</v>
      </c>
      <c r="F158" s="22" t="n">
        <f>0</f>
        <v>0.0</v>
      </c>
      <c r="G158" s="21" t="n">
        <v>2.260059E8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537.0</v>
      </c>
      <c r="F159" s="26" t="n">
        <f>0</f>
        <v>0.0</v>
      </c>
      <c r="G159" s="25" t="n">
        <v>4.259786E8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1273.0</v>
      </c>
      <c r="F168" s="18" t="n">
        <f>0</f>
        <v>0.0</v>
      </c>
      <c r="G168" s="17" t="n">
        <v>2.626227E9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363.0</v>
      </c>
      <c r="F169" s="22" t="n">
        <f>0</f>
        <v>0.0</v>
      </c>
      <c r="G169" s="21" t="n">
        <v>7.457115E8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1197.0</v>
      </c>
      <c r="F170" s="22" t="n">
        <f>0</f>
        <v>0.0</v>
      </c>
      <c r="G170" s="21" t="n">
        <v>2.464625E9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2833.0</v>
      </c>
      <c r="F171" s="26" t="n">
        <f>0</f>
        <v>0.0</v>
      </c>
      <c r="G171" s="25" t="n">
        <v>5.8365635E9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8.0</v>
      </c>
      <c r="F178" s="22" t="n">
        <f>0</f>
        <v>0.0</v>
      </c>
      <c r="G178" s="21" t="n">
        <v>1.3374E7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8.0</v>
      </c>
      <c r="F179" s="26" t="n">
        <f>0</f>
        <v>0.0</v>
      </c>
      <c r="G179" s="25" t="n">
        <v>1.3374E7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189.0</v>
      </c>
      <c r="F204" s="18" t="n">
        <f>0</f>
        <v>0.0</v>
      </c>
      <c r="G204" s="17" t="n">
        <v>6.61191E8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63.0</v>
      </c>
      <c r="F205" s="22" t="n">
        <f>0</f>
        <v>0.0</v>
      </c>
      <c r="G205" s="21" t="n">
        <v>2.217755E8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744.0</v>
      </c>
      <c r="F206" s="22" t="n">
        <f>1</f>
        <v>1.0</v>
      </c>
      <c r="G206" s="21" t="n">
        <v>2.616214E9</v>
      </c>
      <c r="H206" s="22" t="n">
        <f>3546500</f>
        <v>3546500.0</v>
      </c>
    </row>
    <row r="207" spans="1:8" ht="24.9" customHeight="1">
      <c r="A207" s="57"/>
      <c r="B207" s="59"/>
      <c r="C207" s="39"/>
      <c r="D207" s="24" t="s">
        <v>18</v>
      </c>
      <c r="E207" s="25" t="n">
        <v>996.0</v>
      </c>
      <c r="F207" s="26" t="n">
        <f>1</f>
        <v>1.0</v>
      </c>
      <c r="G207" s="25" t="n">
        <v>3.4991805E9</v>
      </c>
      <c r="H207" s="26" t="n">
        <f>3546500</f>
        <v>3546500.0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34.0</v>
      </c>
      <c r="F208" s="18" t="n">
        <f>34</f>
        <v>34.0</v>
      </c>
      <c r="G208" s="17" t="n">
        <v>4.334544E7</v>
      </c>
      <c r="H208" s="18" t="n">
        <f>43345440</f>
        <v>4.334544E7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34.0</v>
      </c>
      <c r="F211" s="26" t="n">
        <f>34</f>
        <v>34.0</v>
      </c>
      <c r="G211" s="25" t="n">
        <v>4.334544E7</v>
      </c>
      <c r="H211" s="26" t="n">
        <f>43345440</f>
        <v>4.334544E7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9.0</v>
      </c>
      <c r="F216" s="18" t="n">
        <f>9</f>
        <v>9.0</v>
      </c>
      <c r="G216" s="17" t="n">
        <v>1.19484E7</v>
      </c>
      <c r="H216" s="18" t="n">
        <f>11948400</f>
        <v>1.19484E7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9.0</v>
      </c>
      <c r="F219" s="26" t="n">
        <f>9</f>
        <v>9.0</v>
      </c>
      <c r="G219" s="25" t="n">
        <v>1.19484E7</v>
      </c>
      <c r="H219" s="26" t="n">
        <f>11948400</f>
        <v>1.19484E7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46203.0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46203.0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3421</f>
        <v>3421.0</v>
      </c>
      <c r="E12" s="35" t="n">
        <f>1916</f>
        <v>1916.0</v>
      </c>
      <c r="F12" s="17" t="n">
        <f>2457</f>
        <v>2457.0</v>
      </c>
      <c r="G12" s="35" t="n">
        <f>592</f>
        <v>592.0</v>
      </c>
      <c r="H12" s="17" t="n">
        <f>5878</f>
        <v>5878.0</v>
      </c>
      <c r="I12" s="35" t="n">
        <f>2508</f>
        <v>2508.0</v>
      </c>
      <c r="J12" s="17" t="n">
        <f>7023751230</f>
        <v>7.02375123E9</v>
      </c>
      <c r="K12" s="35" t="n">
        <f>6593029230</f>
        <v>6.59302923E9</v>
      </c>
      <c r="L12" s="17" t="n">
        <f>1472894580</f>
        <v>1.47289458E9</v>
      </c>
      <c r="M12" s="35" t="n">
        <f>864407580</f>
        <v>8.6440758E8</v>
      </c>
      <c r="N12" s="17" t="n">
        <f>8496645810</f>
        <v>8.49664581E9</v>
      </c>
      <c r="O12" s="35" t="n">
        <f>7457436810</f>
        <v>7.45743681E9</v>
      </c>
    </row>
    <row r="13" spans="1:15" ht="24.9" customHeight="1">
      <c r="A13" s="38"/>
      <c r="B13" s="62"/>
      <c r="C13" s="20" t="s">
        <v>16</v>
      </c>
      <c r="D13" s="21" t="n">
        <f>4469</f>
        <v>4469.0</v>
      </c>
      <c r="E13" s="36" t="n">
        <f>1842</f>
        <v>1842.0</v>
      </c>
      <c r="F13" s="21" t="n">
        <f>2814</f>
        <v>2814.0</v>
      </c>
      <c r="G13" s="36" t="n">
        <f>516</f>
        <v>516.0</v>
      </c>
      <c r="H13" s="21" t="n">
        <f>7283</f>
        <v>7283.0</v>
      </c>
      <c r="I13" s="36" t="n">
        <f>2358</f>
        <v>2358.0</v>
      </c>
      <c r="J13" s="21" t="n">
        <f>2514538620</f>
        <v>2.51453862E9</v>
      </c>
      <c r="K13" s="36" t="n">
        <f>1755458620</f>
        <v>1.75545862E9</v>
      </c>
      <c r="L13" s="21" t="n">
        <f>1190212240</f>
        <v>1.19021224E9</v>
      </c>
      <c r="M13" s="36" t="n">
        <f>467275240</f>
        <v>4.6727524E8</v>
      </c>
      <c r="N13" s="21" t="n">
        <f>3704750860</f>
        <v>3.70475086E9</v>
      </c>
      <c r="O13" s="36" t="n">
        <f>2222733860</f>
        <v>2.22273386E9</v>
      </c>
    </row>
    <row r="14" spans="1:15" ht="24.9" customHeight="1">
      <c r="A14" s="38"/>
      <c r="B14" s="62"/>
      <c r="C14" s="20" t="s">
        <v>17</v>
      </c>
      <c r="D14" s="21" t="n">
        <f>19772</f>
        <v>19772.0</v>
      </c>
      <c r="E14" s="36" t="n">
        <f>14074</f>
        <v>14074.0</v>
      </c>
      <c r="F14" s="21" t="n">
        <f>6146</f>
        <v>6146.0</v>
      </c>
      <c r="G14" s="36" t="n">
        <f>3547</f>
        <v>3547.0</v>
      </c>
      <c r="H14" s="21" t="n">
        <f>25918</f>
        <v>25918.0</v>
      </c>
      <c r="I14" s="36" t="n">
        <f>17621</f>
        <v>17621.0</v>
      </c>
      <c r="J14" s="21" t="n">
        <f>13225072080</f>
        <v>1.322507208E10</v>
      </c>
      <c r="K14" s="36" t="n">
        <f>11505726080</f>
        <v>1.150572608E10</v>
      </c>
      <c r="L14" s="21" t="n">
        <f>7287119480</f>
        <v>7.28711948E9</v>
      </c>
      <c r="M14" s="36" t="n">
        <f>6292433480</f>
        <v>6.29243348E9</v>
      </c>
      <c r="N14" s="21" t="n">
        <f>20512191560</f>
        <v>2.051219156E10</v>
      </c>
      <c r="O14" s="36" t="n">
        <f>17798159560</f>
        <v>1.779815956E10</v>
      </c>
    </row>
    <row r="15" spans="1:15" ht="24.9" customHeight="1">
      <c r="A15" s="38"/>
      <c r="B15" s="62"/>
      <c r="C15" s="24" t="s">
        <v>18</v>
      </c>
      <c r="D15" s="25" t="n">
        <f>27662</f>
        <v>27662.0</v>
      </c>
      <c r="E15" s="37" t="n">
        <f>17832</f>
        <v>17832.0</v>
      </c>
      <c r="F15" s="25" t="n">
        <f>11417</f>
        <v>11417.0</v>
      </c>
      <c r="G15" s="37" t="n">
        <f>4655</f>
        <v>4655.0</v>
      </c>
      <c r="H15" s="25" t="n">
        <f>39079</f>
        <v>39079.0</v>
      </c>
      <c r="I15" s="37" t="n">
        <f>22487</f>
        <v>22487.0</v>
      </c>
      <c r="J15" s="25" t="n">
        <f>22763361930</f>
        <v>2.276336193E10</v>
      </c>
      <c r="K15" s="37" t="n">
        <f>19854213930</f>
        <v>1.985421393E10</v>
      </c>
      <c r="L15" s="25" t="n">
        <f>9950226300</f>
        <v>9.9502263E9</v>
      </c>
      <c r="M15" s="37" t="n">
        <f>7624116300</f>
        <v>7.6241163E9</v>
      </c>
      <c r="N15" s="25" t="n">
        <f>32713588230</f>
        <v>3.271358823E10</v>
      </c>
      <c r="O15" s="37" t="n">
        <f>27478330230</f>
        <v>2.747833023E10</v>
      </c>
    </row>
    <row r="16" spans="1:15" ht="24.9" customHeight="1">
      <c r="A16" s="38"/>
      <c r="B16" s="61" t="s">
        <v>105</v>
      </c>
      <c r="C16" s="16" t="s">
        <v>15</v>
      </c>
      <c r="D16" s="17" t="n">
        <f>8793</f>
        <v>8793.0</v>
      </c>
      <c r="E16" s="35" t="n">
        <f>800</f>
        <v>800.0</v>
      </c>
      <c r="F16" s="17" t="n">
        <f>6648</f>
        <v>6648.0</v>
      </c>
      <c r="G16" s="35" t="n">
        <f>350</f>
        <v>350.0</v>
      </c>
      <c r="H16" s="17" t="n">
        <f>15441</f>
        <v>15441.0</v>
      </c>
      <c r="I16" s="35" t="n">
        <f>1150</f>
        <v>1150.0</v>
      </c>
      <c r="J16" s="17" t="n">
        <f>286473790</f>
        <v>2.8647379E8</v>
      </c>
      <c r="K16" s="35" t="n">
        <f>7285790</f>
        <v>7285790.0</v>
      </c>
      <c r="L16" s="17" t="n">
        <f>376500830</f>
        <v>3.7650083E8</v>
      </c>
      <c r="M16" s="35" t="n">
        <f>13856330</f>
        <v>1.385633E7</v>
      </c>
      <c r="N16" s="17" t="n">
        <f>662974620</f>
        <v>6.6297462E8</v>
      </c>
      <c r="O16" s="35" t="n">
        <f>21142120</f>
        <v>2.114212E7</v>
      </c>
    </row>
    <row r="17" spans="1:15" ht="24.9" customHeight="1">
      <c r="A17" s="38"/>
      <c r="B17" s="62"/>
      <c r="C17" s="20" t="s">
        <v>16</v>
      </c>
      <c r="D17" s="21" t="n">
        <f>8310</f>
        <v>8310.0</v>
      </c>
      <c r="E17" s="36" t="n">
        <f>740</f>
        <v>740.0</v>
      </c>
      <c r="F17" s="21" t="n">
        <f>6442</f>
        <v>6442.0</v>
      </c>
      <c r="G17" s="36" t="n">
        <f>240</f>
        <v>240.0</v>
      </c>
      <c r="H17" s="21" t="n">
        <f>14752</f>
        <v>14752.0</v>
      </c>
      <c r="I17" s="36" t="n">
        <f>980</f>
        <v>980.0</v>
      </c>
      <c r="J17" s="21" t="n">
        <f>236023610</f>
        <v>2.3602361E8</v>
      </c>
      <c r="K17" s="36" t="n">
        <f>5896610</f>
        <v>5896610.0</v>
      </c>
      <c r="L17" s="21" t="n">
        <f>260500540</f>
        <v>2.6050054E8</v>
      </c>
      <c r="M17" s="36" t="n">
        <f>4324140</f>
        <v>4324140.0</v>
      </c>
      <c r="N17" s="21" t="n">
        <f>496524150</f>
        <v>4.9652415E8</v>
      </c>
      <c r="O17" s="36" t="n">
        <f>10220750</f>
        <v>1.022075E7</v>
      </c>
    </row>
    <row r="18" spans="1:15" ht="24.9" customHeight="1">
      <c r="A18" s="38"/>
      <c r="B18" s="62"/>
      <c r="C18" s="20" t="s">
        <v>17</v>
      </c>
      <c r="D18" s="21" t="n">
        <f>7812</f>
        <v>7812.0</v>
      </c>
      <c r="E18" s="36" t="n">
        <f>700</f>
        <v>700.0</v>
      </c>
      <c r="F18" s="21" t="n">
        <f>5729</f>
        <v>5729.0</v>
      </c>
      <c r="G18" s="36" t="n">
        <f>280</f>
        <v>280.0</v>
      </c>
      <c r="H18" s="21" t="n">
        <f>13541</f>
        <v>13541.0</v>
      </c>
      <c r="I18" s="36" t="n">
        <f>980</f>
        <v>980.0</v>
      </c>
      <c r="J18" s="21" t="n">
        <f>205825220</f>
        <v>2.0582522E8</v>
      </c>
      <c r="K18" s="36" t="n">
        <f>4978720</f>
        <v>4978720.0</v>
      </c>
      <c r="L18" s="21" t="n">
        <f>261937560</f>
        <v>2.6193756E8</v>
      </c>
      <c r="M18" s="36" t="n">
        <f>16799760</f>
        <v>1.679976E7</v>
      </c>
      <c r="N18" s="21" t="n">
        <f>467762780</f>
        <v>4.6776278E8</v>
      </c>
      <c r="O18" s="36" t="n">
        <f>21778480</f>
        <v>2.177848E7</v>
      </c>
    </row>
    <row r="19" spans="1:15" ht="24.9" customHeight="1">
      <c r="A19" s="38"/>
      <c r="B19" s="62"/>
      <c r="C19" s="24" t="s">
        <v>18</v>
      </c>
      <c r="D19" s="25" t="n">
        <f>24915</f>
        <v>24915.0</v>
      </c>
      <c r="E19" s="37" t="n">
        <f>2240</f>
        <v>2240.0</v>
      </c>
      <c r="F19" s="25" t="n">
        <f>18819</f>
        <v>18819.0</v>
      </c>
      <c r="G19" s="37" t="n">
        <f>870</f>
        <v>870.0</v>
      </c>
      <c r="H19" s="25" t="n">
        <f>43734</f>
        <v>43734.0</v>
      </c>
      <c r="I19" s="37" t="n">
        <f>3110</f>
        <v>3110.0</v>
      </c>
      <c r="J19" s="25" t="n">
        <f>728322620</f>
        <v>7.2832262E8</v>
      </c>
      <c r="K19" s="37" t="n">
        <f>18161120</f>
        <v>1.816112E7</v>
      </c>
      <c r="L19" s="25" t="n">
        <f>898938930</f>
        <v>8.9893893E8</v>
      </c>
      <c r="M19" s="37" t="n">
        <f>34980230</f>
        <v>3.498023E7</v>
      </c>
      <c r="N19" s="25" t="n">
        <f>1627261550</f>
        <v>1.62726155E9</v>
      </c>
      <c r="O19" s="37" t="n">
        <f>53141350</f>
        <v>5.314135E7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200</f>
        <v>200.0</v>
      </c>
      <c r="E22" s="36" t="n">
        <f>200</f>
        <v>200.0</v>
      </c>
      <c r="F22" s="21" t="n">
        <f>300</f>
        <v>300.0</v>
      </c>
      <c r="G22" s="36" t="n">
        <f>300</f>
        <v>300.0</v>
      </c>
      <c r="H22" s="21" t="n">
        <f>500</f>
        <v>500.0</v>
      </c>
      <c r="I22" s="36" t="n">
        <f>500</f>
        <v>500.0</v>
      </c>
      <c r="J22" s="21" t="n">
        <f>442100000</f>
        <v>4.421E8</v>
      </c>
      <c r="K22" s="36" t="n">
        <f>442100000</f>
        <v>4.421E8</v>
      </c>
      <c r="L22" s="21" t="n">
        <f>255000000</f>
        <v>2.55E8</v>
      </c>
      <c r="M22" s="36" t="n">
        <f>255000000</f>
        <v>2.55E8</v>
      </c>
      <c r="N22" s="21" t="n">
        <f>697100000</f>
        <v>6.971E8</v>
      </c>
      <c r="O22" s="36" t="n">
        <f>697100000</f>
        <v>6.971E8</v>
      </c>
    </row>
    <row r="23" spans="1:15" ht="24.9" customHeight="1">
      <c r="A23" s="38"/>
      <c r="B23" s="62"/>
      <c r="C23" s="24" t="s">
        <v>18</v>
      </c>
      <c r="D23" s="25" t="n">
        <f>200</f>
        <v>200.0</v>
      </c>
      <c r="E23" s="37" t="n">
        <f>200</f>
        <v>200.0</v>
      </c>
      <c r="F23" s="25" t="n">
        <f>300</f>
        <v>300.0</v>
      </c>
      <c r="G23" s="37" t="n">
        <f>300</f>
        <v>300.0</v>
      </c>
      <c r="H23" s="25" t="n">
        <f>500</f>
        <v>500.0</v>
      </c>
      <c r="I23" s="37" t="n">
        <f>500</f>
        <v>500.0</v>
      </c>
      <c r="J23" s="25" t="n">
        <f>442100000</f>
        <v>4.421E8</v>
      </c>
      <c r="K23" s="37" t="n">
        <f>442100000</f>
        <v>4.421E8</v>
      </c>
      <c r="L23" s="25" t="n">
        <f>255000000</f>
        <v>2.55E8</v>
      </c>
      <c r="M23" s="37" t="n">
        <f>255000000</f>
        <v>2.55E8</v>
      </c>
      <c r="N23" s="25" t="n">
        <f>697100000</f>
        <v>6.971E8</v>
      </c>
      <c r="O23" s="37" t="n">
        <f>697100000</f>
        <v>6.971E8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41</f>
        <v>41.0</v>
      </c>
      <c r="E37" s="22" t="n">
        <f>0</f>
        <v>0.0</v>
      </c>
      <c r="F37" s="21" t="n">
        <f>190</f>
        <v>190.0</v>
      </c>
      <c r="G37" s="22" t="n">
        <f>190</f>
        <v>190.0</v>
      </c>
      <c r="H37" s="21" t="n">
        <f>231</f>
        <v>231.0</v>
      </c>
      <c r="I37" s="22" t="n">
        <f>190</f>
        <v>190.0</v>
      </c>
      <c r="J37" s="21" t="n">
        <f>1580000</f>
        <v>1580000.0</v>
      </c>
      <c r="K37" s="22" t="n">
        <f>0</f>
        <v>0.0</v>
      </c>
      <c r="L37" s="21" t="n">
        <f>1900000</f>
        <v>1900000.0</v>
      </c>
      <c r="M37" s="22" t="n">
        <f>1900000</f>
        <v>1900000.0</v>
      </c>
      <c r="N37" s="21" t="n">
        <f>3480000</f>
        <v>3480000.0</v>
      </c>
      <c r="O37" s="22" t="n">
        <f>1900000</f>
        <v>1900000.0</v>
      </c>
    </row>
    <row r="38" spans="1:15" ht="24.9" customHeight="1">
      <c r="A38" s="38"/>
      <c r="B38" s="62"/>
      <c r="C38" s="20" t="s">
        <v>17</v>
      </c>
      <c r="D38" s="21" t="n">
        <f>124</f>
        <v>124.0</v>
      </c>
      <c r="E38" s="36" t="n">
        <f>0</f>
        <v>0.0</v>
      </c>
      <c r="F38" s="21" t="n">
        <f>30</f>
        <v>30.0</v>
      </c>
      <c r="G38" s="36" t="n">
        <f>0</f>
        <v>0.0</v>
      </c>
      <c r="H38" s="21" t="n">
        <f>154</f>
        <v>154.0</v>
      </c>
      <c r="I38" s="36" t="n">
        <f>0</f>
        <v>0.0</v>
      </c>
      <c r="J38" s="21" t="n">
        <f>6930000</f>
        <v>6930000.0</v>
      </c>
      <c r="K38" s="36" t="n">
        <f>0</f>
        <v>0.0</v>
      </c>
      <c r="L38" s="21" t="n">
        <f>6330000</f>
        <v>6330000.0</v>
      </c>
      <c r="M38" s="36" t="n">
        <f>0</f>
        <v>0.0</v>
      </c>
      <c r="N38" s="21" t="n">
        <f>13260000</f>
        <v>1.326E7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165</f>
        <v>165.0</v>
      </c>
      <c r="E39" s="37" t="n">
        <f>0</f>
        <v>0.0</v>
      </c>
      <c r="F39" s="25" t="n">
        <f>220</f>
        <v>220.0</v>
      </c>
      <c r="G39" s="37" t="n">
        <f>190</f>
        <v>190.0</v>
      </c>
      <c r="H39" s="25" t="n">
        <f>385</f>
        <v>385.0</v>
      </c>
      <c r="I39" s="37" t="n">
        <f>190</f>
        <v>190.0</v>
      </c>
      <c r="J39" s="25" t="n">
        <f>8510000</f>
        <v>8510000.0</v>
      </c>
      <c r="K39" s="37" t="n">
        <f>0</f>
        <v>0.0</v>
      </c>
      <c r="L39" s="25" t="n">
        <f>8230000</f>
        <v>8230000.0</v>
      </c>
      <c r="M39" s="37" t="n">
        <f>1900000</f>
        <v>1900000.0</v>
      </c>
      <c r="N39" s="25" t="n">
        <f>16740000</f>
        <v>1.674E7</v>
      </c>
      <c r="O39" s="37" t="n">
        <f>1900000</f>
        <v>1900000.0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11378</f>
        <v>11378.0</v>
      </c>
      <c r="E41" s="36" t="n">
        <f>0</f>
        <v>0.0</v>
      </c>
      <c r="F41" s="21" t="n">
        <f>1731</f>
        <v>1731.0</v>
      </c>
      <c r="G41" s="36" t="n">
        <f>0</f>
        <v>0.0</v>
      </c>
      <c r="H41" s="21" t="n">
        <f>13109</f>
        <v>13109.0</v>
      </c>
      <c r="I41" s="36" t="n">
        <f>0</f>
        <v>0.0</v>
      </c>
      <c r="J41" s="21" t="n">
        <f>95959480</f>
        <v>9.595948E7</v>
      </c>
      <c r="K41" s="36" t="n">
        <f>0</f>
        <v>0.0</v>
      </c>
      <c r="L41" s="21" t="n">
        <f>27382705</f>
        <v>2.7382705E7</v>
      </c>
      <c r="M41" s="36" t="n">
        <f>0</f>
        <v>0.0</v>
      </c>
      <c r="N41" s="21" t="n">
        <f>123342185</f>
        <v>1.23342185E8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15336</f>
        <v>15336.0</v>
      </c>
      <c r="E42" s="36" t="n">
        <f>0</f>
        <v>0.0</v>
      </c>
      <c r="F42" s="21" t="n">
        <f>1733</f>
        <v>1733.0</v>
      </c>
      <c r="G42" s="36" t="n">
        <f>0</f>
        <v>0.0</v>
      </c>
      <c r="H42" s="21" t="n">
        <f>17069</f>
        <v>17069.0</v>
      </c>
      <c r="I42" s="36" t="n">
        <f>0</f>
        <v>0.0</v>
      </c>
      <c r="J42" s="21" t="n">
        <f>11037100</f>
        <v>1.10371E7</v>
      </c>
      <c r="K42" s="36" t="n">
        <f>0</f>
        <v>0.0</v>
      </c>
      <c r="L42" s="21" t="n">
        <f>7130000</f>
        <v>7130000.0</v>
      </c>
      <c r="M42" s="36" t="n">
        <f>0</f>
        <v>0.0</v>
      </c>
      <c r="N42" s="21" t="n">
        <f>18167100</f>
        <v>1.81671E7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26714</f>
        <v>26714.0</v>
      </c>
      <c r="E43" s="37" t="n">
        <f>0</f>
        <v>0.0</v>
      </c>
      <c r="F43" s="25" t="n">
        <f>3464</f>
        <v>3464.0</v>
      </c>
      <c r="G43" s="37" t="n">
        <f>0</f>
        <v>0.0</v>
      </c>
      <c r="H43" s="25" t="n">
        <f>30178</f>
        <v>30178.0</v>
      </c>
      <c r="I43" s="37" t="n">
        <f>0</f>
        <v>0.0</v>
      </c>
      <c r="J43" s="25" t="n">
        <f>106996580</f>
        <v>1.0699658E8</v>
      </c>
      <c r="K43" s="37" t="n">
        <f>0</f>
        <v>0.0</v>
      </c>
      <c r="L43" s="25" t="n">
        <f>34512705</f>
        <v>3.4512705E7</v>
      </c>
      <c r="M43" s="37" t="n">
        <f>0</f>
        <v>0.0</v>
      </c>
      <c r="N43" s="25" t="n">
        <f>141509285</f>
        <v>1.41509285E8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