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<sst xmlns="http://schemas.openxmlformats.org/spreadsheetml/2006/main" count="528" uniqueCount="129">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</sst>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DATE(2026,06,15)</f>
        <v>46188.0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DATE(2026,06,15)</f>
        <v>46188.0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1188978.0</f>
        <v>1188978.0</v>
      </c>
      <c r="E12" s="18" t="n">
        <f>54803.0</f>
        <v>54803.0</v>
      </c>
      <c r="F12" s="19" t="n">
        <f>1.0</f>
        <v>1.0</v>
      </c>
      <c r="G12" s="17" t="n">
        <f>9404300939555.0</f>
        <v>9.404300939555E12</v>
      </c>
      <c r="H12" s="18" t="n">
        <f>936355086130.0</f>
        <v>9.3635508613E11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515946.0</f>
        <v>515946.0</v>
      </c>
      <c r="E13" s="22" t="n">
        <f>24126.0</f>
        <v>24126.0</v>
      </c>
      <c r="F13" s="23" t="n">
        <f>1.0</f>
        <v>1.0</v>
      </c>
      <c r="G13" s="21" t="n">
        <f>5512509755960.0</f>
        <v>5.51250975596E12</v>
      </c>
      <c r="H13" s="22" t="n">
        <f>286508742960.0</f>
        <v>2.8650874296E11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488437.0</f>
        <v>488437.0</v>
      </c>
      <c r="E14" s="22" t="n">
        <f>46386.0</f>
        <v>46386.0</v>
      </c>
      <c r="F14" s="23" t="n">
        <f>1.0</f>
        <v>1.0</v>
      </c>
      <c r="G14" s="21" t="n">
        <f>6522212450341.0</f>
        <v>6.522212450341E12</v>
      </c>
      <c r="H14" s="22" t="n">
        <f>1477750686216.0</f>
        <v>1.477750686216E12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2193361.0</f>
        <v>2193361.0</v>
      </c>
      <c r="E15" s="26" t="n">
        <f>125315.0</f>
        <v>125315.0</v>
      </c>
      <c r="F15" s="27" t="n">
        <f>1.0</f>
        <v>1.0</v>
      </c>
      <c r="G15" s="25" t="n">
        <f>21439023145856.0</f>
        <v>2.1439023145856E13</v>
      </c>
      <c r="H15" s="26" t="n">
        <f>2700614515306.0</f>
        <v>2.700614515306E12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28876.0</f>
        <v>28876.0</v>
      </c>
      <c r="E16" s="18" t="n">
        <f>4080.0</f>
        <v>4080.0</v>
      </c>
      <c r="F16" s="19" t="n">
        <f>0.024</f>
        <v>0.024</v>
      </c>
      <c r="G16" s="17" t="n">
        <f>3381966068125.0</f>
        <v>3.381966068125E12</v>
      </c>
      <c r="H16" s="18" t="n">
        <f>523313940000.0</f>
        <v>5.2331394E11</v>
      </c>
      <c r="I16" s="19" t="n">
        <f>0.36</f>
        <v>0.36</v>
      </c>
    </row>
    <row r="17" spans="1:9" ht="24.9" customHeight="1">
      <c r="A17" s="41"/>
      <c r="B17" s="39"/>
      <c r="C17" s="20" t="s">
        <v>16</v>
      </c>
      <c r="D17" s="21" t="n">
        <f>15285.0</f>
        <v>15285.0</v>
      </c>
      <c r="E17" s="22" t="n">
        <f>539.0</f>
        <v>539.0</v>
      </c>
      <c r="F17" s="23" t="n">
        <f>0.03</f>
        <v>0.03</v>
      </c>
      <c r="G17" s="21" t="n">
        <f>1899010113500.0</f>
        <v>1.8990101135E12</v>
      </c>
      <c r="H17" s="22" t="n">
        <f>69225570000.0</f>
        <v>6.922557E10</v>
      </c>
      <c r="I17" s="23" t="n">
        <f>0.344</f>
        <v>0.344</v>
      </c>
    </row>
    <row r="18" spans="1:9" ht="24.9" customHeight="1">
      <c r="A18" s="41"/>
      <c r="B18" s="39"/>
      <c r="C18" s="20" t="s">
        <v>17</v>
      </c>
      <c r="D18" s="21" t="n">
        <f>25721.0</f>
        <v>25721.0</v>
      </c>
      <c r="E18" s="22" t="n">
        <f>12667.0</f>
        <v>12667.0</v>
      </c>
      <c r="F18" s="23" t="n">
        <f>0.053</f>
        <v>0.053</v>
      </c>
      <c r="G18" s="21" t="n">
        <f>2190355616625.0</f>
        <v>2.190355616625E12</v>
      </c>
      <c r="H18" s="22" t="n">
        <f>655547477000.0</f>
        <v>6.55547477E11</v>
      </c>
      <c r="I18" s="23" t="n">
        <f>0.336</f>
        <v>0.336</v>
      </c>
    </row>
    <row r="19" spans="1:9" ht="24.9" customHeight="1">
      <c r="A19" s="41"/>
      <c r="B19" s="39"/>
      <c r="C19" s="24" t="s">
        <v>18</v>
      </c>
      <c r="D19" s="25" t="n">
        <f>69882.0</f>
        <v>69882.0</v>
      </c>
      <c r="E19" s="26" t="n">
        <f>17286.0</f>
        <v>17286.0</v>
      </c>
      <c r="F19" s="27" t="n">
        <f>0.032</f>
        <v>0.032</v>
      </c>
      <c r="G19" s="25" t="n">
        <f>7471331798250.0</f>
        <v>7.47133179825E12</v>
      </c>
      <c r="H19" s="26" t="n">
        <f>1248086987000.0</f>
        <v>1.248086987E12</v>
      </c>
      <c r="I19" s="27" t="n">
        <f>0.348</f>
        <v>0.348</v>
      </c>
    </row>
    <row r="20" spans="1:9" ht="24.9" customHeight="1">
      <c r="A20" s="41"/>
      <c r="B20" s="39" t="s">
        <v>21</v>
      </c>
      <c r="C20" s="16" t="s">
        <v>15</v>
      </c>
      <c r="D20" s="17" t="n">
        <f>1145115.0</f>
        <v>1145115.0</v>
      </c>
      <c r="E20" s="18" t="n">
        <f>50633.0</f>
        <v>50633.0</v>
      </c>
      <c r="F20" s="19" t="n">
        <f>0.963</f>
        <v>0.963</v>
      </c>
      <c r="G20" s="17" t="n">
        <f>5866605165430.0</f>
        <v>5.86660516543E12</v>
      </c>
      <c r="H20" s="18" t="n">
        <f>412802376130.0</f>
        <v>4.1280237613E11</v>
      </c>
      <c r="I20" s="19" t="n">
        <f>0.624</f>
        <v>0.624</v>
      </c>
    </row>
    <row r="21" spans="1:9" ht="24.9" customHeight="1">
      <c r="A21" s="41"/>
      <c r="B21" s="39"/>
      <c r="C21" s="20" t="s">
        <v>16</v>
      </c>
      <c r="D21" s="21" t="n">
        <f>489506.0</f>
        <v>489506.0</v>
      </c>
      <c r="E21" s="22" t="n">
        <f>23585.0</f>
        <v>23585.0</v>
      </c>
      <c r="F21" s="23" t="n">
        <f>0.949</f>
        <v>0.949</v>
      </c>
      <c r="G21" s="21" t="n">
        <f>3504312712810.0</f>
        <v>3.50431271281E12</v>
      </c>
      <c r="H21" s="22" t="n">
        <f>217278842960.0</f>
        <v>2.1727884296E11</v>
      </c>
      <c r="I21" s="23" t="n">
        <f>0.636</f>
        <v>0.636</v>
      </c>
    </row>
    <row r="22" spans="1:9" ht="24.9" customHeight="1">
      <c r="A22" s="41"/>
      <c r="B22" s="39"/>
      <c r="C22" s="20" t="s">
        <v>17</v>
      </c>
      <c r="D22" s="21" t="n">
        <f>452839.0</f>
        <v>452839.0</v>
      </c>
      <c r="E22" s="22" t="n">
        <f>33696.0</f>
        <v>33696.0</v>
      </c>
      <c r="F22" s="23" t="n">
        <f>0.927</f>
        <v>0.927</v>
      </c>
      <c r="G22" s="21" t="n">
        <f>4247488675316.0</f>
        <v>4.247488675316E12</v>
      </c>
      <c r="H22" s="22" t="n">
        <f>822116633216.0</f>
        <v>8.22116633216E11</v>
      </c>
      <c r="I22" s="23" t="n">
        <f>0.651</f>
        <v>0.651</v>
      </c>
    </row>
    <row r="23" spans="1:9" ht="24.9" customHeight="1">
      <c r="A23" s="41"/>
      <c r="B23" s="39"/>
      <c r="C23" s="24" t="s">
        <v>18</v>
      </c>
      <c r="D23" s="25" t="n">
        <f>2087460.0</f>
        <v>2087460.0</v>
      </c>
      <c r="E23" s="26" t="n">
        <f>107914.0</f>
        <v>107914.0</v>
      </c>
      <c r="F23" s="27" t="n">
        <f>0.952</f>
        <v>0.952</v>
      </c>
      <c r="G23" s="25" t="n">
        <f>13618406553556.0</f>
        <v>1.3618406553556E13</v>
      </c>
      <c r="H23" s="26" t="n">
        <f>1452197852306.0</f>
        <v>1.452197852306E12</v>
      </c>
      <c r="I23" s="27" t="n">
        <f>0.635</f>
        <v>0.635</v>
      </c>
    </row>
    <row r="24" spans="1:9" ht="24.9" customHeight="1">
      <c r="A24" s="41"/>
      <c r="B24" s="39" t="s">
        <v>22</v>
      </c>
      <c r="C24" s="16" t="s">
        <v>15</v>
      </c>
      <c r="D24" s="17" t="n">
        <f>14189.0</f>
        <v>14189.0</v>
      </c>
      <c r="E24" s="18" t="n">
        <f>0.0</f>
        <v>0.0</v>
      </c>
      <c r="F24" s="19" t="n">
        <f>0.012</f>
        <v>0.012</v>
      </c>
      <c r="G24" s="17" t="n">
        <f>152720506500.0</f>
        <v>1.527205065E11</v>
      </c>
      <c r="H24" s="18" t="n">
        <f>0.0</f>
        <v>0.0</v>
      </c>
      <c r="I24" s="19" t="n">
        <f>0.016</f>
        <v>0.016</v>
      </c>
    </row>
    <row r="25" spans="1:9" ht="24.9" customHeight="1">
      <c r="A25" s="41"/>
      <c r="B25" s="39"/>
      <c r="C25" s="20" t="s">
        <v>16</v>
      </c>
      <c r="D25" s="21" t="n">
        <f>10688.0</f>
        <v>10688.0</v>
      </c>
      <c r="E25" s="22" t="n">
        <f>2.0</f>
        <v>2.0</v>
      </c>
      <c r="F25" s="23" t="n">
        <f>0.021</f>
        <v>0.021</v>
      </c>
      <c r="G25" s="21" t="n">
        <f>107415905150.0</f>
        <v>1.0741590515E11</v>
      </c>
      <c r="H25" s="22" t="n">
        <f>4330000.0</f>
        <v>4330000.0</v>
      </c>
      <c r="I25" s="23" t="n">
        <f>0.019</f>
        <v>0.019</v>
      </c>
    </row>
    <row r="26" spans="1:9" ht="24.9" customHeight="1">
      <c r="A26" s="41"/>
      <c r="B26" s="39"/>
      <c r="C26" s="20" t="s">
        <v>17</v>
      </c>
      <c r="D26" s="21" t="n">
        <f>7627.0</f>
        <v>7627.0</v>
      </c>
      <c r="E26" s="22" t="n">
        <f>0.0</f>
        <v>0.0</v>
      </c>
      <c r="F26" s="23" t="n">
        <f>0.016</f>
        <v>0.016</v>
      </c>
      <c r="G26" s="21" t="n">
        <f>75872113900.0</f>
        <v>7.58721139E10</v>
      </c>
      <c r="H26" s="22" t="n">
        <f>0.0</f>
        <v>0.0</v>
      </c>
      <c r="I26" s="23" t="n">
        <f>0.012</f>
        <v>0.012</v>
      </c>
    </row>
    <row r="27" spans="1:9" ht="24.9" customHeight="1">
      <c r="A27" s="42"/>
      <c r="B27" s="39"/>
      <c r="C27" s="24" t="s">
        <v>18</v>
      </c>
      <c r="D27" s="25" t="n">
        <f>32504.0</f>
        <v>32504.0</v>
      </c>
      <c r="E27" s="26" t="n">
        <f>2.0</f>
        <v>2.0</v>
      </c>
      <c r="F27" s="27" t="n">
        <f>0.015</f>
        <v>0.015</v>
      </c>
      <c r="G27" s="25" t="n">
        <f>336008525550.0</f>
        <v>3.3600852555E11</v>
      </c>
      <c r="H27" s="26" t="n">
        <f>4330000.0</f>
        <v>4330000.0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798.0</f>
        <v>798.0</v>
      </c>
      <c r="E28" s="18" t="n">
        <f>90.0</f>
        <v>90.0</v>
      </c>
      <c r="F28" s="19" t="n">
        <f>0.001</f>
        <v>0.001</v>
      </c>
      <c r="G28" s="17" t="n">
        <f>3009199500.0</f>
        <v>3.0091995E9</v>
      </c>
      <c r="H28" s="18" t="n">
        <f>238770000.0</f>
        <v>2.3877E8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467.0</f>
        <v>467.0</v>
      </c>
      <c r="E29" s="22" t="n">
        <f>0.0</f>
        <v>0.0</v>
      </c>
      <c r="F29" s="23" t="n">
        <f>0.001</f>
        <v>0.001</v>
      </c>
      <c r="G29" s="21" t="n">
        <f>1771024500.0</f>
        <v>1.7710245E9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2250.0</f>
        <v>2250.0</v>
      </c>
      <c r="E30" s="22" t="n">
        <f>23.0</f>
        <v>23.0</v>
      </c>
      <c r="F30" s="23" t="n">
        <f>0.005</f>
        <v>0.005</v>
      </c>
      <c r="G30" s="21" t="n">
        <f>8496044500.0</f>
        <v>8.4960445E9</v>
      </c>
      <c r="H30" s="22" t="n">
        <f>86576000.0</f>
        <v>8.6576E7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3515.0</f>
        <v>3515.0</v>
      </c>
      <c r="E31" s="26" t="n">
        <f>113.0</f>
        <v>113.0</v>
      </c>
      <c r="F31" s="27" t="n">
        <f>0.002</f>
        <v>0.002</v>
      </c>
      <c r="G31" s="25" t="n">
        <f>13276268500.0</f>
        <v>1.32762685E10</v>
      </c>
      <c r="H31" s="26" t="n">
        <f>325346000.0</f>
        <v>3.25346E8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46188.0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46188.0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61143</f>
        <v>61143.0</v>
      </c>
      <c r="E11" s="18" t="n">
        <f>5908</f>
        <v>5908.0</v>
      </c>
      <c r="F11" s="19" t="n">
        <f>1</f>
        <v>1.0</v>
      </c>
      <c r="G11" s="17" t="n">
        <f>17759893251</f>
        <v>1.7759893251E10</v>
      </c>
      <c r="H11" s="18" t="n">
        <f>4731017251</f>
        <v>4.731017251E9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49293</f>
        <v>49293.0</v>
      </c>
      <c r="E12" s="22" t="n">
        <f>7672</f>
        <v>7672.0</v>
      </c>
      <c r="F12" s="23" t="n">
        <f>1</f>
        <v>1.0</v>
      </c>
      <c r="G12" s="21" t="n">
        <f>13680621483</f>
        <v>1.3680621483E10</v>
      </c>
      <c r="H12" s="22" t="n">
        <f>8028531570</f>
        <v>8.02853157E9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72105</f>
        <v>72105.0</v>
      </c>
      <c r="E13" s="22" t="n">
        <f>33448</f>
        <v>33448.0</v>
      </c>
      <c r="F13" s="23" t="n">
        <f>1</f>
        <v>1.0</v>
      </c>
      <c r="G13" s="21" t="n">
        <f>43075416814</f>
        <v>4.3075416814E10</v>
      </c>
      <c r="H13" s="22" t="n">
        <f>36324719865</f>
        <v>3.6324719865E10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182541</f>
        <v>182541.0</v>
      </c>
      <c r="E14" s="26" t="n">
        <f>47028</f>
        <v>47028.0</v>
      </c>
      <c r="F14" s="27" t="n">
        <f>1</f>
        <v>1.0</v>
      </c>
      <c r="G14" s="25" t="n">
        <f>74515931548</f>
        <v>7.4515931548E10</v>
      </c>
      <c r="H14" s="26" t="n">
        <f>49084268686</f>
        <v>4.9084268686E10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101</f>
        <v>101.0</v>
      </c>
      <c r="E16" s="22" t="n">
        <f>0</f>
        <v>0.0</v>
      </c>
      <c r="F16" s="23" t="n">
        <f>0.002</f>
        <v>0.002</v>
      </c>
      <c r="G16" s="21" t="n">
        <f>19090000</f>
        <v>1.909E7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117</f>
        <v>117.0</v>
      </c>
      <c r="E17" s="22" t="n">
        <f>65</f>
        <v>65.0</v>
      </c>
      <c r="F17" s="23" t="n">
        <f>0.002</f>
        <v>0.002</v>
      </c>
      <c r="G17" s="21" t="n">
        <f>24050000</f>
        <v>2.405E7</v>
      </c>
      <c r="H17" s="22" t="n">
        <f>16850000</f>
        <v>1.685E7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218</f>
        <v>218.0</v>
      </c>
      <c r="E18" s="26" t="n">
        <f>65</f>
        <v>65.0</v>
      </c>
      <c r="F18" s="27" t="n">
        <f>0.001</f>
        <v>0.001</v>
      </c>
      <c r="G18" s="25" t="n">
        <f>43140000</f>
        <v>4.314E7</v>
      </c>
      <c r="H18" s="26" t="n">
        <f>16850000</f>
        <v>1.685E7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61143</f>
        <v>61143.0</v>
      </c>
      <c r="E19" s="18" t="n">
        <f>5908</f>
        <v>5908.0</v>
      </c>
      <c r="F19" s="19" t="n">
        <f>1</f>
        <v>1.0</v>
      </c>
      <c r="G19" s="17" t="n">
        <f>17759893251</f>
        <v>1.7759893251E10</v>
      </c>
      <c r="H19" s="18" t="n">
        <f>4731017251</f>
        <v>4.731017251E9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41390</f>
        <v>41390.0</v>
      </c>
      <c r="E20" s="22" t="n">
        <f>7672</f>
        <v>7672.0</v>
      </c>
      <c r="F20" s="23" t="n">
        <f>0.84</f>
        <v>0.84</v>
      </c>
      <c r="G20" s="21" t="n">
        <f>13634752870</f>
        <v>1.363475287E10</v>
      </c>
      <c r="H20" s="22" t="n">
        <f>8028531570</f>
        <v>8.02853157E9</v>
      </c>
      <c r="I20" s="23" t="n">
        <f>0.997</f>
        <v>0.997</v>
      </c>
    </row>
    <row r="21" spans="1:9" ht="24.9" customHeight="1">
      <c r="A21" s="41"/>
      <c r="B21" s="39"/>
      <c r="C21" s="20" t="s">
        <v>17</v>
      </c>
      <c r="D21" s="21" t="n">
        <f>50975</f>
        <v>50975.0</v>
      </c>
      <c r="E21" s="22" t="n">
        <f>24483</f>
        <v>24483.0</v>
      </c>
      <c r="F21" s="23" t="n">
        <f>0.707</f>
        <v>0.707</v>
      </c>
      <c r="G21" s="21" t="n">
        <f>42778857665</f>
        <v>4.2778857665E10</v>
      </c>
      <c r="H21" s="22" t="n">
        <f>36119739865</f>
        <v>3.6119739865E10</v>
      </c>
      <c r="I21" s="23" t="n">
        <f>0.993</f>
        <v>0.993</v>
      </c>
    </row>
    <row r="22" spans="1:9" ht="24.9" customHeight="1">
      <c r="A22" s="41"/>
      <c r="B22" s="39"/>
      <c r="C22" s="24" t="s">
        <v>18</v>
      </c>
      <c r="D22" s="25" t="n">
        <f>153508</f>
        <v>153508.0</v>
      </c>
      <c r="E22" s="26" t="n">
        <f>38063</f>
        <v>38063.0</v>
      </c>
      <c r="F22" s="27" t="n">
        <f>0.841</f>
        <v>0.841</v>
      </c>
      <c r="G22" s="25" t="n">
        <f>74173503786</f>
        <v>7.4173503786E10</v>
      </c>
      <c r="H22" s="26" t="n">
        <f>48879288686</f>
        <v>4.8879288686E10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7802</f>
        <v>7802.0</v>
      </c>
      <c r="E24" s="22" t="n">
        <f>0</f>
        <v>0.0</v>
      </c>
      <c r="F24" s="23" t="n">
        <f>0.158</f>
        <v>0.158</v>
      </c>
      <c r="G24" s="21" t="n">
        <f>26778613</f>
        <v>2.6778613E7</v>
      </c>
      <c r="H24" s="22" t="n">
        <f>0</f>
        <v>0.0</v>
      </c>
      <c r="I24" s="23" t="n">
        <f>0.002</f>
        <v>0.002</v>
      </c>
    </row>
    <row r="25" spans="1:9" ht="24.9" customHeight="1">
      <c r="A25" s="41"/>
      <c r="B25" s="39"/>
      <c r="C25" s="20" t="s">
        <v>17</v>
      </c>
      <c r="D25" s="21" t="n">
        <f>21013</f>
        <v>21013.0</v>
      </c>
      <c r="E25" s="22" t="n">
        <f>8900</f>
        <v>8900.0</v>
      </c>
      <c r="F25" s="23" t="n">
        <f>0.291</f>
        <v>0.291</v>
      </c>
      <c r="G25" s="21" t="n">
        <f>272509149</f>
        <v>2.72509149E8</v>
      </c>
      <c r="H25" s="22" t="n">
        <f>188130000</f>
        <v>1.8813E8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28815</f>
        <v>28815.0</v>
      </c>
      <c r="E26" s="26" t="n">
        <f>8900</f>
        <v>8900.0</v>
      </c>
      <c r="F26" s="27" t="n">
        <f>0.158</f>
        <v>0.158</v>
      </c>
      <c r="G26" s="25" t="n">
        <f>299287762</f>
        <v>2.99287762E8</v>
      </c>
      <c r="H26" s="26" t="n">
        <f>188130000</f>
        <v>1.8813E8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46188.0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46188.0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25752.0</v>
      </c>
      <c r="F12" s="18" t="n">
        <f>1372</f>
        <v>1372.0</v>
      </c>
      <c r="G12" s="17" t="n">
        <v>1.7254425964E12</v>
      </c>
      <c r="H12" s="18" t="n">
        <f>91809856400</f>
        <v>9.18098564E10</v>
      </c>
    </row>
    <row r="13" spans="1:8" ht="24.9" customHeight="1">
      <c r="A13" s="51"/>
      <c r="B13" s="57"/>
      <c r="C13" s="39"/>
      <c r="D13" s="20" t="s">
        <v>16</v>
      </c>
      <c r="E13" s="21" t="n">
        <v>14363.0</v>
      </c>
      <c r="F13" s="22" t="n">
        <f>635</f>
        <v>635.0</v>
      </c>
      <c r="G13" s="21" t="n">
        <v>9.925439427E11</v>
      </c>
      <c r="H13" s="22" t="n">
        <f>43623552700</f>
        <v>4.36235527E10</v>
      </c>
    </row>
    <row r="14" spans="1:8" ht="24.9" customHeight="1">
      <c r="A14" s="51"/>
      <c r="B14" s="57"/>
      <c r="C14" s="39"/>
      <c r="D14" s="20" t="s">
        <v>17</v>
      </c>
      <c r="E14" s="21" t="n">
        <v>22726.0</v>
      </c>
      <c r="F14" s="22" t="n">
        <f>5465</f>
        <v>5465.0</v>
      </c>
      <c r="G14" s="21" t="n">
        <v>1.5786870403E12</v>
      </c>
      <c r="H14" s="22" t="n">
        <f>379181350300</f>
        <v>3.791813503E11</v>
      </c>
    </row>
    <row r="15" spans="1:8" ht="24.9" customHeight="1">
      <c r="A15" s="51"/>
      <c r="B15" s="57"/>
      <c r="C15" s="39"/>
      <c r="D15" s="24" t="s">
        <v>18</v>
      </c>
      <c r="E15" s="25" t="n">
        <v>62841.0</v>
      </c>
      <c r="F15" s="26" t="n">
        <f>7472</f>
        <v>7472.0</v>
      </c>
      <c r="G15" s="25" t="n">
        <v>4.2966735794E12</v>
      </c>
      <c r="H15" s="26" t="n">
        <f>514614759400</f>
        <v>5.146147594E11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428246.0</v>
      </c>
      <c r="F16" s="18" t="n">
        <f>47339</f>
        <v>47339.0</v>
      </c>
      <c r="G16" s="17" t="n">
        <v>2.86810362208E12</v>
      </c>
      <c r="H16" s="18" t="n">
        <f>317060896080</f>
        <v>3.1706089608E11</v>
      </c>
    </row>
    <row r="17" spans="1:8" ht="24.9" customHeight="1">
      <c r="A17" s="51"/>
      <c r="B17" s="57"/>
      <c r="C17" s="39"/>
      <c r="D17" s="20" t="s">
        <v>16</v>
      </c>
      <c r="E17" s="21" t="n">
        <v>206755.0</v>
      </c>
      <c r="F17" s="22" t="n">
        <f>21628</f>
        <v>21628.0</v>
      </c>
      <c r="G17" s="21" t="n">
        <v>1.42957296132E12</v>
      </c>
      <c r="H17" s="22" t="n">
        <f>149584878820</f>
        <v>1.4958487882E11</v>
      </c>
    </row>
    <row r="18" spans="1:8" ht="24.9" customHeight="1">
      <c r="A18" s="51"/>
      <c r="B18" s="57"/>
      <c r="C18" s="39"/>
      <c r="D18" s="20" t="s">
        <v>17</v>
      </c>
      <c r="E18" s="21" t="n">
        <v>178474.0</v>
      </c>
      <c r="F18" s="22" t="n">
        <f>19831</f>
        <v>19831.0</v>
      </c>
      <c r="G18" s="21" t="n">
        <v>1.24035833613E12</v>
      </c>
      <c r="H18" s="22" t="n">
        <f>137851249130</f>
        <v>1.3785124913E11</v>
      </c>
    </row>
    <row r="19" spans="1:8" ht="24.9" customHeight="1">
      <c r="A19" s="51"/>
      <c r="B19" s="57"/>
      <c r="C19" s="39"/>
      <c r="D19" s="24" t="s">
        <v>18</v>
      </c>
      <c r="E19" s="25" t="n">
        <v>813475.0</v>
      </c>
      <c r="F19" s="26" t="n">
        <f>88798</f>
        <v>88798.0</v>
      </c>
      <c r="G19" s="25" t="n">
        <v>5.53803491953E12</v>
      </c>
      <c r="H19" s="26" t="n">
        <f>604497024030</f>
        <v>6.0449702403E11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660288.0</v>
      </c>
      <c r="F20" s="18" t="str">
        <f>"－"</f>
        <v>－</v>
      </c>
      <c r="G20" s="17" t="n">
        <v>4.4231297955E11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233420.0</v>
      </c>
      <c r="F21" s="22" t="str">
        <f>"－"</f>
        <v>－</v>
      </c>
      <c r="G21" s="21" t="n">
        <v>1.6142852925E11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209950.0</v>
      </c>
      <c r="F22" s="22" t="str">
        <f>"－"</f>
        <v>－</v>
      </c>
      <c r="G22" s="21" t="n">
        <v>1.4589639425E11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1103658.0</v>
      </c>
      <c r="F23" s="26" t="str">
        <f>"－"</f>
        <v>－</v>
      </c>
      <c r="G23" s="25" t="n">
        <v>7.4963790305E11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20298.0</v>
      </c>
      <c r="F24" s="18" t="n">
        <f>12</f>
        <v>12.0</v>
      </c>
      <c r="G24" s="17" t="n">
        <v>7.96408532E11</v>
      </c>
      <c r="H24" s="18" t="n">
        <f>470662000</f>
        <v>4.70662E8</v>
      </c>
    </row>
    <row r="25" spans="1:8" ht="24.9" customHeight="1">
      <c r="A25" s="51"/>
      <c r="B25" s="57"/>
      <c r="C25" s="39"/>
      <c r="D25" s="20" t="s">
        <v>16</v>
      </c>
      <c r="E25" s="21" t="n">
        <v>21817.0</v>
      </c>
      <c r="F25" s="22" t="n">
        <f>544</f>
        <v>544.0</v>
      </c>
      <c r="G25" s="21" t="n">
        <v>8.743841196E11</v>
      </c>
      <c r="H25" s="22" t="n">
        <f>21322939600</f>
        <v>2.13229396E10</v>
      </c>
    </row>
    <row r="26" spans="1:8" ht="24.9" customHeight="1">
      <c r="A26" s="51"/>
      <c r="B26" s="57"/>
      <c r="C26" s="39"/>
      <c r="D26" s="20" t="s">
        <v>17</v>
      </c>
      <c r="E26" s="21" t="n">
        <v>31029.0</v>
      </c>
      <c r="F26" s="22" t="n">
        <f>7552</f>
        <v>7552.0</v>
      </c>
      <c r="G26" s="21" t="n">
        <v>1.2459940842E12</v>
      </c>
      <c r="H26" s="22" t="n">
        <f>302990474200</f>
        <v>3.029904742E11</v>
      </c>
    </row>
    <row r="27" spans="1:8" ht="24.9" customHeight="1">
      <c r="A27" s="51"/>
      <c r="B27" s="57"/>
      <c r="C27" s="39"/>
      <c r="D27" s="24" t="s">
        <v>18</v>
      </c>
      <c r="E27" s="25" t="n">
        <v>73144.0</v>
      </c>
      <c r="F27" s="26" t="n">
        <f>8108</f>
        <v>8108.0</v>
      </c>
      <c r="G27" s="25" t="n">
        <v>2.9167867358E12</v>
      </c>
      <c r="H27" s="26" t="n">
        <f>324784075800</f>
        <v>3.247840758E11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7183.0</v>
      </c>
      <c r="F28" s="18" t="n">
        <f>252</f>
        <v>252.0</v>
      </c>
      <c r="G28" s="17" t="n">
        <v>2.81851465E10</v>
      </c>
      <c r="H28" s="18" t="n">
        <f>988387250</f>
        <v>9.8838725E8</v>
      </c>
    </row>
    <row r="29" spans="1:8" ht="24.9" customHeight="1">
      <c r="A29" s="51"/>
      <c r="B29" s="57"/>
      <c r="C29" s="39"/>
      <c r="D29" s="20" t="s">
        <v>16</v>
      </c>
      <c r="E29" s="21" t="n">
        <v>9598.0</v>
      </c>
      <c r="F29" s="22" t="n">
        <f>347</f>
        <v>347.0</v>
      </c>
      <c r="G29" s="21" t="n">
        <v>3.844191445E10</v>
      </c>
      <c r="H29" s="22" t="n">
        <f>1390276950</f>
        <v>1.39027695E9</v>
      </c>
    </row>
    <row r="30" spans="1:8" ht="24.9" customHeight="1">
      <c r="A30" s="51"/>
      <c r="B30" s="57"/>
      <c r="C30" s="39"/>
      <c r="D30" s="20" t="s">
        <v>17</v>
      </c>
      <c r="E30" s="21" t="n">
        <v>7502.0</v>
      </c>
      <c r="F30" s="22" t="n">
        <f>204</f>
        <v>204.0</v>
      </c>
      <c r="G30" s="21" t="n">
        <v>3.012867015E10</v>
      </c>
      <c r="H30" s="22" t="n">
        <f>819161400</f>
        <v>8.191614E8</v>
      </c>
    </row>
    <row r="31" spans="1:8" ht="24.9" customHeight="1">
      <c r="A31" s="51"/>
      <c r="B31" s="57"/>
      <c r="C31" s="39"/>
      <c r="D31" s="24" t="s">
        <v>18</v>
      </c>
      <c r="E31" s="25" t="n">
        <v>24283.0</v>
      </c>
      <c r="F31" s="26" t="n">
        <f>803</f>
        <v>803.0</v>
      </c>
      <c r="G31" s="25" t="n">
        <v>9.67557311E10</v>
      </c>
      <c r="H31" s="26" t="n">
        <f>3197825600</f>
        <v>3.1978256E9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492.0</v>
      </c>
      <c r="F36" s="18" t="n">
        <f>0</f>
        <v>0.0</v>
      </c>
      <c r="G36" s="17" t="n">
        <v>1.7463455E9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1728.0</v>
      </c>
      <c r="F37" s="22" t="n">
        <f>334</f>
        <v>334.0</v>
      </c>
      <c r="G37" s="21" t="n">
        <v>6.244082E9</v>
      </c>
      <c r="H37" s="22" t="n">
        <f>1199719000</f>
        <v>1.199719E9</v>
      </c>
    </row>
    <row r="38" spans="1:8" ht="24.9" customHeight="1">
      <c r="A38" s="51"/>
      <c r="B38" s="57"/>
      <c r="C38" s="39"/>
      <c r="D38" s="20" t="s">
        <v>17</v>
      </c>
      <c r="E38" s="21" t="n">
        <v>1073.0</v>
      </c>
      <c r="F38" s="22" t="n">
        <f>96</f>
        <v>96.0</v>
      </c>
      <c r="G38" s="21" t="n">
        <v>3.901060026E9</v>
      </c>
      <c r="H38" s="22" t="n">
        <f>348653026</f>
        <v>3.48653026E8</v>
      </c>
    </row>
    <row r="39" spans="1:8" ht="24.9" customHeight="1">
      <c r="A39" s="51"/>
      <c r="B39" s="57"/>
      <c r="C39" s="39"/>
      <c r="D39" s="24" t="s">
        <v>18</v>
      </c>
      <c r="E39" s="25" t="n">
        <v>3293.0</v>
      </c>
      <c r="F39" s="26" t="n">
        <f>430</f>
        <v>430.0</v>
      </c>
      <c r="G39" s="25" t="n">
        <v>1.1891487526E10</v>
      </c>
      <c r="H39" s="26" t="n">
        <f>1548372026</f>
        <v>1.548372026E9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60.0</v>
      </c>
      <c r="F44" s="18" t="n">
        <f>60</f>
        <v>60.0</v>
      </c>
      <c r="G44" s="17" t="n">
        <v>4.053E8</v>
      </c>
      <c r="H44" s="18" t="n">
        <f>405300000</f>
        <v>4.053E8</v>
      </c>
    </row>
    <row r="45" spans="1:8" ht="24.9" customHeight="1">
      <c r="A45" s="51"/>
      <c r="B45" s="57"/>
      <c r="C45" s="39"/>
      <c r="D45" s="20" t="s">
        <v>16</v>
      </c>
      <c r="E45" s="21" t="n">
        <v>12.0</v>
      </c>
      <c r="F45" s="22" t="n">
        <f>12</f>
        <v>12.0</v>
      </c>
      <c r="G45" s="21" t="n">
        <v>8.4264E7</v>
      </c>
      <c r="H45" s="22" t="n">
        <f>84264000</f>
        <v>8.4264E7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72.0</v>
      </c>
      <c r="F47" s="26" t="n">
        <f>72</f>
        <v>72.0</v>
      </c>
      <c r="G47" s="25" t="n">
        <v>4.89564E8</v>
      </c>
      <c r="H47" s="26" t="n">
        <f>489564000</f>
        <v>4.89564E8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431.0</v>
      </c>
      <c r="F48" s="18" t="n">
        <f>425</f>
        <v>425.0</v>
      </c>
      <c r="G48" s="17" t="n">
        <v>7.64017E8</v>
      </c>
      <c r="H48" s="18" t="n">
        <f>753352000</f>
        <v>7.53352E8</v>
      </c>
    </row>
    <row r="49" spans="1:8" ht="24.9" customHeight="1">
      <c r="A49" s="51"/>
      <c r="B49" s="57"/>
      <c r="C49" s="39"/>
      <c r="D49" s="20" t="s">
        <v>16</v>
      </c>
      <c r="E49" s="21" t="n">
        <v>45.0</v>
      </c>
      <c r="F49" s="22" t="n">
        <f>0</f>
        <v>0.0</v>
      </c>
      <c r="G49" s="21" t="n">
        <v>8.0444E7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660.0</v>
      </c>
      <c r="F50" s="22" t="n">
        <f>491</f>
        <v>491.0</v>
      </c>
      <c r="G50" s="21" t="n">
        <v>1.17936546E9</v>
      </c>
      <c r="H50" s="22" t="n">
        <f>877125960</f>
        <v>8.7712596E8</v>
      </c>
    </row>
    <row r="51" spans="1:8" ht="24.9" customHeight="1">
      <c r="A51" s="51"/>
      <c r="B51" s="57"/>
      <c r="C51" s="39"/>
      <c r="D51" s="24" t="s">
        <v>18</v>
      </c>
      <c r="E51" s="25" t="n">
        <v>1136.0</v>
      </c>
      <c r="F51" s="26" t="n">
        <f>916</f>
        <v>916.0</v>
      </c>
      <c r="G51" s="25" t="n">
        <v>2.02382646E9</v>
      </c>
      <c r="H51" s="26" t="n">
        <f>1630477960</f>
        <v>1.63047796E9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444.0</v>
      </c>
      <c r="F56" s="18" t="n">
        <f>13</f>
        <v>13.0</v>
      </c>
      <c r="G56" s="17" t="n">
        <v>3.137291E8</v>
      </c>
      <c r="H56" s="18" t="n">
        <f>9197100</f>
        <v>9197100.0</v>
      </c>
    </row>
    <row r="57" spans="1:8" ht="24.9" customHeight="1">
      <c r="A57" s="51"/>
      <c r="B57" s="57"/>
      <c r="C57" s="39"/>
      <c r="D57" s="20" t="s">
        <v>16</v>
      </c>
      <c r="E57" s="21" t="n">
        <v>1621.0</v>
      </c>
      <c r="F57" s="22" t="n">
        <f>82</f>
        <v>82.0</v>
      </c>
      <c r="G57" s="21" t="n">
        <v>1.1403684E9</v>
      </c>
      <c r="H57" s="22" t="n">
        <f>57725400</f>
        <v>5.77254E7</v>
      </c>
    </row>
    <row r="58" spans="1:8" ht="24.9" customHeight="1">
      <c r="A58" s="51"/>
      <c r="B58" s="57"/>
      <c r="C58" s="39"/>
      <c r="D58" s="20" t="s">
        <v>17</v>
      </c>
      <c r="E58" s="21" t="n">
        <v>1176.0</v>
      </c>
      <c r="F58" s="22" t="n">
        <f>55</f>
        <v>55.0</v>
      </c>
      <c r="G58" s="21" t="n">
        <v>8.173604E8</v>
      </c>
      <c r="H58" s="22" t="n">
        <f>38260400</f>
        <v>3.82604E7</v>
      </c>
    </row>
    <row r="59" spans="1:8" ht="24.9" customHeight="1">
      <c r="A59" s="51"/>
      <c r="B59" s="57"/>
      <c r="C59" s="39"/>
      <c r="D59" s="24" t="s">
        <v>18</v>
      </c>
      <c r="E59" s="25" t="n">
        <v>3241.0</v>
      </c>
      <c r="F59" s="26" t="n">
        <f>150</f>
        <v>150.0</v>
      </c>
      <c r="G59" s="25" t="n">
        <v>2.2714579E9</v>
      </c>
      <c r="H59" s="26" t="n">
        <f>105182900</f>
        <v>1.051829E8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109.0</v>
      </c>
      <c r="F60" s="18" t="n">
        <f>10</f>
        <v>10.0</v>
      </c>
      <c r="G60" s="17" t="n">
        <v>5.584814E8</v>
      </c>
      <c r="H60" s="18" t="n">
        <f>51225300</f>
        <v>5.12253E7</v>
      </c>
    </row>
    <row r="61" spans="1:8" ht="24.9" customHeight="1">
      <c r="A61" s="51"/>
      <c r="B61" s="57"/>
      <c r="C61" s="39"/>
      <c r="D61" s="20" t="s">
        <v>16</v>
      </c>
      <c r="E61" s="21" t="n">
        <v>40.0</v>
      </c>
      <c r="F61" s="22" t="n">
        <f>3</f>
        <v>3.0</v>
      </c>
      <c r="G61" s="21" t="n">
        <v>2.0654909E8</v>
      </c>
      <c r="H61" s="22" t="n">
        <f>15486490</f>
        <v>1.548649E7</v>
      </c>
    </row>
    <row r="62" spans="1:8" ht="24.9" customHeight="1">
      <c r="A62" s="51"/>
      <c r="B62" s="57"/>
      <c r="C62" s="39"/>
      <c r="D62" s="20" t="s">
        <v>17</v>
      </c>
      <c r="E62" s="21" t="n">
        <v>15.0</v>
      </c>
      <c r="F62" s="22" t="n">
        <f>2</f>
        <v>2.0</v>
      </c>
      <c r="G62" s="21" t="n">
        <v>7.76353E7</v>
      </c>
      <c r="H62" s="22" t="n">
        <f>10358800</f>
        <v>1.03588E7</v>
      </c>
    </row>
    <row r="63" spans="1:8" ht="24.9" customHeight="1">
      <c r="A63" s="51"/>
      <c r="B63" s="57"/>
      <c r="C63" s="39"/>
      <c r="D63" s="24" t="s">
        <v>18</v>
      </c>
      <c r="E63" s="25" t="n">
        <v>164.0</v>
      </c>
      <c r="F63" s="26" t="n">
        <f>15</f>
        <v>15.0</v>
      </c>
      <c r="G63" s="25" t="n">
        <v>8.4266579E8</v>
      </c>
      <c r="H63" s="26" t="n">
        <f>77070590</f>
        <v>7.707059E7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1150.0</v>
      </c>
      <c r="F72" s="18" t="n">
        <f>1150</f>
        <v>1150.0</v>
      </c>
      <c r="G72" s="17" t="n">
        <v>1.2535E9</v>
      </c>
      <c r="H72" s="18" t="n">
        <f>1253500000</f>
        <v>1.2535E9</v>
      </c>
    </row>
    <row r="73" spans="1:8" ht="24.9" customHeight="1">
      <c r="A73" s="51"/>
      <c r="B73" s="57"/>
      <c r="C73" s="39"/>
      <c r="D73" s="20" t="s">
        <v>16</v>
      </c>
      <c r="E73" s="21" t="n">
        <v>15.0</v>
      </c>
      <c r="F73" s="22" t="n">
        <f>0</f>
        <v>0.0</v>
      </c>
      <c r="G73" s="21" t="n">
        <v>1.794E7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1165.0</v>
      </c>
      <c r="F75" s="26" t="n">
        <f>1150</f>
        <v>1150.0</v>
      </c>
      <c r="G75" s="25" t="n">
        <v>1.27144E9</v>
      </c>
      <c r="H75" s="26" t="n">
        <f>1253500000</f>
        <v>1.2535E9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20.0</v>
      </c>
      <c r="F77" s="22" t="n">
        <f>0</f>
        <v>0.0</v>
      </c>
      <c r="G77" s="21" t="n">
        <v>7204000.0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20.0</v>
      </c>
      <c r="F78" s="22" t="n">
        <f>0</f>
        <v>0.0</v>
      </c>
      <c r="G78" s="21" t="n">
        <v>7216500.0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40.0</v>
      </c>
      <c r="F79" s="26" t="n">
        <f>0</f>
        <v>0.0</v>
      </c>
      <c r="G79" s="25" t="n">
        <v>1.44205E7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450.0</v>
      </c>
      <c r="F92" s="18" t="n">
        <f>0</f>
        <v>0.0</v>
      </c>
      <c r="G92" s="17" t="n">
        <v>7.174079E8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450.0</v>
      </c>
      <c r="F95" s="26" t="n">
        <f>0</f>
        <v>0.0</v>
      </c>
      <c r="G95" s="25" t="n">
        <v>7.174079E8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2.0</v>
      </c>
      <c r="F96" s="18" t="n">
        <f>0</f>
        <v>0.0</v>
      </c>
      <c r="G96" s="17" t="n">
        <v>4732000.0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52.0</v>
      </c>
      <c r="F97" s="22" t="n">
        <f>0</f>
        <v>0.0</v>
      </c>
      <c r="G97" s="21" t="n">
        <v>1.23258E8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86.0</v>
      </c>
      <c r="F98" s="22" t="n">
        <f>0</f>
        <v>0.0</v>
      </c>
      <c r="G98" s="21" t="n">
        <v>2.037354E8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140.0</v>
      </c>
      <c r="F99" s="26" t="n">
        <f>0</f>
        <v>0.0</v>
      </c>
      <c r="G99" s="25" t="n">
        <v>3.317254E8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210.0</v>
      </c>
      <c r="F100" s="18" t="n">
        <f>0</f>
        <v>0.0</v>
      </c>
      <c r="G100" s="17" t="n">
        <v>3.88776E8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20.0</v>
      </c>
      <c r="F101" s="22" t="n">
        <f>0</f>
        <v>0.0</v>
      </c>
      <c r="G101" s="21" t="n">
        <v>3.7136E7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128.0</v>
      </c>
      <c r="F102" s="22" t="n">
        <f>0</f>
        <v>0.0</v>
      </c>
      <c r="G102" s="21" t="n">
        <v>2.377772E8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358.0</v>
      </c>
      <c r="F103" s="26" t="n">
        <f>0</f>
        <v>0.0</v>
      </c>
      <c r="G103" s="25" t="n">
        <v>6.636892E8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25785.0</v>
      </c>
      <c r="F108" s="18" t="n">
        <f>4080</f>
        <v>4080.0</v>
      </c>
      <c r="G108" s="17" t="n">
        <v>3.30551952E12</v>
      </c>
      <c r="H108" s="18" t="n">
        <f>523313940000</f>
        <v>5.2331394E11</v>
      </c>
    </row>
    <row r="109" spans="1:8" ht="24.9" customHeight="1">
      <c r="A109" s="51"/>
      <c r="B109" s="57"/>
      <c r="C109" s="39"/>
      <c r="D109" s="20" t="s">
        <v>16</v>
      </c>
      <c r="E109" s="21" t="n">
        <v>14696.0</v>
      </c>
      <c r="F109" s="22" t="n">
        <f>539</f>
        <v>539.0</v>
      </c>
      <c r="G109" s="21" t="n">
        <v>1.88631049E12</v>
      </c>
      <c r="H109" s="22" t="n">
        <f>69225570000</f>
        <v>6.922557E10</v>
      </c>
    </row>
    <row r="110" spans="1:8" ht="24.9" customHeight="1">
      <c r="A110" s="51"/>
      <c r="B110" s="57"/>
      <c r="C110" s="39"/>
      <c r="D110" s="20" t="s">
        <v>17</v>
      </c>
      <c r="E110" s="21" t="n">
        <v>16213.0</v>
      </c>
      <c r="F110" s="22" t="n">
        <f>4495</f>
        <v>4495.0</v>
      </c>
      <c r="G110" s="21" t="n">
        <v>2.083987475E12</v>
      </c>
      <c r="H110" s="22" t="n">
        <f>578919785000</f>
        <v>5.78919785E11</v>
      </c>
    </row>
    <row r="111" spans="1:8" ht="24.9" customHeight="1">
      <c r="A111" s="51"/>
      <c r="B111" s="57"/>
      <c r="C111" s="39"/>
      <c r="D111" s="24" t="s">
        <v>18</v>
      </c>
      <c r="E111" s="25" t="n">
        <v>56694.0</v>
      </c>
      <c r="F111" s="26" t="n">
        <f>9114</f>
        <v>9114.0</v>
      </c>
      <c r="G111" s="25" t="n">
        <v>7.275817485E12</v>
      </c>
      <c r="H111" s="26" t="n">
        <f>1171459295000</f>
        <v>1.171459295E12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2.0</v>
      </c>
      <c r="F113" s="22" t="n">
        <f>0</f>
        <v>0.0</v>
      </c>
      <c r="G113" s="21" t="n">
        <v>2.5616E7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1.282E7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3.0</v>
      </c>
      <c r="F115" s="26" t="n">
        <f>0</f>
        <v>0.0</v>
      </c>
      <c r="G115" s="25" t="n">
        <v>3.8436E7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120.0</v>
      </c>
      <c r="F117" s="22" t="n">
        <f>0</f>
        <v>0.0</v>
      </c>
      <c r="G117" s="21" t="n">
        <v>1.11462E9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8387.0</v>
      </c>
      <c r="F118" s="22" t="n">
        <f>8172</f>
        <v>8172.0</v>
      </c>
      <c r="G118" s="21" t="n">
        <v>7.8632631E10</v>
      </c>
      <c r="H118" s="22" t="n">
        <f>76627692000</f>
        <v>7.6627692E10</v>
      </c>
    </row>
    <row r="119" spans="1:8" ht="24.9" customHeight="1">
      <c r="A119" s="51"/>
      <c r="B119" s="58"/>
      <c r="C119" s="39"/>
      <c r="D119" s="24" t="s">
        <v>18</v>
      </c>
      <c r="E119" s="25" t="n">
        <v>8507.0</v>
      </c>
      <c r="F119" s="26" t="n">
        <f>8172</f>
        <v>8172.0</v>
      </c>
      <c r="G119" s="25" t="n">
        <v>7.9747251E10</v>
      </c>
      <c r="H119" s="26" t="n">
        <f>76627692000</f>
        <v>7.6627692E10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3091.0</v>
      </c>
      <c r="F120" s="18" t="n">
        <f>0</f>
        <v>0.0</v>
      </c>
      <c r="G120" s="17" t="n">
        <v>7.6446548125E10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467.0</v>
      </c>
      <c r="F121" s="22" t="n">
        <f>0</f>
        <v>0.0</v>
      </c>
      <c r="G121" s="21" t="n">
        <v>1.15593875E10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1120.0</v>
      </c>
      <c r="F122" s="22" t="n">
        <f>0</f>
        <v>0.0</v>
      </c>
      <c r="G122" s="21" t="n">
        <v>2.7722690625E10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4678.0</v>
      </c>
      <c r="F123" s="26" t="n">
        <f>0</f>
        <v>0.0</v>
      </c>
      <c r="G123" s="25" t="n">
        <v>1.1572862625E11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6014.0</v>
      </c>
      <c r="F124" s="18" t="n">
        <f>0</f>
        <v>0.0</v>
      </c>
      <c r="G124" s="17" t="n">
        <v>1.33178722E11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4017.0</v>
      </c>
      <c r="F125" s="22" t="n">
        <f>0</f>
        <v>0.0</v>
      </c>
      <c r="G125" s="21" t="n">
        <v>9.0917748E10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2811.0</v>
      </c>
      <c r="F126" s="22" t="n">
        <f>0</f>
        <v>0.0</v>
      </c>
      <c r="G126" s="21" t="n">
        <v>6.4067391E10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12842.0</v>
      </c>
      <c r="F127" s="26" t="n">
        <f>0</f>
        <v>0.0</v>
      </c>
      <c r="G127" s="25" t="n">
        <v>2.88163861E11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76.0</v>
      </c>
      <c r="F128" s="18" t="n">
        <f>0</f>
        <v>0.0</v>
      </c>
      <c r="G128" s="17" t="n">
        <v>1.684871E8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264.0</v>
      </c>
      <c r="F129" s="22" t="n">
        <f>0</f>
        <v>0.0</v>
      </c>
      <c r="G129" s="21" t="n">
        <v>5.969071E8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90.0</v>
      </c>
      <c r="F130" s="22" t="n">
        <f>0</f>
        <v>0.0</v>
      </c>
      <c r="G130" s="21" t="n">
        <v>2.046068E8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430.0</v>
      </c>
      <c r="F131" s="26" t="n">
        <f>0</f>
        <v>0.0</v>
      </c>
      <c r="G131" s="25" t="n">
        <v>9.70001E8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5925.0</v>
      </c>
      <c r="F132" s="18" t="n">
        <f>0</f>
        <v>0.0</v>
      </c>
      <c r="G132" s="17" t="n">
        <v>1.312658635E10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3188.0</v>
      </c>
      <c r="F133" s="22" t="n">
        <f>0</f>
        <v>0.0</v>
      </c>
      <c r="G133" s="21" t="n">
        <v>7.22343265E9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2330.0</v>
      </c>
      <c r="F134" s="22" t="n">
        <f>0</f>
        <v>0.0</v>
      </c>
      <c r="G134" s="21" t="n">
        <v>5.31367135E9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11443.0</v>
      </c>
      <c r="F135" s="26" t="n">
        <f>0</f>
        <v>0.0</v>
      </c>
      <c r="G135" s="25" t="n">
        <v>2.566369035E10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96.0</v>
      </c>
      <c r="F136" s="18" t="n">
        <f>0</f>
        <v>0.0</v>
      </c>
      <c r="G136" s="17" t="n">
        <v>2.102927E8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193.0</v>
      </c>
      <c r="F137" s="22" t="n">
        <f>0</f>
        <v>0.0</v>
      </c>
      <c r="G137" s="21" t="n">
        <v>4.336095E8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8.0</v>
      </c>
      <c r="F138" s="22" t="n">
        <f>0</f>
        <v>0.0</v>
      </c>
      <c r="G138" s="21" t="n">
        <v>1.80376E7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297.0</v>
      </c>
      <c r="F139" s="26" t="n">
        <f>0</f>
        <v>0.0</v>
      </c>
      <c r="G139" s="25" t="n">
        <v>6.619398E8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2.0</v>
      </c>
      <c r="F140" s="18" t="n">
        <f>0</f>
        <v>0.0</v>
      </c>
      <c r="G140" s="17" t="n">
        <v>2.04E7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3.0</v>
      </c>
      <c r="F142" s="22" t="n">
        <f>0</f>
        <v>0.0</v>
      </c>
      <c r="G142" s="21" t="n">
        <v>3.033E7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5.0</v>
      </c>
      <c r="F143" s="26" t="n">
        <f>0</f>
        <v>0.0</v>
      </c>
      <c r="G143" s="25" t="n">
        <v>5.073E7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1144.0</v>
      </c>
      <c r="F144" s="18" t="n">
        <f>0</f>
        <v>0.0</v>
      </c>
      <c r="G144" s="17" t="n">
        <v>4.9249555E9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1418.0</v>
      </c>
      <c r="F145" s="22" t="n">
        <f>0</f>
        <v>0.0</v>
      </c>
      <c r="G145" s="21" t="n">
        <v>6.3145855E9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924.0</v>
      </c>
      <c r="F146" s="22" t="n">
        <f>0</f>
        <v>0.0</v>
      </c>
      <c r="G146" s="21" t="n">
        <v>4.1354955E9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3486.0</v>
      </c>
      <c r="F147" s="26" t="n">
        <f>0</f>
        <v>0.0</v>
      </c>
      <c r="G147" s="25" t="n">
        <v>1.53750365E10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10.0</v>
      </c>
      <c r="F148" s="18" t="n">
        <f>0</f>
        <v>0.0</v>
      </c>
      <c r="G148" s="17" t="n">
        <v>8817200.0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186.0</v>
      </c>
      <c r="F149" s="22" t="n">
        <f>0</f>
        <v>0.0</v>
      </c>
      <c r="G149" s="21" t="n">
        <v>1.689845E8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196.0</v>
      </c>
      <c r="F150" s="22" t="n">
        <f>0</f>
        <v>0.0</v>
      </c>
      <c r="G150" s="21" t="n">
        <v>1.792864E8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392.0</v>
      </c>
      <c r="F151" s="26" t="n">
        <f>0</f>
        <v>0.0</v>
      </c>
      <c r="G151" s="25" t="n">
        <v>3.570881E8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315.0</v>
      </c>
      <c r="F152" s="18" t="n">
        <f>0</f>
        <v>0.0</v>
      </c>
      <c r="G152" s="17" t="n">
        <v>2.7166945E8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277.0</v>
      </c>
      <c r="F153" s="22" t="n">
        <f>0</f>
        <v>0.0</v>
      </c>
      <c r="G153" s="21" t="n">
        <v>2.468324E8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219.0</v>
      </c>
      <c r="F154" s="22" t="n">
        <f>0</f>
        <v>0.0</v>
      </c>
      <c r="G154" s="21" t="n">
        <v>1.9600705E8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811.0</v>
      </c>
      <c r="F155" s="26" t="n">
        <f>0</f>
        <v>0.0</v>
      </c>
      <c r="G155" s="25" t="n">
        <v>7.145089E8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378.0</v>
      </c>
      <c r="F156" s="18" t="n">
        <f>0</f>
        <v>0.0</v>
      </c>
      <c r="G156" s="17" t="n">
        <v>3.239477E8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755.0</v>
      </c>
      <c r="F157" s="22" t="n">
        <f>0</f>
        <v>0.0</v>
      </c>
      <c r="G157" s="21" t="n">
        <v>6.753255E8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428.0</v>
      </c>
      <c r="F158" s="22" t="n">
        <f>0</f>
        <v>0.0</v>
      </c>
      <c r="G158" s="21" t="n">
        <v>3.861137E8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1561.0</v>
      </c>
      <c r="F159" s="26" t="n">
        <f>0</f>
        <v>0.0</v>
      </c>
      <c r="G159" s="25" t="n">
        <v>1.3853869E9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229.0</v>
      </c>
      <c r="F168" s="18" t="n">
        <f>0</f>
        <v>0.0</v>
      </c>
      <c r="G168" s="17" t="n">
        <v>4.866285E8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390.0</v>
      </c>
      <c r="F169" s="22" t="n">
        <f>2</f>
        <v>2.0</v>
      </c>
      <c r="G169" s="21" t="n">
        <v>8.3848E8</v>
      </c>
      <c r="H169" s="22" t="n">
        <f>4330000</f>
        <v>4330000.0</v>
      </c>
    </row>
    <row r="170" spans="1:8" ht="24.9" customHeight="1">
      <c r="A170" s="51"/>
      <c r="B170" s="57"/>
      <c r="C170" s="39"/>
      <c r="D170" s="20" t="s">
        <v>17</v>
      </c>
      <c r="E170" s="21" t="n">
        <v>618.0</v>
      </c>
      <c r="F170" s="22" t="n">
        <f>0</f>
        <v>0.0</v>
      </c>
      <c r="G170" s="21" t="n">
        <v>1.3411745E9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1237.0</v>
      </c>
      <c r="F171" s="26" t="n">
        <f>2</f>
        <v>2.0</v>
      </c>
      <c r="G171" s="25" t="n">
        <v>2.666283E9</v>
      </c>
      <c r="H171" s="26" t="n">
        <f>4330000</f>
        <v>4330000.0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708.0</v>
      </c>
      <c r="F204" s="18" t="n">
        <f>0</f>
        <v>0.0</v>
      </c>
      <c r="G204" s="17" t="n">
        <v>2.7704295E9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467.0</v>
      </c>
      <c r="F205" s="22" t="n">
        <f>0</f>
        <v>0.0</v>
      </c>
      <c r="G205" s="21" t="n">
        <v>1.7710245E9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2250.0</v>
      </c>
      <c r="F206" s="22" t="n">
        <f>23</f>
        <v>23.0</v>
      </c>
      <c r="G206" s="21" t="n">
        <v>8.4960445E9</v>
      </c>
      <c r="H206" s="22" t="n">
        <f>86576000</f>
        <v>8.6576E7</v>
      </c>
    </row>
    <row r="207" spans="1:8" ht="24.9" customHeight="1">
      <c r="A207" s="57"/>
      <c r="B207" s="59"/>
      <c r="C207" s="39"/>
      <c r="D207" s="24" t="s">
        <v>18</v>
      </c>
      <c r="E207" s="25" t="n">
        <v>3425.0</v>
      </c>
      <c r="F207" s="26" t="n">
        <f>23</f>
        <v>23.0</v>
      </c>
      <c r="G207" s="25" t="n">
        <v>1.30374985E10</v>
      </c>
      <c r="H207" s="26" t="n">
        <f>86576000</f>
        <v>8.6576E7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90.0</v>
      </c>
      <c r="F272" s="18" t="n">
        <f>90</f>
        <v>90.0</v>
      </c>
      <c r="G272" s="17" t="n">
        <v>2.3877E8</v>
      </c>
      <c r="H272" s="18" t="n">
        <f>238770000</f>
        <v>2.3877E8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90.0</v>
      </c>
      <c r="F275" s="26" t="n">
        <f>90</f>
        <v>90.0</v>
      </c>
      <c r="G275" s="25" t="n">
        <v>2.3877E8</v>
      </c>
      <c r="H275" s="26" t="n">
        <f>238770000</f>
        <v>2.3877E8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46188.0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46188.0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4067</f>
        <v>4067.0</v>
      </c>
      <c r="E12" s="35" t="n">
        <f>1368</f>
        <v>1368.0</v>
      </c>
      <c r="F12" s="17" t="n">
        <f>3614</f>
        <v>3614.0</v>
      </c>
      <c r="G12" s="35" t="n">
        <f>1210</f>
        <v>1210.0</v>
      </c>
      <c r="H12" s="17" t="n">
        <f>7681</f>
        <v>7681.0</v>
      </c>
      <c r="I12" s="35" t="n">
        <f>2578</f>
        <v>2578.0</v>
      </c>
      <c r="J12" s="17" t="n">
        <f>3265081720</f>
        <v>3.26508172E9</v>
      </c>
      <c r="K12" s="35" t="n">
        <f>2258275720</f>
        <v>2.25827572E9</v>
      </c>
      <c r="L12" s="17" t="n">
        <f>3469658871</f>
        <v>3.469658871E9</v>
      </c>
      <c r="M12" s="35" t="n">
        <f>2143805871</f>
        <v>2.143805871E9</v>
      </c>
      <c r="N12" s="17" t="n">
        <f>6734740591</f>
        <v>6.734740591E9</v>
      </c>
      <c r="O12" s="35" t="n">
        <f>4402081591</f>
        <v>4.402081591E9</v>
      </c>
    </row>
    <row r="13" spans="1:15" ht="24.9" customHeight="1">
      <c r="A13" s="38"/>
      <c r="B13" s="62"/>
      <c r="C13" s="20" t="s">
        <v>16</v>
      </c>
      <c r="D13" s="21" t="n">
        <f>9461</f>
        <v>9461.0</v>
      </c>
      <c r="E13" s="36" t="n">
        <f>4737</f>
        <v>4737.0</v>
      </c>
      <c r="F13" s="21" t="n">
        <f>5216</f>
        <v>5216.0</v>
      </c>
      <c r="G13" s="36" t="n">
        <f>475</f>
        <v>475.0</v>
      </c>
      <c r="H13" s="21" t="n">
        <f>14677</f>
        <v>14677.0</v>
      </c>
      <c r="I13" s="36" t="n">
        <f>5212</f>
        <v>5212.0</v>
      </c>
      <c r="J13" s="21" t="n">
        <f>9233173590</f>
        <v>9.23317359E9</v>
      </c>
      <c r="K13" s="36" t="n">
        <f>7170032590</f>
        <v>7.17003259E9</v>
      </c>
      <c r="L13" s="21" t="n">
        <f>3267664580</f>
        <v>3.26766458E9</v>
      </c>
      <c r="M13" s="36" t="n">
        <f>833653580</f>
        <v>8.3365358E8</v>
      </c>
      <c r="N13" s="21" t="n">
        <f>12500838170</f>
        <v>1.250083817E10</v>
      </c>
      <c r="O13" s="36" t="n">
        <f>8003686170</f>
        <v>8.00368617E9</v>
      </c>
    </row>
    <row r="14" spans="1:15" ht="24.9" customHeight="1">
      <c r="A14" s="38"/>
      <c r="B14" s="62"/>
      <c r="C14" s="20" t="s">
        <v>17</v>
      </c>
      <c r="D14" s="21" t="n">
        <f>18657</f>
        <v>18657.0</v>
      </c>
      <c r="E14" s="36" t="n">
        <f>13656</f>
        <v>13656.0</v>
      </c>
      <c r="F14" s="21" t="n">
        <f>8488</f>
        <v>8488.0</v>
      </c>
      <c r="G14" s="36" t="n">
        <f>4771</f>
        <v>4771.0</v>
      </c>
      <c r="H14" s="21" t="n">
        <f>27145</f>
        <v>27145.0</v>
      </c>
      <c r="I14" s="36" t="n">
        <f>18427</f>
        <v>18427.0</v>
      </c>
      <c r="J14" s="21" t="n">
        <f>25100917470</f>
        <v>2.510091747E10</v>
      </c>
      <c r="K14" s="36" t="n">
        <f>21883499470</f>
        <v>2.188349947E10</v>
      </c>
      <c r="L14" s="21" t="n">
        <f>15282525895</f>
        <v>1.5282525895E10</v>
      </c>
      <c r="M14" s="36" t="n">
        <f>12958775895</f>
        <v>1.2958775895E10</v>
      </c>
      <c r="N14" s="21" t="n">
        <f>40383443365</f>
        <v>4.0383443365E10</v>
      </c>
      <c r="O14" s="36" t="n">
        <f>34842275365</f>
        <v>3.4842275365E10</v>
      </c>
    </row>
    <row r="15" spans="1:15" ht="24.9" customHeight="1">
      <c r="A15" s="38"/>
      <c r="B15" s="62"/>
      <c r="C15" s="24" t="s">
        <v>18</v>
      </c>
      <c r="D15" s="25" t="n">
        <f>32185</f>
        <v>32185.0</v>
      </c>
      <c r="E15" s="37" t="n">
        <f>19761</f>
        <v>19761.0</v>
      </c>
      <c r="F15" s="25" t="n">
        <f>17318</f>
        <v>17318.0</v>
      </c>
      <c r="G15" s="37" t="n">
        <f>6456</f>
        <v>6456.0</v>
      </c>
      <c r="H15" s="25" t="n">
        <f>49503</f>
        <v>49503.0</v>
      </c>
      <c r="I15" s="37" t="n">
        <f>26217</f>
        <v>26217.0</v>
      </c>
      <c r="J15" s="25" t="n">
        <f>37599172780</f>
        <v>3.759917278E10</v>
      </c>
      <c r="K15" s="37" t="n">
        <f>31311807780</f>
        <v>3.131180778E10</v>
      </c>
      <c r="L15" s="25" t="n">
        <f>22019849346</f>
        <v>2.2019849346E10</v>
      </c>
      <c r="M15" s="37" t="n">
        <f>15936235346</f>
        <v>1.5936235346E10</v>
      </c>
      <c r="N15" s="25" t="n">
        <f>59619022126</f>
        <v>5.9619022126E10</v>
      </c>
      <c r="O15" s="37" t="n">
        <f>47248043126</f>
        <v>4.7248043126E10</v>
      </c>
    </row>
    <row r="16" spans="1:15" ht="24.9" customHeight="1">
      <c r="A16" s="38"/>
      <c r="B16" s="61" t="s">
        <v>105</v>
      </c>
      <c r="C16" s="16" t="s">
        <v>15</v>
      </c>
      <c r="D16" s="17" t="n">
        <f>28024</f>
        <v>28024.0</v>
      </c>
      <c r="E16" s="35" t="n">
        <f>2020</f>
        <v>2020.0</v>
      </c>
      <c r="F16" s="17" t="n">
        <f>25438</f>
        <v>25438.0</v>
      </c>
      <c r="G16" s="35" t="n">
        <f>1310</f>
        <v>1310.0</v>
      </c>
      <c r="H16" s="17" t="n">
        <f>53462</f>
        <v>53462.0</v>
      </c>
      <c r="I16" s="35" t="n">
        <f>3330</f>
        <v>3330.0</v>
      </c>
      <c r="J16" s="17" t="n">
        <f>5363242920</f>
        <v>5.36324292E9</v>
      </c>
      <c r="K16" s="35" t="n">
        <f>122993520</f>
        <v>1.2299352E8</v>
      </c>
      <c r="L16" s="17" t="n">
        <f>5661909740</f>
        <v>5.66190974E9</v>
      </c>
      <c r="M16" s="35" t="n">
        <f>205942140</f>
        <v>2.0594214E8</v>
      </c>
      <c r="N16" s="17" t="n">
        <f>11025152660</f>
        <v>1.102515266E10</v>
      </c>
      <c r="O16" s="35" t="n">
        <f>328935660</f>
        <v>3.2893566E8</v>
      </c>
    </row>
    <row r="17" spans="1:15" ht="24.9" customHeight="1">
      <c r="A17" s="38"/>
      <c r="B17" s="62"/>
      <c r="C17" s="20" t="s">
        <v>16</v>
      </c>
      <c r="D17" s="21" t="n">
        <f>19156</f>
        <v>19156.0</v>
      </c>
      <c r="E17" s="36" t="n">
        <f>2240</f>
        <v>2240.0</v>
      </c>
      <c r="F17" s="21" t="n">
        <f>7557</f>
        <v>7557.0</v>
      </c>
      <c r="G17" s="36" t="n">
        <f>220</f>
        <v>220.0</v>
      </c>
      <c r="H17" s="21" t="n">
        <f>26713</f>
        <v>26713.0</v>
      </c>
      <c r="I17" s="36" t="n">
        <f>2460</f>
        <v>2460.0</v>
      </c>
      <c r="J17" s="21" t="n">
        <f>408472420</f>
        <v>4.0847242E8</v>
      </c>
      <c r="K17" s="36" t="n">
        <f>11104320</f>
        <v>1.110432E7</v>
      </c>
      <c r="L17" s="21" t="n">
        <f>725442280</f>
        <v>7.2544228E8</v>
      </c>
      <c r="M17" s="36" t="n">
        <f>13741080</f>
        <v>1.374108E7</v>
      </c>
      <c r="N17" s="21" t="n">
        <f>1133914700</f>
        <v>1.1339147E9</v>
      </c>
      <c r="O17" s="36" t="n">
        <f>24845400</f>
        <v>2.48454E7</v>
      </c>
    </row>
    <row r="18" spans="1:15" ht="24.9" customHeight="1">
      <c r="A18" s="38"/>
      <c r="B18" s="62"/>
      <c r="C18" s="20" t="s">
        <v>17</v>
      </c>
      <c r="D18" s="21" t="n">
        <f>17047</f>
        <v>17047.0</v>
      </c>
      <c r="E18" s="36" t="n">
        <f>3110</f>
        <v>3110.0</v>
      </c>
      <c r="F18" s="21" t="n">
        <f>3917</f>
        <v>3917.0</v>
      </c>
      <c r="G18" s="36" t="n">
        <f>80</f>
        <v>80.0</v>
      </c>
      <c r="H18" s="21" t="n">
        <f>20964</f>
        <v>20964.0</v>
      </c>
      <c r="I18" s="36" t="n">
        <f>3190</f>
        <v>3190.0</v>
      </c>
      <c r="J18" s="21" t="n">
        <f>638833490</f>
        <v>6.3883349E8</v>
      </c>
      <c r="K18" s="36" t="n">
        <f>59802090</f>
        <v>5.980209E7</v>
      </c>
      <c r="L18" s="21" t="n">
        <f>543499490</f>
        <v>5.4349949E8</v>
      </c>
      <c r="M18" s="36" t="n">
        <f>4581090</f>
        <v>4581090.0</v>
      </c>
      <c r="N18" s="21" t="n">
        <f>1182332980</f>
        <v>1.18233298E9</v>
      </c>
      <c r="O18" s="36" t="n">
        <f>64383180</f>
        <v>6.438318E7</v>
      </c>
    </row>
    <row r="19" spans="1:15" ht="24.9" customHeight="1">
      <c r="A19" s="38"/>
      <c r="B19" s="62"/>
      <c r="C19" s="24" t="s">
        <v>18</v>
      </c>
      <c r="D19" s="25" t="n">
        <f>64227</f>
        <v>64227.0</v>
      </c>
      <c r="E19" s="37" t="n">
        <f>7370</f>
        <v>7370.0</v>
      </c>
      <c r="F19" s="25" t="n">
        <f>36912</f>
        <v>36912.0</v>
      </c>
      <c r="G19" s="37" t="n">
        <f>1610</f>
        <v>1610.0</v>
      </c>
      <c r="H19" s="25" t="n">
        <f>101139</f>
        <v>101139.0</v>
      </c>
      <c r="I19" s="37" t="n">
        <f>8980</f>
        <v>8980.0</v>
      </c>
      <c r="J19" s="25" t="n">
        <f>6410548830</f>
        <v>6.41054883E9</v>
      </c>
      <c r="K19" s="37" t="n">
        <f>193899930</f>
        <v>1.9389993E8</v>
      </c>
      <c r="L19" s="25" t="n">
        <f>6930851510</f>
        <v>6.93085151E9</v>
      </c>
      <c r="M19" s="37" t="n">
        <f>224264310</f>
        <v>2.2426431E8</v>
      </c>
      <c r="N19" s="25" t="n">
        <f>13341400340</f>
        <v>1.334140034E10</v>
      </c>
      <c r="O19" s="37" t="n">
        <f>418164240</f>
        <v>4.1816424E8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2866</f>
        <v>2866.0</v>
      </c>
      <c r="E22" s="36" t="n">
        <f>2866</f>
        <v>2866.0</v>
      </c>
      <c r="F22" s="21" t="n">
        <f>0</f>
        <v>0.0</v>
      </c>
      <c r="G22" s="36" t="n">
        <f>0</f>
        <v>0.0</v>
      </c>
      <c r="H22" s="21" t="n">
        <f>2866</f>
        <v>2866.0</v>
      </c>
      <c r="I22" s="36" t="n">
        <f>2866</f>
        <v>2866.0</v>
      </c>
      <c r="J22" s="21" t="n">
        <f>1213081320</f>
        <v>1.21308132E9</v>
      </c>
      <c r="K22" s="36" t="n">
        <f>1213081320</f>
        <v>1.21308132E9</v>
      </c>
      <c r="L22" s="21" t="n">
        <f>0</f>
        <v>0.0</v>
      </c>
      <c r="M22" s="36" t="n">
        <f>0</f>
        <v>0.0</v>
      </c>
      <c r="N22" s="21" t="n">
        <f>1213081320</f>
        <v>1.21308132E9</v>
      </c>
      <c r="O22" s="36" t="n">
        <f>1213081320</f>
        <v>1.21308132E9</v>
      </c>
    </row>
    <row r="23" spans="1:15" ht="24.9" customHeight="1">
      <c r="A23" s="38"/>
      <c r="B23" s="62"/>
      <c r="C23" s="24" t="s">
        <v>18</v>
      </c>
      <c r="D23" s="25" t="n">
        <f>2866</f>
        <v>2866.0</v>
      </c>
      <c r="E23" s="37" t="n">
        <f>2866</f>
        <v>2866.0</v>
      </c>
      <c r="F23" s="25" t="n">
        <f>0</f>
        <v>0.0</v>
      </c>
      <c r="G23" s="37" t="n">
        <f>0</f>
        <v>0.0</v>
      </c>
      <c r="H23" s="25" t="n">
        <f>2866</f>
        <v>2866.0</v>
      </c>
      <c r="I23" s="37" t="n">
        <f>2866</f>
        <v>2866.0</v>
      </c>
      <c r="J23" s="25" t="n">
        <f>1213081320</f>
        <v>1.21308132E9</v>
      </c>
      <c r="K23" s="37" t="n">
        <f>1213081320</f>
        <v>1.21308132E9</v>
      </c>
      <c r="L23" s="25" t="n">
        <f>0</f>
        <v>0.0</v>
      </c>
      <c r="M23" s="37" t="n">
        <f>0</f>
        <v>0.0</v>
      </c>
      <c r="N23" s="25" t="n">
        <f>1213081320</f>
        <v>1.21308132E9</v>
      </c>
      <c r="O23" s="37" t="n">
        <f>1213081320</f>
        <v>1.21308132E9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91</f>
        <v>91.0</v>
      </c>
      <c r="E37" s="22" t="n">
        <f>0</f>
        <v>0.0</v>
      </c>
      <c r="F37" s="21" t="n">
        <f>10</f>
        <v>10.0</v>
      </c>
      <c r="G37" s="22" t="n">
        <f>0</f>
        <v>0.0</v>
      </c>
      <c r="H37" s="21" t="n">
        <f>101</f>
        <v>101.0</v>
      </c>
      <c r="I37" s="22" t="n">
        <f>0</f>
        <v>0.0</v>
      </c>
      <c r="J37" s="21" t="n">
        <f>17490000</f>
        <v>1.749E7</v>
      </c>
      <c r="K37" s="22" t="n">
        <f>0</f>
        <v>0.0</v>
      </c>
      <c r="L37" s="21" t="n">
        <f>1600000</f>
        <v>1600000.0</v>
      </c>
      <c r="M37" s="22" t="n">
        <f>0</f>
        <v>0.0</v>
      </c>
      <c r="N37" s="21" t="n">
        <f>19090000</f>
        <v>1.909E7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70</f>
        <v>70.0</v>
      </c>
      <c r="E38" s="36" t="n">
        <f>20</f>
        <v>20.0</v>
      </c>
      <c r="F38" s="21" t="n">
        <f>47</f>
        <v>47.0</v>
      </c>
      <c r="G38" s="36" t="n">
        <f>45</f>
        <v>45.0</v>
      </c>
      <c r="H38" s="21" t="n">
        <f>117</f>
        <v>117.0</v>
      </c>
      <c r="I38" s="36" t="n">
        <f>65</f>
        <v>65.0</v>
      </c>
      <c r="J38" s="21" t="n">
        <f>11150000</f>
        <v>1.115E7</v>
      </c>
      <c r="K38" s="36" t="n">
        <f>4250000</f>
        <v>4250000.0</v>
      </c>
      <c r="L38" s="21" t="n">
        <f>12900000</f>
        <v>1.29E7</v>
      </c>
      <c r="M38" s="36" t="n">
        <f>12600000</f>
        <v>1.26E7</v>
      </c>
      <c r="N38" s="21" t="n">
        <f>24050000</f>
        <v>2.405E7</v>
      </c>
      <c r="O38" s="36" t="n">
        <f>16850000</f>
        <v>1.685E7</v>
      </c>
    </row>
    <row r="39" spans="1:15" ht="24.9" customHeight="1">
      <c r="A39" s="38"/>
      <c r="B39" s="62"/>
      <c r="C39" s="24" t="s">
        <v>18</v>
      </c>
      <c r="D39" s="25" t="n">
        <f>161</f>
        <v>161.0</v>
      </c>
      <c r="E39" s="37" t="n">
        <f>20</f>
        <v>20.0</v>
      </c>
      <c r="F39" s="25" t="n">
        <f>57</f>
        <v>57.0</v>
      </c>
      <c r="G39" s="37" t="n">
        <f>45</f>
        <v>45.0</v>
      </c>
      <c r="H39" s="25" t="n">
        <f>218</f>
        <v>218.0</v>
      </c>
      <c r="I39" s="37" t="n">
        <f>65</f>
        <v>65.0</v>
      </c>
      <c r="J39" s="25" t="n">
        <f>28640000</f>
        <v>2.864E7</v>
      </c>
      <c r="K39" s="37" t="n">
        <f>4250000</f>
        <v>4250000.0</v>
      </c>
      <c r="L39" s="25" t="n">
        <f>14500000</f>
        <v>1.45E7</v>
      </c>
      <c r="M39" s="37" t="n">
        <f>12600000</f>
        <v>1.26E7</v>
      </c>
      <c r="N39" s="25" t="n">
        <f>43140000</f>
        <v>4.314E7</v>
      </c>
      <c r="O39" s="37" t="n">
        <f>16850000</f>
        <v>1.685E7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606</f>
        <v>606.0</v>
      </c>
      <c r="E41" s="36" t="n">
        <f>0</f>
        <v>0.0</v>
      </c>
      <c r="F41" s="21" t="n">
        <f>7196</f>
        <v>7196.0</v>
      </c>
      <c r="G41" s="36" t="n">
        <f>0</f>
        <v>0.0</v>
      </c>
      <c r="H41" s="21" t="n">
        <f>7802</f>
        <v>7802.0</v>
      </c>
      <c r="I41" s="36" t="n">
        <f>0</f>
        <v>0.0</v>
      </c>
      <c r="J41" s="21" t="n">
        <f>7519838</f>
        <v>7519838.0</v>
      </c>
      <c r="K41" s="36" t="n">
        <f>0</f>
        <v>0.0</v>
      </c>
      <c r="L41" s="21" t="n">
        <f>19258775</f>
        <v>1.9258775E7</v>
      </c>
      <c r="M41" s="36" t="n">
        <f>0</f>
        <v>0.0</v>
      </c>
      <c r="N41" s="21" t="n">
        <f>26778613</f>
        <v>2.6778613E7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7721</f>
        <v>7721.0</v>
      </c>
      <c r="E42" s="36" t="n">
        <f>850</f>
        <v>850.0</v>
      </c>
      <c r="F42" s="21" t="n">
        <f>13292</f>
        <v>13292.0</v>
      </c>
      <c r="G42" s="36" t="n">
        <f>8050</f>
        <v>8050.0</v>
      </c>
      <c r="H42" s="21" t="n">
        <f>21013</f>
        <v>21013.0</v>
      </c>
      <c r="I42" s="36" t="n">
        <f>8900</f>
        <v>8900.0</v>
      </c>
      <c r="J42" s="21" t="n">
        <f>100527481</f>
        <v>1.00527481E8</v>
      </c>
      <c r="K42" s="36" t="n">
        <f>39580000</f>
        <v>3.958E7</v>
      </c>
      <c r="L42" s="21" t="n">
        <f>171981668</f>
        <v>1.71981668E8</v>
      </c>
      <c r="M42" s="36" t="n">
        <f>148550000</f>
        <v>1.4855E8</v>
      </c>
      <c r="N42" s="21" t="n">
        <f>272509149</f>
        <v>2.72509149E8</v>
      </c>
      <c r="O42" s="36" t="n">
        <f>188130000</f>
        <v>1.8813E8</v>
      </c>
    </row>
    <row r="43" spans="1:15" ht="24.9" customHeight="1">
      <c r="A43" s="38"/>
      <c r="B43" s="62"/>
      <c r="C43" s="24" t="s">
        <v>18</v>
      </c>
      <c r="D43" s="25" t="n">
        <f>8327</f>
        <v>8327.0</v>
      </c>
      <c r="E43" s="37" t="n">
        <f>850</f>
        <v>850.0</v>
      </c>
      <c r="F43" s="25" t="n">
        <f>20488</f>
        <v>20488.0</v>
      </c>
      <c r="G43" s="37" t="n">
        <f>8050</f>
        <v>8050.0</v>
      </c>
      <c r="H43" s="25" t="n">
        <f>28815</f>
        <v>28815.0</v>
      </c>
      <c r="I43" s="37" t="n">
        <f>8900</f>
        <v>8900.0</v>
      </c>
      <c r="J43" s="25" t="n">
        <f>108047319</f>
        <v>1.08047319E8</v>
      </c>
      <c r="K43" s="37" t="n">
        <f>39580000</f>
        <v>3.958E7</v>
      </c>
      <c r="L43" s="25" t="n">
        <f>191240443</f>
        <v>1.91240443E8</v>
      </c>
      <c r="M43" s="37" t="n">
        <f>148550000</f>
        <v>1.4855E8</v>
      </c>
      <c r="N43" s="25" t="n">
        <f>299287762</f>
        <v>2.99287762E8</v>
      </c>
      <c r="O43" s="37" t="n">
        <f>188130000</f>
        <v>1.8813E8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