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<sst xmlns="http://schemas.openxmlformats.org/spreadsheetml/2006/main" count="528" uniqueCount="129">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</sst>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DATE(2026,05,14)</f>
        <v>46156.0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DATE(2026,05,14)</f>
        <v>46156.0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565176.0</f>
        <v>565176.0</v>
      </c>
      <c r="E12" s="18" t="n">
        <f>31335.0</f>
        <v>31335.0</v>
      </c>
      <c r="F12" s="19" t="n">
        <f>1.0</f>
        <v>1.0</v>
      </c>
      <c r="G12" s="17" t="n">
        <f>4464847943573.0</f>
        <v>4.464847943573E12</v>
      </c>
      <c r="H12" s="18" t="n">
        <f>301757811348.0</f>
        <v>3.01757811348E11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315862.0</f>
        <v>315862.0</v>
      </c>
      <c r="E13" s="22" t="n">
        <f>17678.0</f>
        <v>17678.0</v>
      </c>
      <c r="F13" s="23" t="n">
        <f>1.0</f>
        <v>1.0</v>
      </c>
      <c r="G13" s="21" t="n">
        <f>3739693004685.0</f>
        <v>3.739693004685E12</v>
      </c>
      <c r="H13" s="22" t="n">
        <f>374443665010.0</f>
        <v>3.7444366501E11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476624.0</f>
        <v>476624.0</v>
      </c>
      <c r="E14" s="22" t="n">
        <f>31756.0</f>
        <v>31756.0</v>
      </c>
      <c r="F14" s="23" t="n">
        <f>1.0</f>
        <v>1.0</v>
      </c>
      <c r="G14" s="21" t="n">
        <f>6079584750663.0</f>
        <v>6.079584750663E12</v>
      </c>
      <c r="H14" s="22" t="n">
        <f>765812006038.0</f>
        <v>7.65812006038E11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1357662.0</f>
        <v>1357662.0</v>
      </c>
      <c r="E15" s="26" t="n">
        <f>80769.0</f>
        <v>80769.0</v>
      </c>
      <c r="F15" s="27" t="n">
        <f>1.0</f>
        <v>1.0</v>
      </c>
      <c r="G15" s="25" t="n">
        <f>14284125698921.0</f>
        <v>1.4284125698921E13</v>
      </c>
      <c r="H15" s="26" t="n">
        <f>1442013482396.0</f>
        <v>1.442013482396E12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15925.0</f>
        <v>15925.0</v>
      </c>
      <c r="E16" s="18" t="n">
        <f>320.0</f>
        <v>320.0</v>
      </c>
      <c r="F16" s="19" t="n">
        <f>0.028</f>
        <v>0.028</v>
      </c>
      <c r="G16" s="17" t="n">
        <f>1470174021875.0</f>
        <v>1.470174021875E12</v>
      </c>
      <c r="H16" s="18" t="n">
        <f>41243650000.0</f>
        <v>4.124365E10</v>
      </c>
      <c r="I16" s="19" t="n">
        <f>0.329</f>
        <v>0.329</v>
      </c>
    </row>
    <row r="17" spans="1:9" ht="24.9" customHeight="1">
      <c r="A17" s="41"/>
      <c r="B17" s="39"/>
      <c r="C17" s="20" t="s">
        <v>16</v>
      </c>
      <c r="D17" s="21" t="n">
        <f>14368.0</f>
        <v>14368.0</v>
      </c>
      <c r="E17" s="22" t="n">
        <f>1579.0</f>
        <v>1579.0</v>
      </c>
      <c r="F17" s="23" t="n">
        <f>0.045</f>
        <v>0.045</v>
      </c>
      <c r="G17" s="21" t="n">
        <f>1765422462375.0</f>
        <v>1.765422462375E12</v>
      </c>
      <c r="H17" s="22" t="n">
        <f>203459260000.0</f>
        <v>2.0345926E11</v>
      </c>
      <c r="I17" s="23" t="n">
        <f>0.472</f>
        <v>0.472</v>
      </c>
    </row>
    <row r="18" spans="1:9" ht="24.9" customHeight="1">
      <c r="A18" s="41"/>
      <c r="B18" s="39"/>
      <c r="C18" s="20" t="s">
        <v>17</v>
      </c>
      <c r="D18" s="21" t="n">
        <f>25129.0</f>
        <v>25129.0</v>
      </c>
      <c r="E18" s="22" t="n">
        <f>711.0</f>
        <v>711.0</v>
      </c>
      <c r="F18" s="23" t="n">
        <f>0.053</f>
        <v>0.053</v>
      </c>
      <c r="G18" s="21" t="n">
        <f>2509717959375.0</f>
        <v>2.509717959375E12</v>
      </c>
      <c r="H18" s="22" t="n">
        <f>91547400000.0</f>
        <v>9.15474E10</v>
      </c>
      <c r="I18" s="23" t="n">
        <f>0.413</f>
        <v>0.413</v>
      </c>
    </row>
    <row r="19" spans="1:9" ht="24.9" customHeight="1">
      <c r="A19" s="41"/>
      <c r="B19" s="39"/>
      <c r="C19" s="24" t="s">
        <v>18</v>
      </c>
      <c r="D19" s="25" t="n">
        <f>55422.0</f>
        <v>55422.0</v>
      </c>
      <c r="E19" s="26" t="n">
        <f>2610.0</f>
        <v>2610.0</v>
      </c>
      <c r="F19" s="27" t="n">
        <f>0.041</f>
        <v>0.041</v>
      </c>
      <c r="G19" s="25" t="n">
        <f>5745314443625.0</f>
        <v>5.745314443625E12</v>
      </c>
      <c r="H19" s="26" t="n">
        <f>336250310000.0</f>
        <v>3.3625031E11</v>
      </c>
      <c r="I19" s="27" t="n">
        <f>0.402</f>
        <v>0.402</v>
      </c>
    </row>
    <row r="20" spans="1:9" ht="24.9" customHeight="1">
      <c r="A20" s="41"/>
      <c r="B20" s="39" t="s">
        <v>21</v>
      </c>
      <c r="C20" s="16" t="s">
        <v>15</v>
      </c>
      <c r="D20" s="17" t="n">
        <f>535221.0</f>
        <v>535221.0</v>
      </c>
      <c r="E20" s="18" t="n">
        <f>31005.0</f>
        <v>31005.0</v>
      </c>
      <c r="F20" s="19" t="n">
        <f>0.947</f>
        <v>0.947</v>
      </c>
      <c r="G20" s="17" t="n">
        <f>2857560158948.0</f>
        <v>2.857560158948E12</v>
      </c>
      <c r="H20" s="18" t="n">
        <f>260498825348.0</f>
        <v>2.60498825348E11</v>
      </c>
      <c r="I20" s="19" t="n">
        <f>0.64</f>
        <v>0.64</v>
      </c>
    </row>
    <row r="21" spans="1:9" ht="24.9" customHeight="1">
      <c r="A21" s="41"/>
      <c r="B21" s="39"/>
      <c r="C21" s="20" t="s">
        <v>16</v>
      </c>
      <c r="D21" s="21" t="n">
        <f>293696.0</f>
        <v>293696.0</v>
      </c>
      <c r="E21" s="22" t="n">
        <f>16099.0</f>
        <v>16099.0</v>
      </c>
      <c r="F21" s="23" t="n">
        <f>0.93</f>
        <v>0.93</v>
      </c>
      <c r="G21" s="21" t="n">
        <f>1901077727210.0</f>
        <v>1.90107772721E12</v>
      </c>
      <c r="H21" s="22" t="n">
        <f>170984405010.0</f>
        <v>1.7098440501E11</v>
      </c>
      <c r="I21" s="23" t="n">
        <f>0.508</f>
        <v>0.508</v>
      </c>
    </row>
    <row r="22" spans="1:9" ht="24.9" customHeight="1">
      <c r="A22" s="41"/>
      <c r="B22" s="39"/>
      <c r="C22" s="20" t="s">
        <v>17</v>
      </c>
      <c r="D22" s="21" t="n">
        <f>435976.0</f>
        <v>435976.0</v>
      </c>
      <c r="E22" s="22" t="n">
        <f>31034.0</f>
        <v>31034.0</v>
      </c>
      <c r="F22" s="23" t="n">
        <f>0.915</f>
        <v>0.915</v>
      </c>
      <c r="G22" s="21" t="n">
        <f>3412679236908.0</f>
        <v>3.412679236908E12</v>
      </c>
      <c r="H22" s="22" t="n">
        <f>674253802158.0</f>
        <v>6.74253802158E11</v>
      </c>
      <c r="I22" s="23" t="n">
        <f>0.561</f>
        <v>0.561</v>
      </c>
    </row>
    <row r="23" spans="1:9" ht="24.9" customHeight="1">
      <c r="A23" s="41"/>
      <c r="B23" s="39"/>
      <c r="C23" s="24" t="s">
        <v>18</v>
      </c>
      <c r="D23" s="25" t="n">
        <f>1264893.0</f>
        <v>1264893.0</v>
      </c>
      <c r="E23" s="26" t="n">
        <f>78138.0</f>
        <v>78138.0</v>
      </c>
      <c r="F23" s="27" t="n">
        <f>0.932</f>
        <v>0.932</v>
      </c>
      <c r="G23" s="25" t="n">
        <f>8171317123066.0</f>
        <v>8.171317123066E12</v>
      </c>
      <c r="H23" s="26" t="n">
        <f>1105737032516.0</f>
        <v>1.105737032516E12</v>
      </c>
      <c r="I23" s="27" t="n">
        <f>0.572</f>
        <v>0.572</v>
      </c>
    </row>
    <row r="24" spans="1:9" ht="24.9" customHeight="1">
      <c r="A24" s="41"/>
      <c r="B24" s="39" t="s">
        <v>22</v>
      </c>
      <c r="C24" s="16" t="s">
        <v>15</v>
      </c>
      <c r="D24" s="17" t="n">
        <f>13323.0</f>
        <v>13323.0</v>
      </c>
      <c r="E24" s="18" t="n">
        <f>0.0</f>
        <v>0.0</v>
      </c>
      <c r="F24" s="19" t="n">
        <f>0.024</f>
        <v>0.024</v>
      </c>
      <c r="G24" s="17" t="n">
        <f>133981748750.0</f>
        <v>1.3398174875E11</v>
      </c>
      <c r="H24" s="18" t="n">
        <f>0.0</f>
        <v>0.0</v>
      </c>
      <c r="I24" s="19" t="n">
        <f>0.03</f>
        <v>0.03</v>
      </c>
    </row>
    <row r="25" spans="1:9" ht="24.9" customHeight="1">
      <c r="A25" s="41"/>
      <c r="B25" s="39"/>
      <c r="C25" s="20" t="s">
        <v>16</v>
      </c>
      <c r="D25" s="21" t="n">
        <f>7654.0</f>
        <v>7654.0</v>
      </c>
      <c r="E25" s="22" t="n">
        <f>0.0</f>
        <v>0.0</v>
      </c>
      <c r="F25" s="23" t="n">
        <f>0.024</f>
        <v>0.024</v>
      </c>
      <c r="G25" s="21" t="n">
        <f>72562179600.0</f>
        <v>7.25621796E10</v>
      </c>
      <c r="H25" s="22" t="n">
        <f>0.0</f>
        <v>0.0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11335.0</f>
        <v>11335.0</v>
      </c>
      <c r="E26" s="22" t="n">
        <f>2.0</f>
        <v>2.0</v>
      </c>
      <c r="F26" s="23" t="n">
        <f>0.024</f>
        <v>0.024</v>
      </c>
      <c r="G26" s="21" t="n">
        <f>138944262500.0</f>
        <v>1.389442625E11</v>
      </c>
      <c r="H26" s="22" t="n">
        <f>4150000.0</f>
        <v>4150000.0</v>
      </c>
      <c r="I26" s="23" t="n">
        <f>0.023</f>
        <v>0.023</v>
      </c>
    </row>
    <row r="27" spans="1:9" ht="24.9" customHeight="1">
      <c r="A27" s="42"/>
      <c r="B27" s="39"/>
      <c r="C27" s="24" t="s">
        <v>18</v>
      </c>
      <c r="D27" s="25" t="n">
        <f>32312.0</f>
        <v>32312.0</v>
      </c>
      <c r="E27" s="26" t="n">
        <f>2.0</f>
        <v>2.0</v>
      </c>
      <c r="F27" s="27" t="n">
        <f>0.024</f>
        <v>0.024</v>
      </c>
      <c r="G27" s="25" t="n">
        <f>345488190850.0</f>
        <v>3.4548819085E11</v>
      </c>
      <c r="H27" s="26" t="n">
        <f>4150000.0</f>
        <v>4150000.0</v>
      </c>
      <c r="I27" s="27" t="n">
        <f>0.024</f>
        <v>0.024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707.0</f>
        <v>707.0</v>
      </c>
      <c r="E28" s="18" t="n">
        <f>10.0</f>
        <v>10.0</v>
      </c>
      <c r="F28" s="19" t="n">
        <f>0.001</f>
        <v>0.001</v>
      </c>
      <c r="G28" s="17" t="n">
        <f>3132014000.0</f>
        <v>3.132014E9</v>
      </c>
      <c r="H28" s="18" t="n">
        <f>15336000.0</f>
        <v>1.5336E7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144.0</f>
        <v>144.0</v>
      </c>
      <c r="E29" s="22" t="n">
        <f>0.0</f>
        <v>0.0</v>
      </c>
      <c r="F29" s="23" t="n">
        <f>0.0</f>
        <v>0.0</v>
      </c>
      <c r="G29" s="21" t="n">
        <f>630635500.0</f>
        <v>6.306355E8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4184.0</f>
        <v>4184.0</v>
      </c>
      <c r="E30" s="22" t="n">
        <f>9.0</f>
        <v>9.0</v>
      </c>
      <c r="F30" s="23" t="n">
        <f>0.009</f>
        <v>0.009</v>
      </c>
      <c r="G30" s="21" t="n">
        <f>18243291880.0</f>
        <v>1.824329188E10</v>
      </c>
      <c r="H30" s="22" t="n">
        <f>6653880.0</f>
        <v>6653880.0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5035.0</f>
        <v>5035.0</v>
      </c>
      <c r="E31" s="26" t="n">
        <f>19.0</f>
        <v>19.0</v>
      </c>
      <c r="F31" s="27" t="n">
        <f>0.004</f>
        <v>0.004</v>
      </c>
      <c r="G31" s="25" t="n">
        <f>22005941380.0</f>
        <v>2.200594138E10</v>
      </c>
      <c r="H31" s="26" t="n">
        <f>21989880.0</f>
        <v>2.198988E7</v>
      </c>
      <c r="I31" s="27" t="n">
        <f>0.002</f>
        <v>0.002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46156.0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46156.0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26341</f>
        <v>26341.0</v>
      </c>
      <c r="E11" s="18" t="n">
        <f>9643</f>
        <v>9643.0</v>
      </c>
      <c r="F11" s="19" t="n">
        <f>1</f>
        <v>1.0</v>
      </c>
      <c r="G11" s="17" t="n">
        <f>26624634842</f>
        <v>2.6624634842E10</v>
      </c>
      <c r="H11" s="18" t="n">
        <f>25665682642</f>
        <v>2.5665682642E10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25855</f>
        <v>25855.0</v>
      </c>
      <c r="E12" s="22" t="n">
        <f>6123</f>
        <v>6123.0</v>
      </c>
      <c r="F12" s="23" t="n">
        <f>1</f>
        <v>1.0</v>
      </c>
      <c r="G12" s="21" t="n">
        <f>12217278680</f>
        <v>1.221727868E10</v>
      </c>
      <c r="H12" s="22" t="n">
        <f>10002156150</f>
        <v>1.000215615E10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68391</f>
        <v>68391.0</v>
      </c>
      <c r="E13" s="22" t="n">
        <f>29480</f>
        <v>29480.0</v>
      </c>
      <c r="F13" s="23" t="n">
        <f>1</f>
        <v>1.0</v>
      </c>
      <c r="G13" s="21" t="n">
        <f>24123286122</f>
        <v>2.4123286122E10</v>
      </c>
      <c r="H13" s="22" t="n">
        <f>21836990082</f>
        <v>2.1836990082E10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120587</f>
        <v>120587.0</v>
      </c>
      <c r="E14" s="26" t="n">
        <f>45246</f>
        <v>45246.0</v>
      </c>
      <c r="F14" s="27" t="n">
        <f>1</f>
        <v>1.0</v>
      </c>
      <c r="G14" s="25" t="n">
        <f>62965199644</f>
        <v>6.2965199644E10</v>
      </c>
      <c r="H14" s="26" t="n">
        <f>57504828874</f>
        <v>5.7504828874E10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54</f>
        <v>54.0</v>
      </c>
      <c r="E16" s="22" t="n">
        <f>0</f>
        <v>0.0</v>
      </c>
      <c r="F16" s="23" t="n">
        <f>0.002</f>
        <v>0.002</v>
      </c>
      <c r="G16" s="21" t="n">
        <f>4820000</f>
        <v>4820000.0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115</f>
        <v>115.0</v>
      </c>
      <c r="E17" s="22" t="n">
        <f>0</f>
        <v>0.0</v>
      </c>
      <c r="F17" s="23" t="n">
        <f>0.002</f>
        <v>0.002</v>
      </c>
      <c r="G17" s="21" t="n">
        <f>9950000</f>
        <v>9950000.0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169</f>
        <v>169.0</v>
      </c>
      <c r="E18" s="26" t="n">
        <f>0</f>
        <v>0.0</v>
      </c>
      <c r="F18" s="27" t="n">
        <f>0.001</f>
        <v>0.001</v>
      </c>
      <c r="G18" s="25" t="n">
        <f>14770000</f>
        <v>1.477E7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26341</f>
        <v>26341.0</v>
      </c>
      <c r="E19" s="18" t="n">
        <f>9643</f>
        <v>9643.0</v>
      </c>
      <c r="F19" s="19" t="n">
        <f>1</f>
        <v>1.0</v>
      </c>
      <c r="G19" s="17" t="n">
        <f>26624634842</f>
        <v>2.6624634842E10</v>
      </c>
      <c r="H19" s="18" t="n">
        <f>25665682642</f>
        <v>2.5665682642E10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24600</f>
        <v>24600.0</v>
      </c>
      <c r="E20" s="22" t="n">
        <f>6123</f>
        <v>6123.0</v>
      </c>
      <c r="F20" s="23" t="n">
        <f>0.951</f>
        <v>0.951</v>
      </c>
      <c r="G20" s="21" t="n">
        <f>12198215750</f>
        <v>1.219821575E10</v>
      </c>
      <c r="H20" s="22" t="n">
        <f>10002156150</f>
        <v>1.000215615E10</v>
      </c>
      <c r="I20" s="23" t="n">
        <f>0.998</f>
        <v>0.998</v>
      </c>
    </row>
    <row r="21" spans="1:9" ht="24.9" customHeight="1">
      <c r="A21" s="41"/>
      <c r="B21" s="39"/>
      <c r="C21" s="20" t="s">
        <v>17</v>
      </c>
      <c r="D21" s="21" t="n">
        <f>59951</f>
        <v>59951.0</v>
      </c>
      <c r="E21" s="22" t="n">
        <f>28880</f>
        <v>28880.0</v>
      </c>
      <c r="F21" s="23" t="n">
        <f>0.877</f>
        <v>0.877</v>
      </c>
      <c r="G21" s="21" t="n">
        <f>24006222282</f>
        <v>2.4006222282E10</v>
      </c>
      <c r="H21" s="22" t="n">
        <f>21776870082</f>
        <v>2.1776870082E10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110892</f>
        <v>110892.0</v>
      </c>
      <c r="E22" s="26" t="n">
        <f>44646</f>
        <v>44646.0</v>
      </c>
      <c r="F22" s="27" t="n">
        <f>0.92</f>
        <v>0.92</v>
      </c>
      <c r="G22" s="25" t="n">
        <f>62829072874</f>
        <v>6.2829072874E10</v>
      </c>
      <c r="H22" s="26" t="n">
        <f>57444708874</f>
        <v>5.7444708874E10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1201</f>
        <v>1201.0</v>
      </c>
      <c r="E24" s="22" t="n">
        <f>0</f>
        <v>0.0</v>
      </c>
      <c r="F24" s="23" t="n">
        <f>0.046</f>
        <v>0.046</v>
      </c>
      <c r="G24" s="21" t="n">
        <f>14242930</f>
        <v>1.424293E7</v>
      </c>
      <c r="H24" s="22" t="n">
        <f>0</f>
        <v>0.0</v>
      </c>
      <c r="I24" s="23" t="n">
        <f>0.001</f>
        <v>0.001</v>
      </c>
    </row>
    <row r="25" spans="1:9" ht="24.9" customHeight="1">
      <c r="A25" s="41"/>
      <c r="B25" s="39"/>
      <c r="C25" s="20" t="s">
        <v>17</v>
      </c>
      <c r="D25" s="21" t="n">
        <f>8325</f>
        <v>8325.0</v>
      </c>
      <c r="E25" s="22" t="n">
        <f>600</f>
        <v>600.0</v>
      </c>
      <c r="F25" s="23" t="n">
        <f>0.122</f>
        <v>0.122</v>
      </c>
      <c r="G25" s="21" t="n">
        <f>107113840</f>
        <v>1.0711384E8</v>
      </c>
      <c r="H25" s="22" t="n">
        <f>60120000</f>
        <v>6.012E7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9526</f>
        <v>9526.0</v>
      </c>
      <c r="E26" s="26" t="n">
        <f>600</f>
        <v>600.0</v>
      </c>
      <c r="F26" s="27" t="n">
        <f>0.079</f>
        <v>0.079</v>
      </c>
      <c r="G26" s="25" t="n">
        <f>121356770</f>
        <v>1.2135677E8</v>
      </c>
      <c r="H26" s="26" t="n">
        <f>60120000</f>
        <v>6.012E7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46156.0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46156.0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9230.0</v>
      </c>
      <c r="F12" s="18" t="n">
        <f>1155</f>
        <v>1155.0</v>
      </c>
      <c r="G12" s="17" t="n">
        <v>5.8225955887E11</v>
      </c>
      <c r="H12" s="18" t="n">
        <f>72975608870</f>
        <v>7.297560887E10</v>
      </c>
    </row>
    <row r="13" spans="1:8" ht="24.9" customHeight="1">
      <c r="A13" s="51"/>
      <c r="B13" s="57"/>
      <c r="C13" s="39"/>
      <c r="D13" s="20" t="s">
        <v>16</v>
      </c>
      <c r="E13" s="21" t="n">
        <v>7826.0</v>
      </c>
      <c r="F13" s="22" t="n">
        <f>1148</f>
        <v>1148.0</v>
      </c>
      <c r="G13" s="21" t="n">
        <v>4.982828427E11</v>
      </c>
      <c r="H13" s="22" t="n">
        <f>73096387700</f>
        <v>7.30963877E10</v>
      </c>
    </row>
    <row r="14" spans="1:8" ht="24.9" customHeight="1">
      <c r="A14" s="51"/>
      <c r="B14" s="57"/>
      <c r="C14" s="39"/>
      <c r="D14" s="20" t="s">
        <v>17</v>
      </c>
      <c r="E14" s="21" t="n">
        <v>18674.0</v>
      </c>
      <c r="F14" s="22" t="n">
        <f>6053</f>
        <v>6053.0</v>
      </c>
      <c r="G14" s="21" t="n">
        <v>1.17778712466E12</v>
      </c>
      <c r="H14" s="22" t="n">
        <f>381862106660</f>
        <v>3.8186210666E11</v>
      </c>
    </row>
    <row r="15" spans="1:8" ht="24.9" customHeight="1">
      <c r="A15" s="51"/>
      <c r="B15" s="57"/>
      <c r="C15" s="39"/>
      <c r="D15" s="24" t="s">
        <v>18</v>
      </c>
      <c r="E15" s="25" t="n">
        <v>35730.0</v>
      </c>
      <c r="F15" s="26" t="n">
        <f>8356</f>
        <v>8356.0</v>
      </c>
      <c r="G15" s="25" t="n">
        <v>2.25832952623E12</v>
      </c>
      <c r="H15" s="26" t="n">
        <f>527934103230</f>
        <v>5.2793410323E11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218630.0</v>
      </c>
      <c r="F16" s="18" t="n">
        <f>29212</f>
        <v>29212.0</v>
      </c>
      <c r="G16" s="17" t="n">
        <v>1.379229941308E12</v>
      </c>
      <c r="H16" s="18" t="n">
        <f>184227779808</f>
        <v>1.84227779808E11</v>
      </c>
    </row>
    <row r="17" spans="1:8" ht="24.9" customHeight="1">
      <c r="A17" s="51"/>
      <c r="B17" s="57"/>
      <c r="C17" s="39"/>
      <c r="D17" s="20" t="s">
        <v>16</v>
      </c>
      <c r="E17" s="21" t="n">
        <v>127639.0</v>
      </c>
      <c r="F17" s="22" t="n">
        <f>14433</f>
        <v>14433.0</v>
      </c>
      <c r="G17" s="21" t="n">
        <v>8.1267936842E11</v>
      </c>
      <c r="H17" s="22" t="n">
        <f>91904171420</f>
        <v>9.190417142E10</v>
      </c>
    </row>
    <row r="18" spans="1:8" ht="24.9" customHeight="1">
      <c r="A18" s="51"/>
      <c r="B18" s="57"/>
      <c r="C18" s="39"/>
      <c r="D18" s="20" t="s">
        <v>17</v>
      </c>
      <c r="E18" s="21" t="n">
        <v>179858.0</v>
      </c>
      <c r="F18" s="22" t="n">
        <f>19402</f>
        <v>19402.0</v>
      </c>
      <c r="G18" s="21" t="n">
        <v>1.135269242008E12</v>
      </c>
      <c r="H18" s="22" t="n">
        <f>122543358008</f>
        <v>1.22543358008E11</v>
      </c>
    </row>
    <row r="19" spans="1:8" ht="24.9" customHeight="1">
      <c r="A19" s="51"/>
      <c r="B19" s="57"/>
      <c r="C19" s="39"/>
      <c r="D19" s="24" t="s">
        <v>18</v>
      </c>
      <c r="E19" s="25" t="n">
        <v>526127.0</v>
      </c>
      <c r="F19" s="26" t="n">
        <f>63047</f>
        <v>63047.0</v>
      </c>
      <c r="G19" s="25" t="n">
        <v>3.327178551736E12</v>
      </c>
      <c r="H19" s="26" t="n">
        <f>398675309236</f>
        <v>3.98675309236E11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283765.0</v>
      </c>
      <c r="F20" s="18" t="str">
        <f>"－"</f>
        <v>－</v>
      </c>
      <c r="G20" s="17" t="n">
        <v>1.7900921175E11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136710.0</v>
      </c>
      <c r="F21" s="22" t="str">
        <f>"－"</f>
        <v>－</v>
      </c>
      <c r="G21" s="21" t="n">
        <v>8.705577945E10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201238.0</v>
      </c>
      <c r="F22" s="22" t="str">
        <f>"－"</f>
        <v>－</v>
      </c>
      <c r="G22" s="21" t="n">
        <v>1.2707427635E11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621713.0</v>
      </c>
      <c r="F23" s="26" t="str">
        <f>"－"</f>
        <v>－</v>
      </c>
      <c r="G23" s="25" t="n">
        <v>3.9313926755E11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17828.0</v>
      </c>
      <c r="F24" s="18" t="n">
        <f>25</f>
        <v>25.0</v>
      </c>
      <c r="G24" s="17" t="n">
        <v>6.97132547E11</v>
      </c>
      <c r="H24" s="18" t="n">
        <f>976152000</f>
        <v>9.76152E8</v>
      </c>
    </row>
    <row r="25" spans="1:8" ht="24.9" customHeight="1">
      <c r="A25" s="51"/>
      <c r="B25" s="57"/>
      <c r="C25" s="39"/>
      <c r="D25" s="20" t="s">
        <v>16</v>
      </c>
      <c r="E25" s="21" t="n">
        <v>12042.0</v>
      </c>
      <c r="F25" s="22" t="n">
        <f>122</f>
        <v>122.0</v>
      </c>
      <c r="G25" s="21" t="n">
        <v>4.71836406E11</v>
      </c>
      <c r="H25" s="22" t="n">
        <f>4777941000</f>
        <v>4.777941E9</v>
      </c>
    </row>
    <row r="26" spans="1:8" ht="24.9" customHeight="1">
      <c r="A26" s="51"/>
      <c r="B26" s="57"/>
      <c r="C26" s="39"/>
      <c r="D26" s="20" t="s">
        <v>17</v>
      </c>
      <c r="E26" s="21" t="n">
        <v>24006.0</v>
      </c>
      <c r="F26" s="22" t="n">
        <f>4293</f>
        <v>4293.0</v>
      </c>
      <c r="G26" s="21" t="n">
        <v>9.341300693E11</v>
      </c>
      <c r="H26" s="22" t="n">
        <f>166887614300</f>
        <v>1.668876143E11</v>
      </c>
    </row>
    <row r="27" spans="1:8" ht="24.9" customHeight="1">
      <c r="A27" s="51"/>
      <c r="B27" s="57"/>
      <c r="C27" s="39"/>
      <c r="D27" s="24" t="s">
        <v>18</v>
      </c>
      <c r="E27" s="25" t="n">
        <v>53876.0</v>
      </c>
      <c r="F27" s="26" t="n">
        <f>4440</f>
        <v>4440.0</v>
      </c>
      <c r="G27" s="25" t="n">
        <v>2.1030990223E12</v>
      </c>
      <c r="H27" s="26" t="n">
        <f>172641707300</f>
        <v>1.726417073E11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4379.0</v>
      </c>
      <c r="F28" s="18" t="n">
        <f>578</f>
        <v>578.0</v>
      </c>
      <c r="G28" s="17" t="n">
        <v>1.712299263E10</v>
      </c>
      <c r="H28" s="18" t="n">
        <f>2260347880</f>
        <v>2.26034788E9</v>
      </c>
    </row>
    <row r="29" spans="1:8" ht="24.9" customHeight="1">
      <c r="A29" s="51"/>
      <c r="B29" s="57"/>
      <c r="C29" s="39"/>
      <c r="D29" s="20" t="s">
        <v>16</v>
      </c>
      <c r="E29" s="21" t="n">
        <v>6096.0</v>
      </c>
      <c r="F29" s="22" t="n">
        <f>283</f>
        <v>283.0</v>
      </c>
      <c r="G29" s="21" t="n">
        <v>2.388497145E10</v>
      </c>
      <c r="H29" s="22" t="n">
        <f>1109584200</f>
        <v>1.1095842E9</v>
      </c>
    </row>
    <row r="30" spans="1:8" ht="24.9" customHeight="1">
      <c r="A30" s="51"/>
      <c r="B30" s="57"/>
      <c r="C30" s="39"/>
      <c r="D30" s="20" t="s">
        <v>17</v>
      </c>
      <c r="E30" s="21" t="n">
        <v>7988.0</v>
      </c>
      <c r="F30" s="22" t="n">
        <f>251</f>
        <v>251.0</v>
      </c>
      <c r="G30" s="21" t="n">
        <v>3.10847509E10</v>
      </c>
      <c r="H30" s="22" t="n">
        <f>977211900</f>
        <v>9.772119E8</v>
      </c>
    </row>
    <row r="31" spans="1:8" ht="24.9" customHeight="1">
      <c r="A31" s="51"/>
      <c r="B31" s="57"/>
      <c r="C31" s="39"/>
      <c r="D31" s="24" t="s">
        <v>18</v>
      </c>
      <c r="E31" s="25" t="n">
        <v>18463.0</v>
      </c>
      <c r="F31" s="26" t="n">
        <f>1112</f>
        <v>1112.0</v>
      </c>
      <c r="G31" s="25" t="n">
        <v>7.209271498E10</v>
      </c>
      <c r="H31" s="26" t="n">
        <f>4347143980</f>
        <v>4.34714398E9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435.0</v>
      </c>
      <c r="F36" s="18" t="n">
        <f>1</f>
        <v>1.0</v>
      </c>
      <c r="G36" s="17" t="n">
        <v>1.55238049E9</v>
      </c>
      <c r="H36" s="18" t="n">
        <f>3563990</f>
        <v>3563990.0</v>
      </c>
    </row>
    <row r="37" spans="1:8" ht="24.9" customHeight="1">
      <c r="A37" s="51"/>
      <c r="B37" s="57"/>
      <c r="C37" s="39"/>
      <c r="D37" s="20" t="s">
        <v>16</v>
      </c>
      <c r="E37" s="21" t="n">
        <v>1657.0</v>
      </c>
      <c r="F37" s="22" t="n">
        <f>2</f>
        <v>2.0</v>
      </c>
      <c r="G37" s="21" t="n">
        <v>5.93081999E9</v>
      </c>
      <c r="H37" s="22" t="n">
        <f>7145990</f>
        <v>7145990.0</v>
      </c>
    </row>
    <row r="38" spans="1:8" ht="24.9" customHeight="1">
      <c r="A38" s="51"/>
      <c r="B38" s="57"/>
      <c r="C38" s="39"/>
      <c r="D38" s="20" t="s">
        <v>17</v>
      </c>
      <c r="E38" s="21" t="n">
        <v>919.0</v>
      </c>
      <c r="F38" s="22" t="n">
        <f>103</f>
        <v>103.0</v>
      </c>
      <c r="G38" s="21" t="n">
        <v>3.267114E9</v>
      </c>
      <c r="H38" s="22" t="n">
        <f>367195000</f>
        <v>3.67195E8</v>
      </c>
    </row>
    <row r="39" spans="1:8" ht="24.9" customHeight="1">
      <c r="A39" s="51"/>
      <c r="B39" s="57"/>
      <c r="C39" s="39"/>
      <c r="D39" s="24" t="s">
        <v>18</v>
      </c>
      <c r="E39" s="25" t="n">
        <v>3011.0</v>
      </c>
      <c r="F39" s="26" t="n">
        <f>106</f>
        <v>106.0</v>
      </c>
      <c r="G39" s="25" t="n">
        <v>1.075031448E10</v>
      </c>
      <c r="H39" s="26" t="n">
        <f>377904980</f>
        <v>3.7790498E8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3.0</v>
      </c>
      <c r="F45" s="22" t="n">
        <f>0</f>
        <v>0.0</v>
      </c>
      <c r="G45" s="21" t="n">
        <v>1.8642E7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1.0</v>
      </c>
      <c r="F46" s="22" t="n">
        <f>0</f>
        <v>0.0</v>
      </c>
      <c r="G46" s="21" t="n">
        <v>6220000.0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4.0</v>
      </c>
      <c r="F47" s="26" t="n">
        <f>0</f>
        <v>0.0</v>
      </c>
      <c r="G47" s="25" t="n">
        <v>2.4862E7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14.0</v>
      </c>
      <c r="F48" s="18" t="n">
        <f>11</f>
        <v>11.0</v>
      </c>
      <c r="G48" s="17" t="n">
        <v>2.56715E7</v>
      </c>
      <c r="H48" s="18" t="n">
        <f>20172000</f>
        <v>2.0172E7</v>
      </c>
    </row>
    <row r="49" spans="1:8" ht="24.9" customHeight="1">
      <c r="A49" s="51"/>
      <c r="B49" s="57"/>
      <c r="C49" s="39"/>
      <c r="D49" s="20" t="s">
        <v>16</v>
      </c>
      <c r="E49" s="21" t="n">
        <v>7.0</v>
      </c>
      <c r="F49" s="22" t="n">
        <f>0</f>
        <v>0.0</v>
      </c>
      <c r="G49" s="21" t="n">
        <v>1.28105E7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856.0</v>
      </c>
      <c r="F50" s="22" t="n">
        <f>843</f>
        <v>843.0</v>
      </c>
      <c r="G50" s="21" t="n">
        <v>1.56491889E9</v>
      </c>
      <c r="H50" s="22" t="n">
        <f>1541197390</f>
        <v>1.54119739E9</v>
      </c>
    </row>
    <row r="51" spans="1:8" ht="24.9" customHeight="1">
      <c r="A51" s="51"/>
      <c r="B51" s="57"/>
      <c r="C51" s="39"/>
      <c r="D51" s="24" t="s">
        <v>18</v>
      </c>
      <c r="E51" s="25" t="n">
        <v>877.0</v>
      </c>
      <c r="F51" s="26" t="n">
        <f>854</f>
        <v>854.0</v>
      </c>
      <c r="G51" s="25" t="n">
        <v>1.60340089E9</v>
      </c>
      <c r="H51" s="26" t="n">
        <f>1561369390</f>
        <v>1.56136939E9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745.0</v>
      </c>
      <c r="F56" s="18" t="n">
        <f>19</f>
        <v>19.0</v>
      </c>
      <c r="G56" s="17" t="n">
        <v>6.016669E8</v>
      </c>
      <c r="H56" s="18" t="n">
        <f>15324900</f>
        <v>1.53249E7</v>
      </c>
    </row>
    <row r="57" spans="1:8" ht="24.9" customHeight="1">
      <c r="A57" s="51"/>
      <c r="B57" s="57"/>
      <c r="C57" s="39"/>
      <c r="D57" s="20" t="s">
        <v>16</v>
      </c>
      <c r="E57" s="21" t="n">
        <v>1716.0</v>
      </c>
      <c r="F57" s="22" t="n">
        <f>111</f>
        <v>111.0</v>
      </c>
      <c r="G57" s="21" t="n">
        <v>1.3760867E9</v>
      </c>
      <c r="H57" s="22" t="n">
        <f>89174700</f>
        <v>8.91747E7</v>
      </c>
    </row>
    <row r="58" spans="1:8" ht="24.9" customHeight="1">
      <c r="A58" s="51"/>
      <c r="B58" s="57"/>
      <c r="C58" s="39"/>
      <c r="D58" s="20" t="s">
        <v>17</v>
      </c>
      <c r="E58" s="21" t="n">
        <v>1858.0</v>
      </c>
      <c r="F58" s="22" t="n">
        <f>88</f>
        <v>88.0</v>
      </c>
      <c r="G58" s="21" t="n">
        <v>1.47191481E9</v>
      </c>
      <c r="H58" s="22" t="n">
        <f>70125810</f>
        <v>7.012581E7</v>
      </c>
    </row>
    <row r="59" spans="1:8" ht="24.9" customHeight="1">
      <c r="A59" s="51"/>
      <c r="B59" s="57"/>
      <c r="C59" s="39"/>
      <c r="D59" s="24" t="s">
        <v>18</v>
      </c>
      <c r="E59" s="25" t="n">
        <v>4319.0</v>
      </c>
      <c r="F59" s="26" t="n">
        <f>218</f>
        <v>218.0</v>
      </c>
      <c r="G59" s="25" t="n">
        <v>3.44966841E9</v>
      </c>
      <c r="H59" s="26" t="n">
        <f>174625410</f>
        <v>1.7462541E8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69.0</v>
      </c>
      <c r="F60" s="18" t="n">
        <f>4</f>
        <v>4.0</v>
      </c>
      <c r="G60" s="17" t="n">
        <v>3.430536E8</v>
      </c>
      <c r="H60" s="18" t="n">
        <f>19875900</f>
        <v>1.98759E7</v>
      </c>
    </row>
    <row r="61" spans="1:8" ht="24.9" customHeight="1">
      <c r="A61" s="51"/>
      <c r="B61" s="57"/>
      <c r="C61" s="39"/>
      <c r="D61" s="20" t="s">
        <v>16</v>
      </c>
      <c r="E61" s="21" t="n">
        <v>0.0</v>
      </c>
      <c r="F61" s="22" t="n">
        <f>0</f>
        <v>0.0</v>
      </c>
      <c r="G61" s="21" t="n">
        <v>0.0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33.0</v>
      </c>
      <c r="F62" s="22" t="n">
        <f>1</f>
        <v>1.0</v>
      </c>
      <c r="G62" s="21" t="n">
        <v>1.6479729E8</v>
      </c>
      <c r="H62" s="22" t="n">
        <f>4993090</f>
        <v>4993090.0</v>
      </c>
    </row>
    <row r="63" spans="1:8" ht="24.9" customHeight="1">
      <c r="A63" s="51"/>
      <c r="B63" s="57"/>
      <c r="C63" s="39"/>
      <c r="D63" s="24" t="s">
        <v>18</v>
      </c>
      <c r="E63" s="25" t="n">
        <v>102.0</v>
      </c>
      <c r="F63" s="26" t="n">
        <f>5</f>
        <v>5.0</v>
      </c>
      <c r="G63" s="25" t="n">
        <v>5.0785089E8</v>
      </c>
      <c r="H63" s="26" t="n">
        <f>24868990</f>
        <v>2.486899E7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1992000.0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6.0</v>
      </c>
      <c r="F79" s="26" t="n">
        <f>0</f>
        <v>0.0</v>
      </c>
      <c r="G79" s="25" t="n">
        <v>1992000.0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13.0</v>
      </c>
      <c r="F92" s="18" t="n">
        <f>0</f>
        <v>0.0</v>
      </c>
      <c r="G92" s="17" t="n">
        <v>2.0461E7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528.0</v>
      </c>
      <c r="F94" s="22" t="n">
        <f>0</f>
        <v>0.0</v>
      </c>
      <c r="G94" s="21" t="n">
        <v>8.312388E8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541.0</v>
      </c>
      <c r="F95" s="26" t="n">
        <f>0</f>
        <v>0.0</v>
      </c>
      <c r="G95" s="25" t="n">
        <v>8.516998E8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113.0</v>
      </c>
      <c r="F96" s="18" t="n">
        <f>0</f>
        <v>0.0</v>
      </c>
      <c r="G96" s="17" t="n">
        <v>2.626739E8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11.0</v>
      </c>
      <c r="F98" s="22" t="n">
        <f>0</f>
        <v>0.0</v>
      </c>
      <c r="G98" s="21" t="n">
        <v>2.55779E7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124.0</v>
      </c>
      <c r="F99" s="26" t="n">
        <f>0</f>
        <v>0.0</v>
      </c>
      <c r="G99" s="25" t="n">
        <v>2.882518E8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10334.0</v>
      </c>
      <c r="F108" s="18" t="n">
        <f>320</f>
        <v>320.0</v>
      </c>
      <c r="G108" s="17" t="n">
        <v>1.33157796E12</v>
      </c>
      <c r="H108" s="18" t="n">
        <f>41243650000</f>
        <v>4.124365E10</v>
      </c>
    </row>
    <row r="109" spans="1:8" ht="24.9" customHeight="1">
      <c r="A109" s="51"/>
      <c r="B109" s="57"/>
      <c r="C109" s="39"/>
      <c r="D109" s="20" t="s">
        <v>16</v>
      </c>
      <c r="E109" s="21" t="n">
        <v>13561.0</v>
      </c>
      <c r="F109" s="22" t="n">
        <f>1579</f>
        <v>1579.0</v>
      </c>
      <c r="G109" s="21" t="n">
        <v>1.74761338E12</v>
      </c>
      <c r="H109" s="22" t="n">
        <f>203459260000</f>
        <v>2.0345926E11</v>
      </c>
    </row>
    <row r="110" spans="1:8" ht="24.9" customHeight="1">
      <c r="A110" s="51"/>
      <c r="B110" s="57"/>
      <c r="C110" s="39"/>
      <c r="D110" s="20" t="s">
        <v>17</v>
      </c>
      <c r="E110" s="21" t="n">
        <v>18379.0</v>
      </c>
      <c r="F110" s="22" t="n">
        <f>711</f>
        <v>711.0</v>
      </c>
      <c r="G110" s="21" t="n">
        <v>2.36619172E12</v>
      </c>
      <c r="H110" s="22" t="n">
        <f>91547400000</f>
        <v>9.15474E10</v>
      </c>
    </row>
    <row r="111" spans="1:8" ht="24.9" customHeight="1">
      <c r="A111" s="51"/>
      <c r="B111" s="57"/>
      <c r="C111" s="39"/>
      <c r="D111" s="24" t="s">
        <v>18</v>
      </c>
      <c r="E111" s="25" t="n">
        <v>42274.0</v>
      </c>
      <c r="F111" s="26" t="n">
        <f>2610</f>
        <v>2610.0</v>
      </c>
      <c r="G111" s="25" t="n">
        <v>5.44538306E12</v>
      </c>
      <c r="H111" s="26" t="n">
        <f>336250310000</f>
        <v>3.3625031E11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182.0</v>
      </c>
      <c r="F113" s="22" t="n">
        <f>0</f>
        <v>0.0</v>
      </c>
      <c r="G113" s="21" t="n">
        <v>2.345598E9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640.0</v>
      </c>
      <c r="F114" s="22" t="n">
        <f>0</f>
        <v>0.0</v>
      </c>
      <c r="G114" s="21" t="n">
        <v>8.242405E9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822.0</v>
      </c>
      <c r="F115" s="26" t="n">
        <f>0</f>
        <v>0.0</v>
      </c>
      <c r="G115" s="25" t="n">
        <v>1.0588003E10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1050.0</v>
      </c>
      <c r="F118" s="22" t="n">
        <f>0</f>
        <v>0.0</v>
      </c>
      <c r="G118" s="21" t="n">
        <v>9.72695E9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1050.0</v>
      </c>
      <c r="F119" s="26" t="n">
        <f>0</f>
        <v>0.0</v>
      </c>
      <c r="G119" s="25" t="n">
        <v>9.72695E9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5591.0</v>
      </c>
      <c r="F120" s="18" t="n">
        <f>0</f>
        <v>0.0</v>
      </c>
      <c r="G120" s="17" t="n">
        <v>1.38596061875E11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625.0</v>
      </c>
      <c r="F121" s="22" t="n">
        <f>0</f>
        <v>0.0</v>
      </c>
      <c r="G121" s="21" t="n">
        <v>1.5463484375E10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5060.0</v>
      </c>
      <c r="F122" s="22" t="n">
        <f>0</f>
        <v>0.0</v>
      </c>
      <c r="G122" s="21" t="n">
        <v>1.25556884375E11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11276.0</v>
      </c>
      <c r="F123" s="26" t="n">
        <f>0</f>
        <v>0.0</v>
      </c>
      <c r="G123" s="25" t="n">
        <v>2.79616430625E11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4248.0</v>
      </c>
      <c r="F124" s="18" t="n">
        <f>0</f>
        <v>0.0</v>
      </c>
      <c r="G124" s="17" t="n">
        <v>1.04414934E11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2338.0</v>
      </c>
      <c r="F125" s="22" t="n">
        <f>0</f>
        <v>0.0</v>
      </c>
      <c r="G125" s="21" t="n">
        <v>5.7513723E10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5008.0</v>
      </c>
      <c r="F126" s="22" t="n">
        <f>0</f>
        <v>0.0</v>
      </c>
      <c r="G126" s="21" t="n">
        <v>1.23157983E11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11594.0</v>
      </c>
      <c r="F127" s="26" t="n">
        <f>0</f>
        <v>0.0</v>
      </c>
      <c r="G127" s="25" t="n">
        <v>2.8508664E11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17.0</v>
      </c>
      <c r="F128" s="18" t="n">
        <f>0</f>
        <v>0.0</v>
      </c>
      <c r="G128" s="17" t="n">
        <v>4.17621E7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7.0</v>
      </c>
      <c r="F129" s="22" t="n">
        <f>0</f>
        <v>0.0</v>
      </c>
      <c r="G129" s="21" t="n">
        <v>1.72398E7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53.0</v>
      </c>
      <c r="F130" s="22" t="n">
        <f>0</f>
        <v>0.0</v>
      </c>
      <c r="G130" s="21" t="n">
        <v>1.305166E8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77.0</v>
      </c>
      <c r="F131" s="26" t="n">
        <f>0</f>
        <v>0.0</v>
      </c>
      <c r="G131" s="25" t="n">
        <v>1.895185E8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4723.0</v>
      </c>
      <c r="F132" s="18" t="n">
        <f>0</f>
        <v>0.0</v>
      </c>
      <c r="G132" s="17" t="n">
        <v>1.16520135E10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1524.0</v>
      </c>
      <c r="F133" s="22" t="n">
        <f>0</f>
        <v>0.0</v>
      </c>
      <c r="G133" s="21" t="n">
        <v>3.7626442E9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3244.0</v>
      </c>
      <c r="F134" s="22" t="n">
        <f>0</f>
        <v>0.0</v>
      </c>
      <c r="G134" s="21" t="n">
        <v>8.0126165E9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9491.0</v>
      </c>
      <c r="F135" s="26" t="n">
        <f>0</f>
        <v>0.0</v>
      </c>
      <c r="G135" s="25" t="n">
        <v>2.34272742E10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27.0</v>
      </c>
      <c r="F136" s="18" t="n">
        <f>0</f>
        <v>0.0</v>
      </c>
      <c r="G136" s="17" t="n">
        <v>6.60519E7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126.0</v>
      </c>
      <c r="F137" s="22" t="n">
        <f>0</f>
        <v>0.0</v>
      </c>
      <c r="G137" s="21" t="n">
        <v>3.078655E8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69.0</v>
      </c>
      <c r="F138" s="22" t="n">
        <f>0</f>
        <v>0.0</v>
      </c>
      <c r="G138" s="21" t="n">
        <v>1.684329E8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222.0</v>
      </c>
      <c r="F139" s="26" t="n">
        <f>0</f>
        <v>0.0</v>
      </c>
      <c r="G139" s="25" t="n">
        <v>5.423503E8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2.0</v>
      </c>
      <c r="F141" s="22" t="n">
        <f>0</f>
        <v>0.0</v>
      </c>
      <c r="G141" s="21" t="n">
        <v>2.6337E7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2.574E7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4.0</v>
      </c>
      <c r="F143" s="26" t="n">
        <f>0</f>
        <v>0.0</v>
      </c>
      <c r="G143" s="25" t="n">
        <v>5.2077E7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2967.0</v>
      </c>
      <c r="F144" s="18" t="n">
        <f>0</f>
        <v>0.0</v>
      </c>
      <c r="G144" s="17" t="n">
        <v>1.59323905E10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1490.0</v>
      </c>
      <c r="F145" s="22" t="n">
        <f>0</f>
        <v>0.0</v>
      </c>
      <c r="G145" s="21" t="n">
        <v>8.015425E9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928.0</v>
      </c>
      <c r="F146" s="22" t="n">
        <f>0</f>
        <v>0.0</v>
      </c>
      <c r="G146" s="21" t="n">
        <v>4.970128E9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5385.0</v>
      </c>
      <c r="F147" s="26" t="n">
        <f>0</f>
        <v>0.0</v>
      </c>
      <c r="G147" s="25" t="n">
        <v>2.89179435E10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204.0</v>
      </c>
      <c r="F148" s="18" t="n">
        <f>0</f>
        <v>0.0</v>
      </c>
      <c r="G148" s="17" t="n">
        <v>2.229457E8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415.0</v>
      </c>
      <c r="F149" s="22" t="n">
        <f>0</f>
        <v>0.0</v>
      </c>
      <c r="G149" s="21" t="n">
        <v>4.533883E8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194.0</v>
      </c>
      <c r="F150" s="22" t="n">
        <f>0</f>
        <v>0.0</v>
      </c>
      <c r="G150" s="21" t="n">
        <v>2.111494E8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813.0</v>
      </c>
      <c r="F151" s="26" t="n">
        <f>0</f>
        <v>0.0</v>
      </c>
      <c r="G151" s="25" t="n">
        <v>8.874834E8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372.0</v>
      </c>
      <c r="F152" s="18" t="n">
        <f>0</f>
        <v>0.0</v>
      </c>
      <c r="G152" s="17" t="n">
        <v>3.9954795E8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248.0</v>
      </c>
      <c r="F153" s="22" t="n">
        <f>0</f>
        <v>0.0</v>
      </c>
      <c r="G153" s="21" t="n">
        <v>2.66409E8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175.0</v>
      </c>
      <c r="F154" s="22" t="n">
        <f>0</f>
        <v>0.0</v>
      </c>
      <c r="G154" s="21" t="n">
        <v>1.874167E8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795.0</v>
      </c>
      <c r="F155" s="26" t="n">
        <f>0</f>
        <v>0.0</v>
      </c>
      <c r="G155" s="25" t="n">
        <v>8.5337365E8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332.0</v>
      </c>
      <c r="F156" s="18" t="n">
        <f>0</f>
        <v>0.0</v>
      </c>
      <c r="G156" s="17" t="n">
        <v>3.610356E8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924.0</v>
      </c>
      <c r="F157" s="22" t="n">
        <f>0</f>
        <v>0.0</v>
      </c>
      <c r="G157" s="21" t="n">
        <v>1.0073343E9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1343.0</v>
      </c>
      <c r="F158" s="22" t="n">
        <f>0</f>
        <v>0.0</v>
      </c>
      <c r="G158" s="21" t="n">
        <v>1.4561359E9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2599.0</v>
      </c>
      <c r="F159" s="26" t="n">
        <f>0</f>
        <v>0.0</v>
      </c>
      <c r="G159" s="25" t="n">
        <v>2.8245058E9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333.0</v>
      </c>
      <c r="F168" s="18" t="n">
        <f>0</f>
        <v>0.0</v>
      </c>
      <c r="G168" s="17" t="n">
        <v>7.067815E8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460.0</v>
      </c>
      <c r="F169" s="22" t="n">
        <f>0</f>
        <v>0.0</v>
      </c>
      <c r="G169" s="21" t="n">
        <v>9.731635E8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171.0</v>
      </c>
      <c r="F170" s="22" t="n">
        <f>2</f>
        <v>2.0</v>
      </c>
      <c r="G170" s="21" t="n">
        <v>3.580705E8</v>
      </c>
      <c r="H170" s="22" t="n">
        <f>4150000</f>
        <v>4150000.0</v>
      </c>
    </row>
    <row r="171" spans="1:8" ht="24.9" customHeight="1">
      <c r="A171" s="51"/>
      <c r="B171" s="57"/>
      <c r="C171" s="39"/>
      <c r="D171" s="24" t="s">
        <v>18</v>
      </c>
      <c r="E171" s="25" t="n">
        <v>964.0</v>
      </c>
      <c r="F171" s="26" t="n">
        <f>2</f>
        <v>2.0</v>
      </c>
      <c r="G171" s="25" t="n">
        <v>2.0380155E9</v>
      </c>
      <c r="H171" s="26" t="n">
        <f>4150000</f>
        <v>4150000.0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100.0</v>
      </c>
      <c r="F176" s="18" t="n">
        <f>0</f>
        <v>0.0</v>
      </c>
      <c r="G176" s="17" t="n">
        <v>1.84286E8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120.0</v>
      </c>
      <c r="F177" s="22" t="n">
        <f>0</f>
        <v>0.0</v>
      </c>
      <c r="G177" s="21" t="n">
        <v>2.1865E8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148.0</v>
      </c>
      <c r="F178" s="22" t="n">
        <f>0</f>
        <v>0.0</v>
      </c>
      <c r="G178" s="21" t="n">
        <v>2.66073E8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368.0</v>
      </c>
      <c r="F179" s="26" t="n">
        <f>0</f>
        <v>0.0</v>
      </c>
      <c r="G179" s="25" t="n">
        <v>6.69009E8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697.0</v>
      </c>
      <c r="F204" s="18" t="n">
        <f>0</f>
        <v>0.0</v>
      </c>
      <c r="G204" s="17" t="n">
        <v>3.116678E9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144.0</v>
      </c>
      <c r="F205" s="22" t="n">
        <f>0</f>
        <v>0.0</v>
      </c>
      <c r="G205" s="21" t="n">
        <v>6.306355E8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4175.0</v>
      </c>
      <c r="F206" s="22" t="n">
        <f>0</f>
        <v>0.0</v>
      </c>
      <c r="G206" s="21" t="n">
        <v>1.8236638E10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5016.0</v>
      </c>
      <c r="F207" s="26" t="n">
        <f>0</f>
        <v>0.0</v>
      </c>
      <c r="G207" s="25" t="n">
        <v>2.19839515E10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10.0</v>
      </c>
      <c r="F208" s="18" t="n">
        <f>10</f>
        <v>10.0</v>
      </c>
      <c r="G208" s="17" t="n">
        <v>1.5336E7</v>
      </c>
      <c r="H208" s="18" t="n">
        <f>15336000</f>
        <v>1.5336E7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10.0</v>
      </c>
      <c r="F211" s="26" t="n">
        <f>10</f>
        <v>10.0</v>
      </c>
      <c r="G211" s="25" t="n">
        <v>1.5336E7</v>
      </c>
      <c r="H211" s="26" t="n">
        <f>15336000</f>
        <v>1.5336E7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9.0</v>
      </c>
      <c r="F222" s="22" t="n">
        <f>9</f>
        <v>9.0</v>
      </c>
      <c r="G222" s="21" t="n">
        <v>6653880.0</v>
      </c>
      <c r="H222" s="22" t="n">
        <f>6653880</f>
        <v>6653880.0</v>
      </c>
    </row>
    <row r="223" spans="1:8" ht="24.9" customHeight="1">
      <c r="A223" s="57"/>
      <c r="B223" s="59"/>
      <c r="C223" s="39"/>
      <c r="D223" s="24" t="s">
        <v>18</v>
      </c>
      <c r="E223" s="25" t="n">
        <v>9.0</v>
      </c>
      <c r="F223" s="26" t="n">
        <f>9</f>
        <v>9.0</v>
      </c>
      <c r="G223" s="25" t="n">
        <v>6653880.0</v>
      </c>
      <c r="H223" s="26" t="n">
        <f>6653880</f>
        <v>6653880.0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46156.0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46156.0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4547</f>
        <v>4547.0</v>
      </c>
      <c r="E12" s="35" t="n">
        <f>3777</f>
        <v>3777.0</v>
      </c>
      <c r="F12" s="17" t="n">
        <f>3714</f>
        <v>3714.0</v>
      </c>
      <c r="G12" s="35" t="n">
        <f>2883</f>
        <v>2883.0</v>
      </c>
      <c r="H12" s="17" t="n">
        <f>8261</f>
        <v>8261.0</v>
      </c>
      <c r="I12" s="35" t="n">
        <f>6660</f>
        <v>6660.0</v>
      </c>
      <c r="J12" s="17" t="n">
        <f>10076956310</f>
        <v>1.007695631E10</v>
      </c>
      <c r="K12" s="35" t="n">
        <f>9792290310</f>
        <v>9.79229031E9</v>
      </c>
      <c r="L12" s="17" t="n">
        <f>15892996730</f>
        <v>1.589299673E10</v>
      </c>
      <c r="M12" s="35" t="n">
        <f>15624558730</f>
        <v>1.562455873E10</v>
      </c>
      <c r="N12" s="17" t="n">
        <f>25969953040</f>
        <v>2.596995304E10</v>
      </c>
      <c r="O12" s="35" t="n">
        <f>25416849040</f>
        <v>2.541684904E10</v>
      </c>
    </row>
    <row r="13" spans="1:15" ht="24.9" customHeight="1">
      <c r="A13" s="38"/>
      <c r="B13" s="62"/>
      <c r="C13" s="20" t="s">
        <v>16</v>
      </c>
      <c r="D13" s="21" t="n">
        <f>3650</f>
        <v>3650.0</v>
      </c>
      <c r="E13" s="36" t="n">
        <f>1662</f>
        <v>1662.0</v>
      </c>
      <c r="F13" s="21" t="n">
        <f>4706</f>
        <v>4706.0</v>
      </c>
      <c r="G13" s="36" t="n">
        <f>2408</f>
        <v>2408.0</v>
      </c>
      <c r="H13" s="21" t="n">
        <f>8356</f>
        <v>8356.0</v>
      </c>
      <c r="I13" s="36" t="n">
        <f>4070</f>
        <v>4070.0</v>
      </c>
      <c r="J13" s="21" t="n">
        <f>2351777670</f>
        <v>2.35177767E9</v>
      </c>
      <c r="K13" s="36" t="n">
        <f>1520978670</f>
        <v>1.52097867E9</v>
      </c>
      <c r="L13" s="21" t="n">
        <f>9220395590</f>
        <v>9.22039559E9</v>
      </c>
      <c r="M13" s="36" t="n">
        <f>8183945590</f>
        <v>8.18394559E9</v>
      </c>
      <c r="N13" s="21" t="n">
        <f>11572173260</f>
        <v>1.157217326E10</v>
      </c>
      <c r="O13" s="36" t="n">
        <f>9704924260</f>
        <v>9.70492426E9</v>
      </c>
    </row>
    <row r="14" spans="1:15" ht="24.9" customHeight="1">
      <c r="A14" s="38"/>
      <c r="B14" s="62"/>
      <c r="C14" s="20" t="s">
        <v>17</v>
      </c>
      <c r="D14" s="21" t="n">
        <f>14182</f>
        <v>14182.0</v>
      </c>
      <c r="E14" s="36" t="n">
        <f>11825</f>
        <v>11825.0</v>
      </c>
      <c r="F14" s="21" t="n">
        <f>7369</f>
        <v>7369.0</v>
      </c>
      <c r="G14" s="36" t="n">
        <f>5527</f>
        <v>5527.0</v>
      </c>
      <c r="H14" s="21" t="n">
        <f>21551</f>
        <v>21551.0</v>
      </c>
      <c r="I14" s="36" t="n">
        <f>17352</f>
        <v>17352.0</v>
      </c>
      <c r="J14" s="21" t="n">
        <f>11477568312</f>
        <v>1.1477568312E10</v>
      </c>
      <c r="K14" s="36" t="n">
        <f>10572802312</f>
        <v>1.0572802312E10</v>
      </c>
      <c r="L14" s="21" t="n">
        <f>8257380150</f>
        <v>8.25738015E9</v>
      </c>
      <c r="M14" s="36" t="n">
        <f>7504639150</f>
        <v>7.50463915E9</v>
      </c>
      <c r="N14" s="21" t="n">
        <f>19734948462</f>
        <v>1.9734948462E10</v>
      </c>
      <c r="O14" s="36" t="n">
        <f>18077441462</f>
        <v>1.8077441462E10</v>
      </c>
    </row>
    <row r="15" spans="1:15" ht="24.9" customHeight="1">
      <c r="A15" s="38"/>
      <c r="B15" s="62"/>
      <c r="C15" s="24" t="s">
        <v>18</v>
      </c>
      <c r="D15" s="25" t="n">
        <f>22379</f>
        <v>22379.0</v>
      </c>
      <c r="E15" s="37" t="n">
        <f>17264</f>
        <v>17264.0</v>
      </c>
      <c r="F15" s="25" t="n">
        <f>15789</f>
        <v>15789.0</v>
      </c>
      <c r="G15" s="37" t="n">
        <f>10818</f>
        <v>10818.0</v>
      </c>
      <c r="H15" s="25" t="n">
        <f>38168</f>
        <v>38168.0</v>
      </c>
      <c r="I15" s="37" t="n">
        <f>28082</f>
        <v>28082.0</v>
      </c>
      <c r="J15" s="25" t="n">
        <f>23906302292</f>
        <v>2.3906302292E10</v>
      </c>
      <c r="K15" s="37" t="n">
        <f>21886071292</f>
        <v>2.1886071292E10</v>
      </c>
      <c r="L15" s="25" t="n">
        <f>33370772470</f>
        <v>3.337077247E10</v>
      </c>
      <c r="M15" s="37" t="n">
        <f>31313143470</f>
        <v>3.131314347E10</v>
      </c>
      <c r="N15" s="25" t="n">
        <f>57277074762</f>
        <v>5.7277074762E10</v>
      </c>
      <c r="O15" s="37" t="n">
        <f>53199214762</f>
        <v>5.3199214762E10</v>
      </c>
    </row>
    <row r="16" spans="1:15" ht="24.9" customHeight="1">
      <c r="A16" s="38"/>
      <c r="B16" s="61" t="s">
        <v>105</v>
      </c>
      <c r="C16" s="16" t="s">
        <v>15</v>
      </c>
      <c r="D16" s="17" t="n">
        <f>11287</f>
        <v>11287.0</v>
      </c>
      <c r="E16" s="35" t="n">
        <f>1780</f>
        <v>1780.0</v>
      </c>
      <c r="F16" s="17" t="n">
        <f>6330</f>
        <v>6330.0</v>
      </c>
      <c r="G16" s="35" t="n">
        <f>740</f>
        <v>740.0</v>
      </c>
      <c r="H16" s="17" t="n">
        <f>17617</f>
        <v>17617.0</v>
      </c>
      <c r="I16" s="35" t="n">
        <f>2520</f>
        <v>2520.0</v>
      </c>
      <c r="J16" s="17" t="n">
        <f>223621920</f>
        <v>2.2362192E8</v>
      </c>
      <c r="K16" s="35" t="n">
        <f>8383820</f>
        <v>8383820.0</v>
      </c>
      <c r="L16" s="17" t="n">
        <f>193384490</f>
        <v>1.9338449E8</v>
      </c>
      <c r="M16" s="35" t="n">
        <f>2774390</f>
        <v>2774390.0</v>
      </c>
      <c r="N16" s="17" t="n">
        <f>417006410</f>
        <v>4.1700641E8</v>
      </c>
      <c r="O16" s="35" t="n">
        <f>11158210</f>
        <v>1.115821E7</v>
      </c>
    </row>
    <row r="17" spans="1:15" ht="24.9" customHeight="1">
      <c r="A17" s="38"/>
      <c r="B17" s="62"/>
      <c r="C17" s="20" t="s">
        <v>16</v>
      </c>
      <c r="D17" s="21" t="n">
        <f>10132</f>
        <v>10132.0</v>
      </c>
      <c r="E17" s="36" t="n">
        <f>1330</f>
        <v>1330.0</v>
      </c>
      <c r="F17" s="21" t="n">
        <f>5649</f>
        <v>5649.0</v>
      </c>
      <c r="G17" s="36" t="n">
        <f>260</f>
        <v>260.0</v>
      </c>
      <c r="H17" s="21" t="n">
        <f>15781</f>
        <v>15781.0</v>
      </c>
      <c r="I17" s="36" t="n">
        <f>1590</f>
        <v>1590.0</v>
      </c>
      <c r="J17" s="21" t="n">
        <f>169881710</f>
        <v>1.6988171E8</v>
      </c>
      <c r="K17" s="36" t="n">
        <f>4053310</f>
        <v>4053310.0</v>
      </c>
      <c r="L17" s="21" t="n">
        <f>166440780</f>
        <v>1.6644078E8</v>
      </c>
      <c r="M17" s="36" t="n">
        <f>3458580</f>
        <v>3458580.0</v>
      </c>
      <c r="N17" s="21" t="n">
        <f>336322490</f>
        <v>3.3632249E8</v>
      </c>
      <c r="O17" s="36" t="n">
        <f>7511890</f>
        <v>7511890.0</v>
      </c>
    </row>
    <row r="18" spans="1:15" ht="24.9" customHeight="1">
      <c r="A18" s="38"/>
      <c r="B18" s="62"/>
      <c r="C18" s="20" t="s">
        <v>17</v>
      </c>
      <c r="D18" s="21" t="n">
        <f>18281</f>
        <v>18281.0</v>
      </c>
      <c r="E18" s="36" t="n">
        <f>2430</f>
        <v>2430.0</v>
      </c>
      <c r="F18" s="21" t="n">
        <f>11841</f>
        <v>11841.0</v>
      </c>
      <c r="G18" s="36" t="n">
        <f>820</f>
        <v>820.0</v>
      </c>
      <c r="H18" s="21" t="n">
        <f>30122</f>
        <v>30122.0</v>
      </c>
      <c r="I18" s="36" t="n">
        <f>3250</f>
        <v>3250.0</v>
      </c>
      <c r="J18" s="21" t="n">
        <f>324107770</f>
        <v>3.2410777E8</v>
      </c>
      <c r="K18" s="36" t="n">
        <f>5234570</f>
        <v>5234570.0</v>
      </c>
      <c r="L18" s="21" t="n">
        <f>255827050</f>
        <v>2.5582705E8</v>
      </c>
      <c r="M18" s="36" t="n">
        <f>2855050</f>
        <v>2855050.0</v>
      </c>
      <c r="N18" s="21" t="n">
        <f>579934820</f>
        <v>5.7993482E8</v>
      </c>
      <c r="O18" s="36" t="n">
        <f>8089620</f>
        <v>8089620.0</v>
      </c>
    </row>
    <row r="19" spans="1:15" ht="24.9" customHeight="1">
      <c r="A19" s="38"/>
      <c r="B19" s="62"/>
      <c r="C19" s="24" t="s">
        <v>18</v>
      </c>
      <c r="D19" s="25" t="n">
        <f>39700</f>
        <v>39700.0</v>
      </c>
      <c r="E19" s="37" t="n">
        <f>5540</f>
        <v>5540.0</v>
      </c>
      <c r="F19" s="25" t="n">
        <f>23820</f>
        <v>23820.0</v>
      </c>
      <c r="G19" s="37" t="n">
        <f>1820</f>
        <v>1820.0</v>
      </c>
      <c r="H19" s="25" t="n">
        <f>63520</f>
        <v>63520.0</v>
      </c>
      <c r="I19" s="37" t="n">
        <f>7360</f>
        <v>7360.0</v>
      </c>
      <c r="J19" s="25" t="n">
        <f>717611400</f>
        <v>7.176114E8</v>
      </c>
      <c r="K19" s="37" t="n">
        <f>17671700</f>
        <v>1.76717E7</v>
      </c>
      <c r="L19" s="25" t="n">
        <f>615652320</f>
        <v>6.1565232E8</v>
      </c>
      <c r="M19" s="37" t="n">
        <f>9088020</f>
        <v>9088020.0</v>
      </c>
      <c r="N19" s="25" t="n">
        <f>1333263720</f>
        <v>1.33326372E9</v>
      </c>
      <c r="O19" s="37" t="n">
        <f>26759720</f>
        <v>2.675972E7</v>
      </c>
    </row>
    <row r="20" spans="1:15" ht="24.9" customHeight="1">
      <c r="A20" s="38"/>
      <c r="B20" s="61" t="s">
        <v>106</v>
      </c>
      <c r="C20" s="16" t="s">
        <v>15</v>
      </c>
      <c r="D20" s="17" t="n">
        <f>46</f>
        <v>46.0</v>
      </c>
      <c r="E20" s="35" t="n">
        <f>46</f>
        <v>46.0</v>
      </c>
      <c r="F20" s="17" t="n">
        <f>417</f>
        <v>417.0</v>
      </c>
      <c r="G20" s="35" t="n">
        <f>417</f>
        <v>417.0</v>
      </c>
      <c r="H20" s="17" t="n">
        <f>463</f>
        <v>463.0</v>
      </c>
      <c r="I20" s="35" t="n">
        <f>463</f>
        <v>463.0</v>
      </c>
      <c r="J20" s="17" t="n">
        <f>24254792</f>
        <v>2.4254792E7</v>
      </c>
      <c r="K20" s="35" t="n">
        <f>24254792</f>
        <v>2.4254792E7</v>
      </c>
      <c r="L20" s="17" t="n">
        <f>213420600</f>
        <v>2.134206E8</v>
      </c>
      <c r="M20" s="35" t="n">
        <f>213420600</f>
        <v>2.134206E8</v>
      </c>
      <c r="N20" s="17" t="n">
        <f>237675392</f>
        <v>2.37675392E8</v>
      </c>
      <c r="O20" s="35" t="n">
        <f>237675392</f>
        <v>2.37675392E8</v>
      </c>
    </row>
    <row r="21" spans="1:15" ht="24.9" customHeight="1">
      <c r="A21" s="38"/>
      <c r="B21" s="62"/>
      <c r="C21" s="20" t="s">
        <v>16</v>
      </c>
      <c r="D21" s="21" t="n">
        <f>342</f>
        <v>342.0</v>
      </c>
      <c r="E21" s="36" t="n">
        <f>342</f>
        <v>342.0</v>
      </c>
      <c r="F21" s="21" t="n">
        <f>121</f>
        <v>121.0</v>
      </c>
      <c r="G21" s="36" t="n">
        <f>121</f>
        <v>121.0</v>
      </c>
      <c r="H21" s="21" t="n">
        <f>463</f>
        <v>463.0</v>
      </c>
      <c r="I21" s="36" t="n">
        <f>463</f>
        <v>463.0</v>
      </c>
      <c r="J21" s="21" t="n">
        <f>226800000</f>
        <v>2.268E8</v>
      </c>
      <c r="K21" s="36" t="n">
        <f>226800000</f>
        <v>2.268E8</v>
      </c>
      <c r="L21" s="21" t="n">
        <f>62920000</f>
        <v>6.292E7</v>
      </c>
      <c r="M21" s="36" t="n">
        <f>62920000</f>
        <v>6.292E7</v>
      </c>
      <c r="N21" s="21" t="n">
        <f>289720000</f>
        <v>2.8972E8</v>
      </c>
      <c r="O21" s="36" t="n">
        <f>289720000</f>
        <v>2.8972E8</v>
      </c>
    </row>
    <row r="22" spans="1:15" ht="24.9" customHeight="1">
      <c r="A22" s="38"/>
      <c r="B22" s="62"/>
      <c r="C22" s="20" t="s">
        <v>17</v>
      </c>
      <c r="D22" s="21" t="n">
        <f>8064</f>
        <v>8064.0</v>
      </c>
      <c r="E22" s="36" t="n">
        <f>8064</f>
        <v>8064.0</v>
      </c>
      <c r="F22" s="21" t="n">
        <f>214</f>
        <v>214.0</v>
      </c>
      <c r="G22" s="36" t="n">
        <f>214</f>
        <v>214.0</v>
      </c>
      <c r="H22" s="21" t="n">
        <f>8278</f>
        <v>8278.0</v>
      </c>
      <c r="I22" s="36" t="n">
        <f>8278</f>
        <v>8278.0</v>
      </c>
      <c r="J22" s="21" t="n">
        <f>3395705000</f>
        <v>3.395705E9</v>
      </c>
      <c r="K22" s="36" t="n">
        <f>3395705000</f>
        <v>3.395705E9</v>
      </c>
      <c r="L22" s="21" t="n">
        <f>295634000</f>
        <v>2.95634E8</v>
      </c>
      <c r="M22" s="36" t="n">
        <f>295634000</f>
        <v>2.95634E8</v>
      </c>
      <c r="N22" s="21" t="n">
        <f>3691339000</f>
        <v>3.691339E9</v>
      </c>
      <c r="O22" s="36" t="n">
        <f>3691339000</f>
        <v>3.691339E9</v>
      </c>
    </row>
    <row r="23" spans="1:15" ht="24.9" customHeight="1">
      <c r="A23" s="38"/>
      <c r="B23" s="62"/>
      <c r="C23" s="24" t="s">
        <v>18</v>
      </c>
      <c r="D23" s="25" t="n">
        <f>8452</f>
        <v>8452.0</v>
      </c>
      <c r="E23" s="37" t="n">
        <f>8452</f>
        <v>8452.0</v>
      </c>
      <c r="F23" s="25" t="n">
        <f>752</f>
        <v>752.0</v>
      </c>
      <c r="G23" s="37" t="n">
        <f>752</f>
        <v>752.0</v>
      </c>
      <c r="H23" s="25" t="n">
        <f>9204</f>
        <v>9204.0</v>
      </c>
      <c r="I23" s="37" t="n">
        <f>9204</f>
        <v>9204.0</v>
      </c>
      <c r="J23" s="25" t="n">
        <f>3646759792</f>
        <v>3.646759792E9</v>
      </c>
      <c r="K23" s="37" t="n">
        <f>3646759792</f>
        <v>3.646759792E9</v>
      </c>
      <c r="L23" s="25" t="n">
        <f>571974600</f>
        <v>5.719746E8</v>
      </c>
      <c r="M23" s="37" t="n">
        <f>571974600</f>
        <v>5.719746E8</v>
      </c>
      <c r="N23" s="25" t="n">
        <f>4218734392</f>
        <v>4.218734392E9</v>
      </c>
      <c r="O23" s="37" t="n">
        <f>4218734392</f>
        <v>4.218734392E9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19</f>
        <v>19.0</v>
      </c>
      <c r="E37" s="22" t="n">
        <f>0</f>
        <v>0.0</v>
      </c>
      <c r="F37" s="21" t="n">
        <f>35</f>
        <v>35.0</v>
      </c>
      <c r="G37" s="22" t="n">
        <f>0</f>
        <v>0.0</v>
      </c>
      <c r="H37" s="21" t="n">
        <f>54</f>
        <v>54.0</v>
      </c>
      <c r="I37" s="22" t="n">
        <f>0</f>
        <v>0.0</v>
      </c>
      <c r="J37" s="21" t="n">
        <f>1230000</f>
        <v>1230000.0</v>
      </c>
      <c r="K37" s="22" t="n">
        <f>0</f>
        <v>0.0</v>
      </c>
      <c r="L37" s="21" t="n">
        <f>3590000</f>
        <v>3590000.0</v>
      </c>
      <c r="M37" s="22" t="n">
        <f>0</f>
        <v>0.0</v>
      </c>
      <c r="N37" s="21" t="n">
        <f>4820000</f>
        <v>4820000.0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65</f>
        <v>65.0</v>
      </c>
      <c r="E38" s="36" t="n">
        <f>0</f>
        <v>0.0</v>
      </c>
      <c r="F38" s="21" t="n">
        <f>50</f>
        <v>50.0</v>
      </c>
      <c r="G38" s="36" t="n">
        <f>0</f>
        <v>0.0</v>
      </c>
      <c r="H38" s="21" t="n">
        <f>115</f>
        <v>115.0</v>
      </c>
      <c r="I38" s="36" t="n">
        <f>0</f>
        <v>0.0</v>
      </c>
      <c r="J38" s="21" t="n">
        <f>5800000</f>
        <v>5800000.0</v>
      </c>
      <c r="K38" s="36" t="n">
        <f>0</f>
        <v>0.0</v>
      </c>
      <c r="L38" s="21" t="n">
        <f>4150000</f>
        <v>4150000.0</v>
      </c>
      <c r="M38" s="36" t="n">
        <f>0</f>
        <v>0.0</v>
      </c>
      <c r="N38" s="21" t="n">
        <f>9950000</f>
        <v>9950000.0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84</f>
        <v>84.0</v>
      </c>
      <c r="E39" s="37" t="n">
        <f>0</f>
        <v>0.0</v>
      </c>
      <c r="F39" s="25" t="n">
        <f>85</f>
        <v>85.0</v>
      </c>
      <c r="G39" s="37" t="n">
        <f>0</f>
        <v>0.0</v>
      </c>
      <c r="H39" s="25" t="n">
        <f>169</f>
        <v>169.0</v>
      </c>
      <c r="I39" s="37" t="n">
        <f>0</f>
        <v>0.0</v>
      </c>
      <c r="J39" s="25" t="n">
        <f>7030000</f>
        <v>7030000.0</v>
      </c>
      <c r="K39" s="37" t="n">
        <f>0</f>
        <v>0.0</v>
      </c>
      <c r="L39" s="25" t="n">
        <f>7740000</f>
        <v>7740000.0</v>
      </c>
      <c r="M39" s="37" t="n">
        <f>0</f>
        <v>0.0</v>
      </c>
      <c r="N39" s="25" t="n">
        <f>14770000</f>
        <v>1.477E7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579</f>
        <v>579.0</v>
      </c>
      <c r="E41" s="36" t="n">
        <f>0</f>
        <v>0.0</v>
      </c>
      <c r="F41" s="21" t="n">
        <f>622</f>
        <v>622.0</v>
      </c>
      <c r="G41" s="36" t="n">
        <f>0</f>
        <v>0.0</v>
      </c>
      <c r="H41" s="21" t="n">
        <f>1201</f>
        <v>1201.0</v>
      </c>
      <c r="I41" s="36" t="n">
        <f>0</f>
        <v>0.0</v>
      </c>
      <c r="J41" s="21" t="n">
        <f>4903820</f>
        <v>4903820.0</v>
      </c>
      <c r="K41" s="36" t="n">
        <f>0</f>
        <v>0.0</v>
      </c>
      <c r="L41" s="21" t="n">
        <f>9339110</f>
        <v>9339110.0</v>
      </c>
      <c r="M41" s="36" t="n">
        <f>0</f>
        <v>0.0</v>
      </c>
      <c r="N41" s="21" t="n">
        <f>14242930</f>
        <v>1.424293E7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3926</f>
        <v>3926.0</v>
      </c>
      <c r="E42" s="36" t="n">
        <f>0</f>
        <v>0.0</v>
      </c>
      <c r="F42" s="21" t="n">
        <f>4399</f>
        <v>4399.0</v>
      </c>
      <c r="G42" s="36" t="n">
        <f>600</f>
        <v>600.0</v>
      </c>
      <c r="H42" s="21" t="n">
        <f>8325</f>
        <v>8325.0</v>
      </c>
      <c r="I42" s="36" t="n">
        <f>600</f>
        <v>600.0</v>
      </c>
      <c r="J42" s="21" t="n">
        <f>19637200</f>
        <v>1.96372E7</v>
      </c>
      <c r="K42" s="36" t="n">
        <f>0</f>
        <v>0.0</v>
      </c>
      <c r="L42" s="21" t="n">
        <f>87476640</f>
        <v>8.747664E7</v>
      </c>
      <c r="M42" s="36" t="n">
        <f>60120000</f>
        <v>6.012E7</v>
      </c>
      <c r="N42" s="21" t="n">
        <f>107113840</f>
        <v>1.0711384E8</v>
      </c>
      <c r="O42" s="36" t="n">
        <f>60120000</f>
        <v>6.012E7</v>
      </c>
    </row>
    <row r="43" spans="1:15" ht="24.9" customHeight="1">
      <c r="A43" s="38"/>
      <c r="B43" s="62"/>
      <c r="C43" s="24" t="s">
        <v>18</v>
      </c>
      <c r="D43" s="25" t="n">
        <f>4505</f>
        <v>4505.0</v>
      </c>
      <c r="E43" s="37" t="n">
        <f>0</f>
        <v>0.0</v>
      </c>
      <c r="F43" s="25" t="n">
        <f>5021</f>
        <v>5021.0</v>
      </c>
      <c r="G43" s="37" t="n">
        <f>600</f>
        <v>600.0</v>
      </c>
      <c r="H43" s="25" t="n">
        <f>9526</f>
        <v>9526.0</v>
      </c>
      <c r="I43" s="37" t="n">
        <f>600</f>
        <v>600.0</v>
      </c>
      <c r="J43" s="25" t="n">
        <f>24541020</f>
        <v>2.454102E7</v>
      </c>
      <c r="K43" s="37" t="n">
        <f>0</f>
        <v>0.0</v>
      </c>
      <c r="L43" s="25" t="n">
        <f>96815750</f>
        <v>9.681575E7</v>
      </c>
      <c r="M43" s="37" t="n">
        <f>60120000</f>
        <v>6.012E7</v>
      </c>
      <c r="N43" s="25" t="n">
        <f>121356770</f>
        <v>1.2135677E8</v>
      </c>
      <c r="O43" s="37" t="n">
        <f>60120000</f>
        <v>6.012E7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