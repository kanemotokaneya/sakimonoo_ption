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<sst xmlns="http://schemas.openxmlformats.org/spreadsheetml/2006/main" count="528" uniqueCount="129">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</sst>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DATE(2026,06,29)</f>
        <v>46202.0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DATE(2026,06,29)</f>
        <v>46202.0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992715.0</f>
        <v>992715.0</v>
      </c>
      <c r="E12" s="18" t="n">
        <f>55675.0</f>
        <v>55675.0</v>
      </c>
      <c r="F12" s="19" t="n">
        <f>1.0</f>
        <v>1.0</v>
      </c>
      <c r="G12" s="17" t="n">
        <f>6072161354437.0</f>
        <v>6.072161354437E12</v>
      </c>
      <c r="H12" s="18" t="n">
        <f>591387974212.0</f>
        <v>5.91387974212E11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660151.0</f>
        <v>660151.0</v>
      </c>
      <c r="E13" s="22" t="n">
        <f>24210.0</f>
        <v>24210.0</v>
      </c>
      <c r="F13" s="23" t="n">
        <f>1.0</f>
        <v>1.0</v>
      </c>
      <c r="G13" s="21" t="n">
        <f>5308130945820.0</f>
        <v>5.30813094582E12</v>
      </c>
      <c r="H13" s="22" t="n">
        <f>323243452270.0</f>
        <v>3.2324345227E11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547129.0</f>
        <v>547129.0</v>
      </c>
      <c r="E14" s="22" t="n">
        <f>37667.0</f>
        <v>37667.0</v>
      </c>
      <c r="F14" s="23" t="n">
        <f>1.0</f>
        <v>1.0</v>
      </c>
      <c r="G14" s="21" t="n">
        <f>5663279121308.0</f>
        <v>5.663279121308E12</v>
      </c>
      <c r="H14" s="22" t="n">
        <f>908284878658.0</f>
        <v>9.08284878658E11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2199995.0</f>
        <v>2199995.0</v>
      </c>
      <c r="E15" s="26" t="n">
        <f>117552.0</f>
        <v>117552.0</v>
      </c>
      <c r="F15" s="27" t="n">
        <f>1.0</f>
        <v>1.0</v>
      </c>
      <c r="G15" s="25" t="n">
        <f>17043571421565.0</f>
        <v>1.7043571421565E13</v>
      </c>
      <c r="H15" s="26" t="n">
        <f>1822916305140.0</f>
        <v>1.82291630514E12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11250.0</f>
        <v>11250.0</v>
      </c>
      <c r="E16" s="18" t="n">
        <f>146.0</f>
        <v>146.0</v>
      </c>
      <c r="F16" s="19" t="n">
        <f>0.011</f>
        <v>0.011</v>
      </c>
      <c r="G16" s="17" t="n">
        <f>1131071070625.0</f>
        <v>1.131071070625E12</v>
      </c>
      <c r="H16" s="18" t="n">
        <f>18685210000.0</f>
        <v>1.868521E10</v>
      </c>
      <c r="I16" s="19" t="n">
        <f>0.186</f>
        <v>0.186</v>
      </c>
    </row>
    <row r="17" spans="1:9" ht="24.9" customHeight="1">
      <c r="A17" s="41"/>
      <c r="B17" s="39"/>
      <c r="C17" s="20" t="s">
        <v>16</v>
      </c>
      <c r="D17" s="21" t="n">
        <f>12035.0</f>
        <v>12035.0</v>
      </c>
      <c r="E17" s="22" t="n">
        <f>629.0</f>
        <v>629.0</v>
      </c>
      <c r="F17" s="23" t="n">
        <f>0.018</f>
        <v>0.018</v>
      </c>
      <c r="G17" s="21" t="n">
        <f>1327378131250.0</f>
        <v>1.32737813125E12</v>
      </c>
      <c r="H17" s="22" t="n">
        <f>80495790000.0</f>
        <v>8.049579E10</v>
      </c>
      <c r="I17" s="23" t="n">
        <f>0.25</f>
        <v>0.25</v>
      </c>
    </row>
    <row r="18" spans="1:9" ht="24.9" customHeight="1">
      <c r="A18" s="41"/>
      <c r="B18" s="39"/>
      <c r="C18" s="20" t="s">
        <v>17</v>
      </c>
      <c r="D18" s="21" t="n">
        <f>14990.0</f>
        <v>14990.0</v>
      </c>
      <c r="E18" s="22" t="n">
        <f>559.0</f>
        <v>559.0</v>
      </c>
      <c r="F18" s="23" t="n">
        <f>0.027</f>
        <v>0.027</v>
      </c>
      <c r="G18" s="21" t="n">
        <f>1370367219250.0</f>
        <v>1.37036721925E12</v>
      </c>
      <c r="H18" s="22" t="n">
        <f>71526670000.0</f>
        <v>7.152667E10</v>
      </c>
      <c r="I18" s="23" t="n">
        <f>0.242</f>
        <v>0.242</v>
      </c>
    </row>
    <row r="19" spans="1:9" ht="24.9" customHeight="1">
      <c r="A19" s="41"/>
      <c r="B19" s="39"/>
      <c r="C19" s="24" t="s">
        <v>18</v>
      </c>
      <c r="D19" s="25" t="n">
        <f>38275.0</f>
        <v>38275.0</v>
      </c>
      <c r="E19" s="26" t="n">
        <f>1334.0</f>
        <v>1334.0</v>
      </c>
      <c r="F19" s="27" t="n">
        <f>0.017</f>
        <v>0.017</v>
      </c>
      <c r="G19" s="25" t="n">
        <f>3828816421125.0</f>
        <v>3.828816421125E12</v>
      </c>
      <c r="H19" s="26" t="n">
        <f>170707670000.0</f>
        <v>1.7070767E11</v>
      </c>
      <c r="I19" s="27" t="n">
        <f>0.225</f>
        <v>0.225</v>
      </c>
    </row>
    <row r="20" spans="1:9" ht="24.9" customHeight="1">
      <c r="A20" s="41"/>
      <c r="B20" s="39" t="s">
        <v>21</v>
      </c>
      <c r="C20" s="16" t="s">
        <v>15</v>
      </c>
      <c r="D20" s="17" t="n">
        <f>967251.0</f>
        <v>967251.0</v>
      </c>
      <c r="E20" s="18" t="n">
        <f>55342.0</f>
        <v>55342.0</v>
      </c>
      <c r="F20" s="19" t="n">
        <f>0.974</f>
        <v>0.974</v>
      </c>
      <c r="G20" s="17" t="n">
        <f>4777908491612.0</f>
        <v>4.777908491612E12</v>
      </c>
      <c r="H20" s="18" t="n">
        <f>572057620812.0</f>
        <v>5.72057620812E11</v>
      </c>
      <c r="I20" s="19" t="n">
        <f>0.787</f>
        <v>0.787</v>
      </c>
    </row>
    <row r="21" spans="1:9" ht="24.9" customHeight="1">
      <c r="A21" s="41"/>
      <c r="B21" s="39"/>
      <c r="C21" s="20" t="s">
        <v>16</v>
      </c>
      <c r="D21" s="21" t="n">
        <f>639660.0</f>
        <v>639660.0</v>
      </c>
      <c r="E21" s="22" t="n">
        <f>23559.0</f>
        <v>23559.0</v>
      </c>
      <c r="F21" s="23" t="n">
        <f>0.969</f>
        <v>0.969</v>
      </c>
      <c r="G21" s="21" t="n">
        <f>3898687210308.0</f>
        <v>3.898687210308E12</v>
      </c>
      <c r="H21" s="22" t="n">
        <f>242708534558.0</f>
        <v>2.42708534558E11</v>
      </c>
      <c r="I21" s="23" t="n">
        <f>0.734</f>
        <v>0.734</v>
      </c>
    </row>
    <row r="22" spans="1:9" ht="24.9" customHeight="1">
      <c r="A22" s="41"/>
      <c r="B22" s="39"/>
      <c r="C22" s="20" t="s">
        <v>17</v>
      </c>
      <c r="D22" s="21" t="n">
        <f>524184.0</f>
        <v>524184.0</v>
      </c>
      <c r="E22" s="22" t="n">
        <f>36968.0</f>
        <v>36968.0</v>
      </c>
      <c r="F22" s="23" t="n">
        <f>0.958</f>
        <v>0.958</v>
      </c>
      <c r="G22" s="21" t="n">
        <f>4237539857078.0</f>
        <v>4.237539857078E12</v>
      </c>
      <c r="H22" s="22" t="n">
        <f>836510631778.0</f>
        <v>8.36510631778E11</v>
      </c>
      <c r="I22" s="23" t="n">
        <f>0.748</f>
        <v>0.748</v>
      </c>
    </row>
    <row r="23" spans="1:9" ht="24.9" customHeight="1">
      <c r="A23" s="41"/>
      <c r="B23" s="39"/>
      <c r="C23" s="24" t="s">
        <v>18</v>
      </c>
      <c r="D23" s="25" t="n">
        <f>2131095.0</f>
        <v>2131095.0</v>
      </c>
      <c r="E23" s="26" t="n">
        <f>115869.0</f>
        <v>115869.0</v>
      </c>
      <c r="F23" s="27" t="n">
        <f>0.969</f>
        <v>0.969</v>
      </c>
      <c r="G23" s="25" t="n">
        <f>12914135558998.0</f>
        <v>1.2914135558998E13</v>
      </c>
      <c r="H23" s="26" t="n">
        <f>1651276787148.0</f>
        <v>1.651276787148E12</v>
      </c>
      <c r="I23" s="27" t="n">
        <f>0.758</f>
        <v>0.758</v>
      </c>
    </row>
    <row r="24" spans="1:9" ht="24.9" customHeight="1">
      <c r="A24" s="41"/>
      <c r="B24" s="39" t="s">
        <v>22</v>
      </c>
      <c r="C24" s="16" t="s">
        <v>15</v>
      </c>
      <c r="D24" s="17" t="n">
        <f>13606.0</f>
        <v>13606.0</v>
      </c>
      <c r="E24" s="18" t="n">
        <f>0.0</f>
        <v>0.0</v>
      </c>
      <c r="F24" s="19" t="n">
        <f>0.014</f>
        <v>0.014</v>
      </c>
      <c r="G24" s="17" t="n">
        <f>161078291800.0</f>
        <v>1.610782918E11</v>
      </c>
      <c r="H24" s="18" t="n">
        <f>0.0</f>
        <v>0.0</v>
      </c>
      <c r="I24" s="19" t="n">
        <f>0.027</f>
        <v>0.027</v>
      </c>
    </row>
    <row r="25" spans="1:9" ht="24.9" customHeight="1">
      <c r="A25" s="41"/>
      <c r="B25" s="39"/>
      <c r="C25" s="20" t="s">
        <v>16</v>
      </c>
      <c r="D25" s="21" t="n">
        <f>8301.0</f>
        <v>8301.0</v>
      </c>
      <c r="E25" s="22" t="n">
        <f>4.0</f>
        <v>4.0</v>
      </c>
      <c r="F25" s="23" t="n">
        <f>0.013</f>
        <v>0.013</v>
      </c>
      <c r="G25" s="21" t="n">
        <f>81565580550.0</f>
        <v>8.156558055E10</v>
      </c>
      <c r="H25" s="22" t="n">
        <f>16214000.0</f>
        <v>1.6214E7</v>
      </c>
      <c r="I25" s="23" t="n">
        <f>0.015</f>
        <v>0.015</v>
      </c>
    </row>
    <row r="26" spans="1:9" ht="24.9" customHeight="1">
      <c r="A26" s="41"/>
      <c r="B26" s="39"/>
      <c r="C26" s="20" t="s">
        <v>17</v>
      </c>
      <c r="D26" s="21" t="n">
        <f>6973.0</f>
        <v>6973.0</v>
      </c>
      <c r="E26" s="22" t="n">
        <f>31.0</f>
        <v>31.0</v>
      </c>
      <c r="F26" s="23" t="n">
        <f>0.013</f>
        <v>0.013</v>
      </c>
      <c r="G26" s="21" t="n">
        <f>52198825100.0</f>
        <v>5.21988251E10</v>
      </c>
      <c r="H26" s="22" t="n">
        <f>124394000.0</f>
        <v>1.24394E8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28880.0</f>
        <v>28880.0</v>
      </c>
      <c r="E27" s="26" t="n">
        <f>35.0</f>
        <v>35.0</v>
      </c>
      <c r="F27" s="27" t="n">
        <f>0.013</f>
        <v>0.013</v>
      </c>
      <c r="G27" s="25" t="n">
        <f>294842697450.0</f>
        <v>2.9484269745E11</v>
      </c>
      <c r="H27" s="26" t="n">
        <f>140608000.0</f>
        <v>1.40608E8</v>
      </c>
      <c r="I27" s="27" t="n">
        <f>0.017</f>
        <v>0.017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608.0</f>
        <v>608.0</v>
      </c>
      <c r="E28" s="18" t="n">
        <f>187.0</f>
        <v>187.0</v>
      </c>
      <c r="F28" s="19" t="n">
        <f>0.001</f>
        <v>0.001</v>
      </c>
      <c r="G28" s="17" t="n">
        <f>2103500400.0</f>
        <v>2.1035004E9</v>
      </c>
      <c r="H28" s="18" t="n">
        <f>645143400.0</f>
        <v>6.451434E8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155.0</f>
        <v>155.0</v>
      </c>
      <c r="E29" s="22" t="n">
        <f>18.0</f>
        <v>18.0</v>
      </c>
      <c r="F29" s="23" t="n">
        <f>0.0</f>
        <v>0.0</v>
      </c>
      <c r="G29" s="21" t="n">
        <f>500023712.0</f>
        <v>5.00023712E8</v>
      </c>
      <c r="H29" s="22" t="n">
        <f>22913712.0</f>
        <v>2.2913712E7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982.0</f>
        <v>982.0</v>
      </c>
      <c r="E30" s="22" t="n">
        <f>109.0</f>
        <v>109.0</v>
      </c>
      <c r="F30" s="23" t="n">
        <f>0.002</f>
        <v>0.002</v>
      </c>
      <c r="G30" s="21" t="n">
        <f>3173219880.0</f>
        <v>3.17321988E9</v>
      </c>
      <c r="H30" s="22" t="n">
        <f>123182880.0</f>
        <v>1.2318288E8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1745.0</f>
        <v>1745.0</v>
      </c>
      <c r="E31" s="26" t="n">
        <f>314.0</f>
        <v>314.0</v>
      </c>
      <c r="F31" s="27" t="n">
        <f>0.001</f>
        <v>0.001</v>
      </c>
      <c r="G31" s="25" t="n">
        <f>5776743992.0</f>
        <v>5.776743992E9</v>
      </c>
      <c r="H31" s="26" t="n">
        <f>791239992.0</f>
        <v>7.91239992E8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46202.0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46202.0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23644</f>
        <v>23644.0</v>
      </c>
      <c r="E11" s="18" t="n">
        <f>6876</f>
        <v>6876.0</v>
      </c>
      <c r="F11" s="19" t="n">
        <f>1</f>
        <v>1.0</v>
      </c>
      <c r="G11" s="17" t="n">
        <f>20143043330</f>
        <v>2.014304333E10</v>
      </c>
      <c r="H11" s="18" t="n">
        <f>17583874330</f>
        <v>1.758387433E10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34745</f>
        <v>34745.0</v>
      </c>
      <c r="E12" s="22" t="n">
        <f>3672</f>
        <v>3672.0</v>
      </c>
      <c r="F12" s="23" t="n">
        <f>1</f>
        <v>1.0</v>
      </c>
      <c r="G12" s="21" t="n">
        <f>6566249796</f>
        <v>6.566249796E9</v>
      </c>
      <c r="H12" s="22" t="n">
        <f>3142589196</f>
        <v>3.142589196E9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41070</f>
        <v>41070.0</v>
      </c>
      <c r="E13" s="22" t="n">
        <f>13300</f>
        <v>13300.0</v>
      </c>
      <c r="F13" s="23" t="n">
        <f>1</f>
        <v>1.0</v>
      </c>
      <c r="G13" s="21" t="n">
        <f>29117538086</f>
        <v>2.9117538086E10</v>
      </c>
      <c r="H13" s="22" t="n">
        <f>24698185257</f>
        <v>2.4698185257E10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99459</f>
        <v>99459.0</v>
      </c>
      <c r="E14" s="26" t="n">
        <f>23848</f>
        <v>23848.0</v>
      </c>
      <c r="F14" s="27" t="n">
        <f>1</f>
        <v>1.0</v>
      </c>
      <c r="G14" s="25" t="n">
        <f>55826831212</f>
        <v>5.5826831212E10</v>
      </c>
      <c r="H14" s="26" t="n">
        <f>45424648783</f>
        <v>4.5424648783E10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</f>
        <v>2.0</v>
      </c>
      <c r="E15" s="18" t="n">
        <f>0</f>
        <v>0.0</v>
      </c>
      <c r="F15" s="19" t="n">
        <f>0</f>
        <v>0.0</v>
      </c>
      <c r="G15" s="17" t="n">
        <f>370000</f>
        <v>370000.0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</f>
        <v>1.0</v>
      </c>
      <c r="E16" s="22" t="n">
        <f>0</f>
        <v>0.0</v>
      </c>
      <c r="F16" s="23" t="n">
        <f>0</f>
        <v>0.0</v>
      </c>
      <c r="G16" s="21" t="n">
        <f>20000</f>
        <v>20000.0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165</f>
        <v>165.0</v>
      </c>
      <c r="E17" s="22" t="n">
        <f>0</f>
        <v>0.0</v>
      </c>
      <c r="F17" s="23" t="n">
        <f>0.004</f>
        <v>0.004</v>
      </c>
      <c r="G17" s="21" t="n">
        <f>19370000</f>
        <v>1.937E7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168</f>
        <v>168.0</v>
      </c>
      <c r="E18" s="26" t="n">
        <f>0</f>
        <v>0.0</v>
      </c>
      <c r="F18" s="27" t="n">
        <f>0.002</f>
        <v>0.002</v>
      </c>
      <c r="G18" s="25" t="n">
        <f>19760000</f>
        <v>1.976E7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23642</f>
        <v>23642.0</v>
      </c>
      <c r="E19" s="18" t="n">
        <f>6876</f>
        <v>6876.0</v>
      </c>
      <c r="F19" s="19" t="n">
        <f>1</f>
        <v>1.0</v>
      </c>
      <c r="G19" s="17" t="n">
        <f>20142673330</f>
        <v>2.014267333E10</v>
      </c>
      <c r="H19" s="18" t="n">
        <f>17583874330</f>
        <v>1.758387433E10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24805</f>
        <v>24805.0</v>
      </c>
      <c r="E20" s="22" t="n">
        <f>3672</f>
        <v>3672.0</v>
      </c>
      <c r="F20" s="23" t="n">
        <f>0.714</f>
        <v>0.714</v>
      </c>
      <c r="G20" s="21" t="n">
        <f>6542799096</f>
        <v>6.542799096E9</v>
      </c>
      <c r="H20" s="22" t="n">
        <f>3142589196</f>
        <v>3.142589196E9</v>
      </c>
      <c r="I20" s="23" t="n">
        <f>0.996</f>
        <v>0.996</v>
      </c>
    </row>
    <row r="21" spans="1:9" ht="24.9" customHeight="1">
      <c r="A21" s="41"/>
      <c r="B21" s="39"/>
      <c r="C21" s="20" t="s">
        <v>17</v>
      </c>
      <c r="D21" s="21" t="n">
        <f>34487</f>
        <v>34487.0</v>
      </c>
      <c r="E21" s="22" t="n">
        <f>13300</f>
        <v>13300.0</v>
      </c>
      <c r="F21" s="23" t="n">
        <f>0.84</f>
        <v>0.84</v>
      </c>
      <c r="G21" s="21" t="n">
        <f>29078989757</f>
        <v>2.9078989757E10</v>
      </c>
      <c r="H21" s="22" t="n">
        <f>24698185257</f>
        <v>2.4698185257E10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82934</f>
        <v>82934.0</v>
      </c>
      <c r="E22" s="26" t="n">
        <f>23848</f>
        <v>23848.0</v>
      </c>
      <c r="F22" s="27" t="n">
        <f>0.834</f>
        <v>0.834</v>
      </c>
      <c r="G22" s="25" t="n">
        <f>55764462183</f>
        <v>5.5764462183E10</v>
      </c>
      <c r="H22" s="26" t="n">
        <f>45424648783</f>
        <v>4.5424648783E10</v>
      </c>
      <c r="I22" s="27" t="n">
        <f>0.999</f>
        <v>0.999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9939</f>
        <v>9939.0</v>
      </c>
      <c r="E24" s="22" t="n">
        <f>0</f>
        <v>0.0</v>
      </c>
      <c r="F24" s="23" t="n">
        <f>0.286</f>
        <v>0.286</v>
      </c>
      <c r="G24" s="21" t="n">
        <f>23430700</f>
        <v>2.34307E7</v>
      </c>
      <c r="H24" s="22" t="n">
        <f>0</f>
        <v>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6418</f>
        <v>6418.0</v>
      </c>
      <c r="E25" s="22" t="n">
        <f>0</f>
        <v>0.0</v>
      </c>
      <c r="F25" s="23" t="n">
        <f>0.156</f>
        <v>0.156</v>
      </c>
      <c r="G25" s="21" t="n">
        <f>19178329</f>
        <v>1.9178329E7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16357</f>
        <v>16357.0</v>
      </c>
      <c r="E26" s="26" t="n">
        <f>0</f>
        <v>0.0</v>
      </c>
      <c r="F26" s="27" t="n">
        <f>0.164</f>
        <v>0.164</v>
      </c>
      <c r="G26" s="25" t="n">
        <f>42609029</f>
        <v>4.2609029E7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46202.0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46202.0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17480.0</v>
      </c>
      <c r="F12" s="18" t="n">
        <f>1715</f>
        <v>1715.0</v>
      </c>
      <c r="G12" s="17" t="n">
        <v>1.21635661388E12</v>
      </c>
      <c r="H12" s="18" t="n">
        <f>119361066880</f>
        <v>1.1936106688E11</v>
      </c>
    </row>
    <row r="13" spans="1:8" ht="24.9" customHeight="1">
      <c r="A13" s="51"/>
      <c r="B13" s="57"/>
      <c r="C13" s="39"/>
      <c r="D13" s="20" t="s">
        <v>16</v>
      </c>
      <c r="E13" s="21" t="n">
        <v>14696.0</v>
      </c>
      <c r="F13" s="22" t="n">
        <f>1046</f>
        <v>1046.0</v>
      </c>
      <c r="G13" s="21" t="n">
        <v>1.015130122E12</v>
      </c>
      <c r="H13" s="22" t="n">
        <f>72337003000</f>
        <v>7.2337003E10</v>
      </c>
    </row>
    <row r="14" spans="1:8" ht="24.9" customHeight="1">
      <c r="A14" s="51"/>
      <c r="B14" s="57"/>
      <c r="C14" s="39"/>
      <c r="D14" s="20" t="s">
        <v>17</v>
      </c>
      <c r="E14" s="21" t="n">
        <v>18307.0</v>
      </c>
      <c r="F14" s="22" t="n">
        <f>5187</f>
        <v>5187.0</v>
      </c>
      <c r="G14" s="21" t="n">
        <v>1.268483333878E12</v>
      </c>
      <c r="H14" s="22" t="n">
        <f>360195157878</f>
        <v>3.60195157878E11</v>
      </c>
    </row>
    <row r="15" spans="1:8" ht="24.9" customHeight="1">
      <c r="A15" s="51"/>
      <c r="B15" s="57"/>
      <c r="C15" s="39"/>
      <c r="D15" s="24" t="s">
        <v>18</v>
      </c>
      <c r="E15" s="25" t="n">
        <v>50483.0</v>
      </c>
      <c r="F15" s="26" t="n">
        <f>7948</f>
        <v>7948.0</v>
      </c>
      <c r="G15" s="25" t="n">
        <v>3.499970069758E12</v>
      </c>
      <c r="H15" s="26" t="n">
        <f>551893227758</f>
        <v>5.51893227758E11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348476.0</v>
      </c>
      <c r="F16" s="18" t="n">
        <f>47888</f>
        <v>47888.0</v>
      </c>
      <c r="G16" s="17" t="n">
        <v>2.424160205934E12</v>
      </c>
      <c r="H16" s="18" t="n">
        <f>333092124934</f>
        <v>3.33092124934E11</v>
      </c>
    </row>
    <row r="17" spans="1:8" ht="24.9" customHeight="1">
      <c r="A17" s="51"/>
      <c r="B17" s="57"/>
      <c r="C17" s="39"/>
      <c r="D17" s="20" t="s">
        <v>16</v>
      </c>
      <c r="E17" s="21" t="n">
        <v>273244.0</v>
      </c>
      <c r="F17" s="22" t="n">
        <f>21290</f>
        <v>21290.0</v>
      </c>
      <c r="G17" s="21" t="n">
        <v>1.88691713358E12</v>
      </c>
      <c r="H17" s="22" t="n">
        <f>146974257080</f>
        <v>1.4697425708E11</v>
      </c>
    </row>
    <row r="18" spans="1:8" ht="24.9" customHeight="1">
      <c r="A18" s="51"/>
      <c r="B18" s="57"/>
      <c r="C18" s="39"/>
      <c r="D18" s="20" t="s">
        <v>17</v>
      </c>
      <c r="E18" s="21" t="n">
        <v>207561.0</v>
      </c>
      <c r="F18" s="22" t="n">
        <f>20280</f>
        <v>20280.0</v>
      </c>
      <c r="G18" s="21" t="n">
        <v>1.434235555494E12</v>
      </c>
      <c r="H18" s="22" t="n">
        <f>139985712494</f>
        <v>1.39985712494E11</v>
      </c>
    </row>
    <row r="19" spans="1:8" ht="24.9" customHeight="1">
      <c r="A19" s="51"/>
      <c r="B19" s="57"/>
      <c r="C19" s="39"/>
      <c r="D19" s="24" t="s">
        <v>18</v>
      </c>
      <c r="E19" s="25" t="n">
        <v>829281.0</v>
      </c>
      <c r="F19" s="26" t="n">
        <f>89458</f>
        <v>89458.0</v>
      </c>
      <c r="G19" s="25" t="n">
        <v>5.745312895008E12</v>
      </c>
      <c r="H19" s="26" t="n">
        <f>620052094508</f>
        <v>6.20052094508E11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574318.0</v>
      </c>
      <c r="F20" s="18" t="str">
        <f>"－"</f>
        <v>－</v>
      </c>
      <c r="G20" s="17" t="n">
        <v>3.9951965245E11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321672.0</v>
      </c>
      <c r="F21" s="22" t="str">
        <f>"－"</f>
        <v>－</v>
      </c>
      <c r="G21" s="21" t="n">
        <v>2.2212743125E11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248934.0</v>
      </c>
      <c r="F22" s="22" t="str">
        <f>"－"</f>
        <v>－</v>
      </c>
      <c r="G22" s="21" t="n">
        <v>1.7197614415E11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1144924.0</v>
      </c>
      <c r="F23" s="26" t="str">
        <f>"－"</f>
        <v>－</v>
      </c>
      <c r="G23" s="25" t="n">
        <v>7.9362322785E11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17766.0</v>
      </c>
      <c r="F24" s="18" t="n">
        <f>2855</f>
        <v>2855.0</v>
      </c>
      <c r="G24" s="17" t="n">
        <v>7.0651171E11</v>
      </c>
      <c r="H24" s="18" t="n">
        <f>111323920000</f>
        <v>1.1132392E11</v>
      </c>
    </row>
    <row r="25" spans="1:8" ht="24.9" customHeight="1">
      <c r="A25" s="51"/>
      <c r="B25" s="57"/>
      <c r="C25" s="39"/>
      <c r="D25" s="20" t="s">
        <v>16</v>
      </c>
      <c r="E25" s="21" t="n">
        <v>18391.0</v>
      </c>
      <c r="F25" s="22" t="n">
        <f>543</f>
        <v>543.0</v>
      </c>
      <c r="G25" s="21" t="n">
        <v>7.321485057E11</v>
      </c>
      <c r="H25" s="22" t="n">
        <f>21523130700</f>
        <v>2.15231307E10</v>
      </c>
    </row>
    <row r="26" spans="1:8" ht="24.9" customHeight="1">
      <c r="A26" s="51"/>
      <c r="B26" s="57"/>
      <c r="C26" s="39"/>
      <c r="D26" s="20" t="s">
        <v>17</v>
      </c>
      <c r="E26" s="21" t="n">
        <v>32791.0</v>
      </c>
      <c r="F26" s="22" t="n">
        <f>8188</f>
        <v>8188.0</v>
      </c>
      <c r="G26" s="21" t="n">
        <v>1.305168003E12</v>
      </c>
      <c r="H26" s="22" t="n">
        <f>326790128000</f>
        <v>3.26790128E11</v>
      </c>
    </row>
    <row r="27" spans="1:8" ht="24.9" customHeight="1">
      <c r="A27" s="51"/>
      <c r="B27" s="57"/>
      <c r="C27" s="39"/>
      <c r="D27" s="24" t="s">
        <v>18</v>
      </c>
      <c r="E27" s="25" t="n">
        <v>68948.0</v>
      </c>
      <c r="F27" s="26" t="n">
        <f>11586</f>
        <v>11586.0</v>
      </c>
      <c r="G27" s="25" t="n">
        <v>2.7438282187E12</v>
      </c>
      <c r="H27" s="26" t="n">
        <f>459637178700</f>
        <v>4.596371787E11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5500.0</v>
      </c>
      <c r="F28" s="18" t="n">
        <f>595</f>
        <v>595.0</v>
      </c>
      <c r="G28" s="17" t="n">
        <v>2.194001395E10</v>
      </c>
      <c r="H28" s="18" t="n">
        <f>2369615200</f>
        <v>2.3696152E9</v>
      </c>
    </row>
    <row r="29" spans="1:8" ht="24.9" customHeight="1">
      <c r="A29" s="51"/>
      <c r="B29" s="57"/>
      <c r="C29" s="39"/>
      <c r="D29" s="20" t="s">
        <v>16</v>
      </c>
      <c r="E29" s="21" t="n">
        <v>9469.0</v>
      </c>
      <c r="F29" s="22" t="n">
        <f>228</f>
        <v>228.0</v>
      </c>
      <c r="G29" s="21" t="n">
        <v>3.767257945E10</v>
      </c>
      <c r="H29" s="22" t="n">
        <f>907549950</f>
        <v>9.0754995E8</v>
      </c>
    </row>
    <row r="30" spans="1:8" ht="24.9" customHeight="1">
      <c r="A30" s="51"/>
      <c r="B30" s="57"/>
      <c r="C30" s="39"/>
      <c r="D30" s="20" t="s">
        <v>17</v>
      </c>
      <c r="E30" s="21" t="n">
        <v>10542.0</v>
      </c>
      <c r="F30" s="22" t="n">
        <f>453</f>
        <v>453.0</v>
      </c>
      <c r="G30" s="21" t="n">
        <v>4.191047005E10</v>
      </c>
      <c r="H30" s="22" t="n">
        <f>1803490800</f>
        <v>1.8034908E9</v>
      </c>
    </row>
    <row r="31" spans="1:8" ht="24.9" customHeight="1">
      <c r="A31" s="51"/>
      <c r="B31" s="57"/>
      <c r="C31" s="39"/>
      <c r="D31" s="24" t="s">
        <v>18</v>
      </c>
      <c r="E31" s="25" t="n">
        <v>25511.0</v>
      </c>
      <c r="F31" s="26" t="n">
        <f>1276</f>
        <v>1276.0</v>
      </c>
      <c r="G31" s="25" t="n">
        <v>1.0152306345E11</v>
      </c>
      <c r="H31" s="26" t="n">
        <f>5080655950</f>
        <v>5.08065595E9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1584.0</v>
      </c>
      <c r="F36" s="18" t="n">
        <f>1002</f>
        <v>1002.0</v>
      </c>
      <c r="G36" s="17" t="n">
        <v>5.724269398E9</v>
      </c>
      <c r="H36" s="18" t="n">
        <f>3612569898</f>
        <v>3.612569898E9</v>
      </c>
    </row>
    <row r="37" spans="1:8" ht="24.9" customHeight="1">
      <c r="A37" s="51"/>
      <c r="B37" s="57"/>
      <c r="C37" s="39"/>
      <c r="D37" s="20" t="s">
        <v>16</v>
      </c>
      <c r="E37" s="21" t="n">
        <v>929.0</v>
      </c>
      <c r="F37" s="22" t="n">
        <f>106</f>
        <v>106.0</v>
      </c>
      <c r="G37" s="21" t="n">
        <v>3.355269228E9</v>
      </c>
      <c r="H37" s="22" t="n">
        <f>382185228</f>
        <v>3.82185228E8</v>
      </c>
    </row>
    <row r="38" spans="1:8" ht="24.9" customHeight="1">
      <c r="A38" s="51"/>
      <c r="B38" s="57"/>
      <c r="C38" s="39"/>
      <c r="D38" s="20" t="s">
        <v>17</v>
      </c>
      <c r="E38" s="21" t="n">
        <v>3089.0</v>
      </c>
      <c r="F38" s="22" t="n">
        <f>1187</f>
        <v>1187.0</v>
      </c>
      <c r="G38" s="21" t="n">
        <v>1.1166123216E10</v>
      </c>
      <c r="H38" s="22" t="n">
        <f>4299915716</f>
        <v>4.299915716E9</v>
      </c>
    </row>
    <row r="39" spans="1:8" ht="24.9" customHeight="1">
      <c r="A39" s="51"/>
      <c r="B39" s="57"/>
      <c r="C39" s="39"/>
      <c r="D39" s="24" t="s">
        <v>18</v>
      </c>
      <c r="E39" s="25" t="n">
        <v>5602.0</v>
      </c>
      <c r="F39" s="26" t="n">
        <f>2295</f>
        <v>2295.0</v>
      </c>
      <c r="G39" s="25" t="n">
        <v>2.0245661842E10</v>
      </c>
      <c r="H39" s="26" t="n">
        <f>8294670842</f>
        <v>8.294670842E9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100.0</v>
      </c>
      <c r="F46" s="22" t="n">
        <f>100</f>
        <v>100.0</v>
      </c>
      <c r="G46" s="21" t="n">
        <v>6.77E8</v>
      </c>
      <c r="H46" s="22" t="n">
        <f>677000000</f>
        <v>6.77E8</v>
      </c>
    </row>
    <row r="47" spans="1:8" ht="24.9" customHeight="1">
      <c r="A47" s="51"/>
      <c r="B47" s="57"/>
      <c r="C47" s="39"/>
      <c r="D47" s="24" t="s">
        <v>18</v>
      </c>
      <c r="E47" s="25" t="n">
        <v>100.0</v>
      </c>
      <c r="F47" s="26" t="n">
        <f>100</f>
        <v>100.0</v>
      </c>
      <c r="G47" s="25" t="n">
        <v>6.77E8</v>
      </c>
      <c r="H47" s="26" t="n">
        <f>677000000</f>
        <v>6.77E8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1254.0</v>
      </c>
      <c r="F48" s="18" t="n">
        <f>1254</f>
        <v>1254.0</v>
      </c>
      <c r="G48" s="17" t="n">
        <v>2.2578764E9</v>
      </c>
      <c r="H48" s="18" t="n">
        <f>2257876400</f>
        <v>2.2578764E9</v>
      </c>
    </row>
    <row r="49" spans="1:8" ht="24.9" customHeight="1">
      <c r="A49" s="51"/>
      <c r="B49" s="57"/>
      <c r="C49" s="39"/>
      <c r="D49" s="20" t="s">
        <v>16</v>
      </c>
      <c r="E49" s="21" t="n">
        <v>374.0</v>
      </c>
      <c r="F49" s="22" t="n">
        <f>307</f>
        <v>307.0</v>
      </c>
      <c r="G49" s="21" t="n">
        <v>6.737546E8</v>
      </c>
      <c r="H49" s="22" t="n">
        <f>553152600</f>
        <v>5.531526E8</v>
      </c>
    </row>
    <row r="50" spans="1:8" ht="24.9" customHeight="1">
      <c r="A50" s="51"/>
      <c r="B50" s="57"/>
      <c r="C50" s="39"/>
      <c r="D50" s="20" t="s">
        <v>17</v>
      </c>
      <c r="E50" s="21" t="n">
        <v>1656.0</v>
      </c>
      <c r="F50" s="22" t="n">
        <f>1508</f>
        <v>1508.0</v>
      </c>
      <c r="G50" s="21" t="n">
        <v>2.97566708E9</v>
      </c>
      <c r="H50" s="22" t="n">
        <f>2709686080</f>
        <v>2.70968608E9</v>
      </c>
    </row>
    <row r="51" spans="1:8" ht="24.9" customHeight="1">
      <c r="A51" s="51"/>
      <c r="B51" s="57"/>
      <c r="C51" s="39"/>
      <c r="D51" s="24" t="s">
        <v>18</v>
      </c>
      <c r="E51" s="25" t="n">
        <v>3284.0</v>
      </c>
      <c r="F51" s="26" t="n">
        <f>3069</f>
        <v>3069.0</v>
      </c>
      <c r="G51" s="25" t="n">
        <v>5.90729808E9</v>
      </c>
      <c r="H51" s="26" t="n">
        <f>5520715080</f>
        <v>5.52071508E9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650.0</v>
      </c>
      <c r="F56" s="18" t="n">
        <f>29</f>
        <v>29.0</v>
      </c>
      <c r="G56" s="17" t="n">
        <v>4.388629E8</v>
      </c>
      <c r="H56" s="18" t="n">
        <f>19523900</f>
        <v>1.95239E7</v>
      </c>
    </row>
    <row r="57" spans="1:8" ht="24.9" customHeight="1">
      <c r="A57" s="51"/>
      <c r="B57" s="57"/>
      <c r="C57" s="39"/>
      <c r="D57" s="20" t="s">
        <v>16</v>
      </c>
      <c r="E57" s="21" t="n">
        <v>851.0</v>
      </c>
      <c r="F57" s="22" t="n">
        <f>38</f>
        <v>38.0</v>
      </c>
      <c r="G57" s="21" t="n">
        <v>5.810149E8</v>
      </c>
      <c r="H57" s="22" t="n">
        <f>26027900</f>
        <v>2.60279E7</v>
      </c>
    </row>
    <row r="58" spans="1:8" ht="24.9" customHeight="1">
      <c r="A58" s="51"/>
      <c r="B58" s="57"/>
      <c r="C58" s="39"/>
      <c r="D58" s="20" t="s">
        <v>17</v>
      </c>
      <c r="E58" s="21" t="n">
        <v>1173.0</v>
      </c>
      <c r="F58" s="22" t="n">
        <f>64</f>
        <v>64.0</v>
      </c>
      <c r="G58" s="21" t="n">
        <v>8.083126E8</v>
      </c>
      <c r="H58" s="22" t="n">
        <f>44314600</f>
        <v>4.43146E7</v>
      </c>
    </row>
    <row r="59" spans="1:8" ht="24.9" customHeight="1">
      <c r="A59" s="51"/>
      <c r="B59" s="57"/>
      <c r="C59" s="39"/>
      <c r="D59" s="24" t="s">
        <v>18</v>
      </c>
      <c r="E59" s="25" t="n">
        <v>2674.0</v>
      </c>
      <c r="F59" s="26" t="n">
        <f>131</f>
        <v>131.0</v>
      </c>
      <c r="G59" s="25" t="n">
        <v>1.8281904E9</v>
      </c>
      <c r="H59" s="26" t="n">
        <f>89866400</f>
        <v>8.98664E7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168.0</v>
      </c>
      <c r="F60" s="18" t="n">
        <f>4</f>
        <v>4.0</v>
      </c>
      <c r="G60" s="17" t="n">
        <v>8.783063E8</v>
      </c>
      <c r="H60" s="18" t="n">
        <f>20923600</f>
        <v>2.09236E7</v>
      </c>
    </row>
    <row r="61" spans="1:8" ht="24.9" customHeight="1">
      <c r="A61" s="51"/>
      <c r="B61" s="57"/>
      <c r="C61" s="39"/>
      <c r="D61" s="20" t="s">
        <v>16</v>
      </c>
      <c r="E61" s="21" t="n">
        <v>14.0</v>
      </c>
      <c r="F61" s="22" t="n">
        <f>1</f>
        <v>1.0</v>
      </c>
      <c r="G61" s="21" t="n">
        <v>7.32861E7</v>
      </c>
      <c r="H61" s="22" t="n">
        <f>5228100</f>
        <v>5228100.0</v>
      </c>
    </row>
    <row r="62" spans="1:8" ht="24.9" customHeight="1">
      <c r="A62" s="51"/>
      <c r="B62" s="57"/>
      <c r="C62" s="39"/>
      <c r="D62" s="20" t="s">
        <v>17</v>
      </c>
      <c r="E62" s="21" t="n">
        <v>25.0</v>
      </c>
      <c r="F62" s="22" t="n">
        <f>1</f>
        <v>1.0</v>
      </c>
      <c r="G62" s="21" t="n">
        <v>1.3081051E8</v>
      </c>
      <c r="H62" s="22" t="n">
        <f>5226210</f>
        <v>5226210.0</v>
      </c>
    </row>
    <row r="63" spans="1:8" ht="24.9" customHeight="1">
      <c r="A63" s="51"/>
      <c r="B63" s="57"/>
      <c r="C63" s="39"/>
      <c r="D63" s="24" t="s">
        <v>18</v>
      </c>
      <c r="E63" s="25" t="n">
        <v>207.0</v>
      </c>
      <c r="F63" s="26" t="n">
        <f>6</f>
        <v>6.0</v>
      </c>
      <c r="G63" s="25" t="n">
        <v>1.08240291E9</v>
      </c>
      <c r="H63" s="26" t="n">
        <f>31377910</f>
        <v>3.137791E7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409500.0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20.0</v>
      </c>
      <c r="F77" s="22" t="n">
        <f>0</f>
        <v>0.0</v>
      </c>
      <c r="G77" s="21" t="n">
        <v>8113500.0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397000.0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22.0</v>
      </c>
      <c r="F79" s="26" t="n">
        <f>0</f>
        <v>0.0</v>
      </c>
      <c r="G79" s="25" t="n">
        <v>8920000.0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10.0</v>
      </c>
      <c r="F92" s="18" t="n">
        <f>0</f>
        <v>0.0</v>
      </c>
      <c r="G92" s="17" t="n">
        <v>1.60673E7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5.0</v>
      </c>
      <c r="F94" s="22" t="n">
        <f>0</f>
        <v>0.0</v>
      </c>
      <c r="G94" s="21" t="n">
        <v>8040100.0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15.0</v>
      </c>
      <c r="F95" s="26" t="n">
        <f>0</f>
        <v>0.0</v>
      </c>
      <c r="G95" s="25" t="n">
        <v>2.41074E7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44.0</v>
      </c>
      <c r="F96" s="18" t="n">
        <f>0</f>
        <v>0.0</v>
      </c>
      <c r="G96" s="17" t="n">
        <v>1.045036E8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44.0</v>
      </c>
      <c r="F99" s="26" t="n">
        <f>0</f>
        <v>0.0</v>
      </c>
      <c r="G99" s="25" t="n">
        <v>1.045036E8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8255.0</v>
      </c>
      <c r="F108" s="18" t="n">
        <f>146</f>
        <v>146.0</v>
      </c>
      <c r="G108" s="17" t="n">
        <v>1.0571219E12</v>
      </c>
      <c r="H108" s="18" t="n">
        <f>18685210000</f>
        <v>1.868521E10</v>
      </c>
    </row>
    <row r="109" spans="1:8" ht="24.9" customHeight="1">
      <c r="A109" s="51"/>
      <c r="B109" s="57"/>
      <c r="C109" s="39"/>
      <c r="D109" s="20" t="s">
        <v>16</v>
      </c>
      <c r="E109" s="21" t="n">
        <v>9976.0</v>
      </c>
      <c r="F109" s="22" t="n">
        <f>629</f>
        <v>629.0</v>
      </c>
      <c r="G109" s="21" t="n">
        <v>1.27652098E12</v>
      </c>
      <c r="H109" s="22" t="n">
        <f>80495790000</f>
        <v>8.049579E10</v>
      </c>
    </row>
    <row r="110" spans="1:8" ht="24.9" customHeight="1">
      <c r="A110" s="51"/>
      <c r="B110" s="57"/>
      <c r="C110" s="39"/>
      <c r="D110" s="20" t="s">
        <v>17</v>
      </c>
      <c r="E110" s="21" t="n">
        <v>9706.0</v>
      </c>
      <c r="F110" s="22" t="n">
        <f>559</f>
        <v>559.0</v>
      </c>
      <c r="G110" s="21" t="n">
        <v>1.24210116E12</v>
      </c>
      <c r="H110" s="22" t="n">
        <f>71526670000</f>
        <v>7.152667E10</v>
      </c>
    </row>
    <row r="111" spans="1:8" ht="24.9" customHeight="1">
      <c r="A111" s="51"/>
      <c r="B111" s="57"/>
      <c r="C111" s="39"/>
      <c r="D111" s="24" t="s">
        <v>18</v>
      </c>
      <c r="E111" s="25" t="n">
        <v>27937.0</v>
      </c>
      <c r="F111" s="26" t="n">
        <f>1334</f>
        <v>1334.0</v>
      </c>
      <c r="G111" s="25" t="n">
        <v>3.57574404E12</v>
      </c>
      <c r="H111" s="26" t="n">
        <f>170707670000</f>
        <v>1.7070767E11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0.0</v>
      </c>
      <c r="F115" s="26" t="n">
        <f>0</f>
        <v>0.0</v>
      </c>
      <c r="G115" s="25" t="n">
        <v>0.0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126.0</v>
      </c>
      <c r="F118" s="22" t="n">
        <f>0</f>
        <v>0.0</v>
      </c>
      <c r="G118" s="21" t="n">
        <v>1.162478E9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126.0</v>
      </c>
      <c r="F119" s="26" t="n">
        <f>0</f>
        <v>0.0</v>
      </c>
      <c r="G119" s="25" t="n">
        <v>1.162478E9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2995.0</v>
      </c>
      <c r="F120" s="18" t="n">
        <f>0</f>
        <v>0.0</v>
      </c>
      <c r="G120" s="17" t="n">
        <v>7.3949170625E10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2059.0</v>
      </c>
      <c r="F121" s="22" t="n">
        <f>0</f>
        <v>0.0</v>
      </c>
      <c r="G121" s="21" t="n">
        <v>5.085715125E10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5158.0</v>
      </c>
      <c r="F122" s="22" t="n">
        <f>0</f>
        <v>0.0</v>
      </c>
      <c r="G122" s="21" t="n">
        <v>1.2710358125E11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10212.0</v>
      </c>
      <c r="F123" s="26" t="n">
        <f>0</f>
        <v>0.0</v>
      </c>
      <c r="G123" s="25" t="n">
        <v>2.51909903125E11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6686.0</v>
      </c>
      <c r="F124" s="18" t="n">
        <f>0</f>
        <v>0.0</v>
      </c>
      <c r="G124" s="17" t="n">
        <v>1.44055633E11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3142.0</v>
      </c>
      <c r="F125" s="22" t="n">
        <f>0</f>
        <v>0.0</v>
      </c>
      <c r="G125" s="21" t="n">
        <v>6.7755486E10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1848.0</v>
      </c>
      <c r="F126" s="22" t="n">
        <f>0</f>
        <v>0.0</v>
      </c>
      <c r="G126" s="21" t="n">
        <v>3.9882573E10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11676.0</v>
      </c>
      <c r="F127" s="26" t="n">
        <f>0</f>
        <v>0.0</v>
      </c>
      <c r="G127" s="25" t="n">
        <v>2.51693692E11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82.0</v>
      </c>
      <c r="F128" s="18" t="n">
        <f>0</f>
        <v>0.0</v>
      </c>
      <c r="G128" s="17" t="n">
        <v>1.758395E8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80.0</v>
      </c>
      <c r="F129" s="22" t="n">
        <f>0</f>
        <v>0.0</v>
      </c>
      <c r="G129" s="21" t="n">
        <v>1.71861E8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18.0</v>
      </c>
      <c r="F130" s="22" t="n">
        <f>0</f>
        <v>0.0</v>
      </c>
      <c r="G130" s="21" t="n">
        <v>3.87635E7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180.0</v>
      </c>
      <c r="F131" s="26" t="n">
        <f>0</f>
        <v>0.0</v>
      </c>
      <c r="G131" s="25" t="n">
        <v>3.86464E8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4354.0</v>
      </c>
      <c r="F132" s="18" t="n">
        <f>0</f>
        <v>0.0</v>
      </c>
      <c r="G132" s="17" t="n">
        <v>9.3770761E9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2161.0</v>
      </c>
      <c r="F133" s="22" t="n">
        <f>0</f>
        <v>0.0</v>
      </c>
      <c r="G133" s="21" t="n">
        <v>4.66531715E9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1702.0</v>
      </c>
      <c r="F134" s="22" t="n">
        <f>0</f>
        <v>0.0</v>
      </c>
      <c r="G134" s="21" t="n">
        <v>3.674603E9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8217.0</v>
      </c>
      <c r="F135" s="26" t="n">
        <f>0</f>
        <v>0.0</v>
      </c>
      <c r="G135" s="25" t="n">
        <v>1.771699625E10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100.0</v>
      </c>
      <c r="F136" s="18" t="n">
        <f>0</f>
        <v>0.0</v>
      </c>
      <c r="G136" s="17" t="n">
        <v>2.123657E8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14.0</v>
      </c>
      <c r="F137" s="22" t="n">
        <f>0</f>
        <v>0.0</v>
      </c>
      <c r="G137" s="21" t="n">
        <v>2.98775E7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29.0</v>
      </c>
      <c r="F138" s="22" t="n">
        <f>1</f>
        <v>1.0</v>
      </c>
      <c r="G138" s="21" t="n">
        <v>6.18817E7</v>
      </c>
      <c r="H138" s="22" t="n">
        <f>2144000</f>
        <v>2144000.0</v>
      </c>
    </row>
    <row r="139" spans="1:8" ht="24.9" customHeight="1">
      <c r="A139" s="51"/>
      <c r="B139" s="57"/>
      <c r="C139" s="39"/>
      <c r="D139" s="24" t="s">
        <v>18</v>
      </c>
      <c r="E139" s="25" t="n">
        <v>143.0</v>
      </c>
      <c r="F139" s="26" t="n">
        <f>1</f>
        <v>1.0</v>
      </c>
      <c r="G139" s="25" t="n">
        <v>3.041249E8</v>
      </c>
      <c r="H139" s="26" t="n">
        <f>2144000</f>
        <v>2144000.0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3.0</v>
      </c>
      <c r="F142" s="22" t="n">
        <f>0</f>
        <v>0.0</v>
      </c>
      <c r="G142" s="21" t="n">
        <v>2.7E7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3.0</v>
      </c>
      <c r="F143" s="26" t="n">
        <f>0</f>
        <v>0.0</v>
      </c>
      <c r="G143" s="25" t="n">
        <v>2.7E7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1546.0</v>
      </c>
      <c r="F144" s="18" t="n">
        <f>0</f>
        <v>0.0</v>
      </c>
      <c r="G144" s="17" t="n">
        <v>6.3083185E9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1812.0</v>
      </c>
      <c r="F145" s="22" t="n">
        <f>4</f>
        <v>4.0</v>
      </c>
      <c r="G145" s="21" t="n">
        <v>7.387216E9</v>
      </c>
      <c r="H145" s="22" t="n">
        <f>16214000</f>
        <v>1.6214E7</v>
      </c>
    </row>
    <row r="146" spans="1:8" ht="24.9" customHeight="1">
      <c r="A146" s="51"/>
      <c r="B146" s="57"/>
      <c r="C146" s="39"/>
      <c r="D146" s="20" t="s">
        <v>17</v>
      </c>
      <c r="E146" s="21" t="n">
        <v>1248.0</v>
      </c>
      <c r="F146" s="22" t="n">
        <f>30</f>
        <v>30.0</v>
      </c>
      <c r="G146" s="21" t="n">
        <v>5.0745875E9</v>
      </c>
      <c r="H146" s="22" t="n">
        <f>122250000</f>
        <v>1.2225E8</v>
      </c>
    </row>
    <row r="147" spans="1:8" ht="24.9" customHeight="1">
      <c r="A147" s="51"/>
      <c r="B147" s="57"/>
      <c r="C147" s="39"/>
      <c r="D147" s="24" t="s">
        <v>18</v>
      </c>
      <c r="E147" s="25" t="n">
        <v>4606.0</v>
      </c>
      <c r="F147" s="26" t="n">
        <f>34</f>
        <v>34.0</v>
      </c>
      <c r="G147" s="25" t="n">
        <v>1.8770122E10</v>
      </c>
      <c r="H147" s="26" t="n">
        <f>138464000</f>
        <v>1.38464E8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4.0</v>
      </c>
      <c r="F148" s="18" t="n">
        <f>0</f>
        <v>0.0</v>
      </c>
      <c r="G148" s="17" t="n">
        <v>3333200.0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22.0</v>
      </c>
      <c r="F149" s="22" t="n">
        <f>0</f>
        <v>0.0</v>
      </c>
      <c r="G149" s="21" t="n">
        <v>1.8373E7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36.0</v>
      </c>
      <c r="F150" s="22" t="n">
        <f>0</f>
        <v>0.0</v>
      </c>
      <c r="G150" s="21" t="n">
        <v>2.99589E7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62.0</v>
      </c>
      <c r="F151" s="26" t="n">
        <f>0</f>
        <v>0.0</v>
      </c>
      <c r="G151" s="25" t="n">
        <v>5.16651E7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326.0</v>
      </c>
      <c r="F152" s="18" t="n">
        <f>0</f>
        <v>0.0</v>
      </c>
      <c r="G152" s="17" t="n">
        <v>2.656967E8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279.0</v>
      </c>
      <c r="F153" s="22" t="n">
        <f>0</f>
        <v>0.0</v>
      </c>
      <c r="G153" s="21" t="n">
        <v>2.268199E8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219.0</v>
      </c>
      <c r="F154" s="22" t="n">
        <f>0</f>
        <v>0.0</v>
      </c>
      <c r="G154" s="21" t="n">
        <v>1.775169E8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824.0</v>
      </c>
      <c r="F155" s="26" t="n">
        <f>0</f>
        <v>0.0</v>
      </c>
      <c r="G155" s="25" t="n">
        <v>6.700335E8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292.0</v>
      </c>
      <c r="F156" s="18" t="n">
        <f>0</f>
        <v>0.0</v>
      </c>
      <c r="G156" s="17" t="n">
        <v>2.375016E8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248.0</v>
      </c>
      <c r="F157" s="22" t="n">
        <f>0</f>
        <v>0.0</v>
      </c>
      <c r="G157" s="21" t="n">
        <v>2.00667E8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449.0</v>
      </c>
      <c r="F158" s="22" t="n">
        <f>0</f>
        <v>0.0</v>
      </c>
      <c r="G158" s="21" t="n">
        <v>3.644111E8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989.0</v>
      </c>
      <c r="F159" s="26" t="n">
        <f>0</f>
        <v>0.0</v>
      </c>
      <c r="G159" s="25" t="n">
        <v>8.025797E8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216.0</v>
      </c>
      <c r="F168" s="18" t="n">
        <f>0</f>
        <v>0.0</v>
      </c>
      <c r="G168" s="17" t="n">
        <v>4.425275E8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543.0</v>
      </c>
      <c r="F169" s="22" t="n">
        <f>0</f>
        <v>0.0</v>
      </c>
      <c r="G169" s="21" t="n">
        <v>1.109963E9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1325.0</v>
      </c>
      <c r="F170" s="22" t="n">
        <f>0</f>
        <v>0.0</v>
      </c>
      <c r="G170" s="21" t="n">
        <v>2.7070695E9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2084.0</v>
      </c>
      <c r="F171" s="26" t="n">
        <f>0</f>
        <v>0.0</v>
      </c>
      <c r="G171" s="25" t="n">
        <v>4.25956E9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96.0</v>
      </c>
      <c r="F178" s="22" t="n">
        <f>0</f>
        <v>0.0</v>
      </c>
      <c r="G178" s="21" t="n">
        <v>1.6046E8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96.0</v>
      </c>
      <c r="F179" s="26" t="n">
        <f>0</f>
        <v>0.0</v>
      </c>
      <c r="G179" s="25" t="n">
        <v>1.6046E8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603.0</v>
      </c>
      <c r="F204" s="18" t="n">
        <f>182</f>
        <v>182.0</v>
      </c>
      <c r="G204" s="17" t="n">
        <v>2.096358E9</v>
      </c>
      <c r="H204" s="18" t="n">
        <f>638001000</f>
        <v>6.38001E8</v>
      </c>
    </row>
    <row r="205" spans="1:8" ht="24.9" customHeight="1">
      <c r="A205" s="57"/>
      <c r="B205" s="59"/>
      <c r="C205" s="39"/>
      <c r="D205" s="20" t="s">
        <v>16</v>
      </c>
      <c r="E205" s="21" t="n">
        <v>137.0</v>
      </c>
      <c r="F205" s="22" t="n">
        <f>0</f>
        <v>0.0</v>
      </c>
      <c r="G205" s="21" t="n">
        <v>4.7711E8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873.0</v>
      </c>
      <c r="F206" s="22" t="n">
        <f>0</f>
        <v>0.0</v>
      </c>
      <c r="G206" s="21" t="n">
        <v>3.050037E9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1613.0</v>
      </c>
      <c r="F207" s="26" t="n">
        <f>182</f>
        <v>182.0</v>
      </c>
      <c r="G207" s="25" t="n">
        <v>5.623505E9</v>
      </c>
      <c r="H207" s="26" t="n">
        <f>638001000</f>
        <v>6.38001E8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5.0</v>
      </c>
      <c r="F208" s="18" t="n">
        <f>5</f>
        <v>5.0</v>
      </c>
      <c r="G208" s="17" t="n">
        <v>7142400.0</v>
      </c>
      <c r="H208" s="18" t="n">
        <f>7142400</f>
        <v>7142400.0</v>
      </c>
    </row>
    <row r="209" spans="1:8" ht="24.9" customHeight="1">
      <c r="A209" s="57"/>
      <c r="B209" s="59"/>
      <c r="C209" s="39"/>
      <c r="D209" s="20" t="s">
        <v>16</v>
      </c>
      <c r="E209" s="21" t="n">
        <v>18.0</v>
      </c>
      <c r="F209" s="22" t="n">
        <f>18</f>
        <v>18.0</v>
      </c>
      <c r="G209" s="21" t="n">
        <v>2.2913712E7</v>
      </c>
      <c r="H209" s="22" t="n">
        <f>22913712</f>
        <v>2.2913712E7</v>
      </c>
    </row>
    <row r="210" spans="1:8" ht="24.9" customHeight="1">
      <c r="A210" s="57"/>
      <c r="B210" s="59"/>
      <c r="C210" s="39"/>
      <c r="D210" s="20" t="s">
        <v>17</v>
      </c>
      <c r="E210" s="21" t="n">
        <v>37.0</v>
      </c>
      <c r="F210" s="22" t="n">
        <f>37</f>
        <v>37.0</v>
      </c>
      <c r="G210" s="21" t="n">
        <v>4.76904E7</v>
      </c>
      <c r="H210" s="22" t="n">
        <f>47690400</f>
        <v>4.76904E7</v>
      </c>
    </row>
    <row r="211" spans="1:8" ht="24.9" customHeight="1">
      <c r="A211" s="57"/>
      <c r="B211" s="59"/>
      <c r="C211" s="39"/>
      <c r="D211" s="24" t="s">
        <v>18</v>
      </c>
      <c r="E211" s="25" t="n">
        <v>60.0</v>
      </c>
      <c r="F211" s="26" t="n">
        <f>60</f>
        <v>60.0</v>
      </c>
      <c r="G211" s="25" t="n">
        <v>7.7746512E7</v>
      </c>
      <c r="H211" s="26" t="n">
        <f>77746512</f>
        <v>7.7746512E7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72.0</v>
      </c>
      <c r="F214" s="22" t="n">
        <f>72</f>
        <v>72.0</v>
      </c>
      <c r="G214" s="21" t="n">
        <v>7.549248E7</v>
      </c>
      <c r="H214" s="22" t="n">
        <f>75492480</f>
        <v>7.549248E7</v>
      </c>
    </row>
    <row r="215" spans="1:8" ht="24.9" customHeight="1">
      <c r="A215" s="57"/>
      <c r="B215" s="59"/>
      <c r="C215" s="39"/>
      <c r="D215" s="24" t="s">
        <v>18</v>
      </c>
      <c r="E215" s="25" t="n">
        <v>72.0</v>
      </c>
      <c r="F215" s="26" t="n">
        <f>72</f>
        <v>72.0</v>
      </c>
      <c r="G215" s="25" t="n">
        <v>7.549248E7</v>
      </c>
      <c r="H215" s="26" t="n">
        <f>75492480</f>
        <v>7.549248E7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46202.0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46202.0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4991</f>
        <v>4991.0</v>
      </c>
      <c r="E12" s="35" t="n">
        <f>2856</f>
        <v>2856.0</v>
      </c>
      <c r="F12" s="17" t="n">
        <f>5439</f>
        <v>5439.0</v>
      </c>
      <c r="G12" s="35" t="n">
        <f>3590</f>
        <v>3590.0</v>
      </c>
      <c r="H12" s="17" t="n">
        <f>10430</f>
        <v>10430.0</v>
      </c>
      <c r="I12" s="35" t="n">
        <f>6446</f>
        <v>6446.0</v>
      </c>
      <c r="J12" s="17" t="n">
        <f>5882031940</f>
        <v>5.88203194E9</v>
      </c>
      <c r="K12" s="35" t="n">
        <f>4916118940</f>
        <v>4.91611894E9</v>
      </c>
      <c r="L12" s="17" t="n">
        <f>13272011920</f>
        <v>1.327201192E10</v>
      </c>
      <c r="M12" s="35" t="n">
        <f>12648998920</f>
        <v>1.264899892E10</v>
      </c>
      <c r="N12" s="17" t="n">
        <f>19154043860</f>
        <v>1.915404386E10</v>
      </c>
      <c r="O12" s="35" t="n">
        <f>17565117860</f>
        <v>1.756511786E10</v>
      </c>
    </row>
    <row r="13" spans="1:15" ht="24.9" customHeight="1">
      <c r="A13" s="38"/>
      <c r="B13" s="62"/>
      <c r="C13" s="20" t="s">
        <v>16</v>
      </c>
      <c r="D13" s="21" t="n">
        <f>6052</f>
        <v>6052.0</v>
      </c>
      <c r="E13" s="36" t="n">
        <f>2320</f>
        <v>2320.0</v>
      </c>
      <c r="F13" s="21" t="n">
        <f>2906</f>
        <v>2906.0</v>
      </c>
      <c r="G13" s="36" t="n">
        <f>752</f>
        <v>752.0</v>
      </c>
      <c r="H13" s="21" t="n">
        <f>8958</f>
        <v>8958.0</v>
      </c>
      <c r="I13" s="36" t="n">
        <f>3072</f>
        <v>3072.0</v>
      </c>
      <c r="J13" s="21" t="n">
        <f>4166167426</f>
        <v>4.166167426E9</v>
      </c>
      <c r="K13" s="36" t="n">
        <f>2539380426</f>
        <v>2.539380426E9</v>
      </c>
      <c r="L13" s="21" t="n">
        <f>1528540710</f>
        <v>1.52854071E9</v>
      </c>
      <c r="M13" s="36" t="n">
        <f>591467710</f>
        <v>5.9146771E8</v>
      </c>
      <c r="N13" s="21" t="n">
        <f>5694708136</f>
        <v>5.694708136E9</v>
      </c>
      <c r="O13" s="36" t="n">
        <f>3130848136</f>
        <v>3.130848136E9</v>
      </c>
    </row>
    <row r="14" spans="1:15" ht="24.9" customHeight="1">
      <c r="A14" s="38"/>
      <c r="B14" s="62"/>
      <c r="C14" s="20" t="s">
        <v>17</v>
      </c>
      <c r="D14" s="21" t="n">
        <f>13162</f>
        <v>13162.0</v>
      </c>
      <c r="E14" s="36" t="n">
        <f>9360</f>
        <v>9360.0</v>
      </c>
      <c r="F14" s="21" t="n">
        <f>5701</f>
        <v>5701.0</v>
      </c>
      <c r="G14" s="36" t="n">
        <f>3210</f>
        <v>3210.0</v>
      </c>
      <c r="H14" s="21" t="n">
        <f>18863</f>
        <v>18863.0</v>
      </c>
      <c r="I14" s="36" t="n">
        <f>12570</f>
        <v>12570.0</v>
      </c>
      <c r="J14" s="21" t="n">
        <f>21536565902</f>
        <v>2.1536565902E10</v>
      </c>
      <c r="K14" s="36" t="n">
        <f>19050098902</f>
        <v>1.9050098902E10</v>
      </c>
      <c r="L14" s="21" t="n">
        <f>6075982445</f>
        <v>6.075982445E9</v>
      </c>
      <c r="M14" s="36" t="n">
        <f>4953606445</f>
        <v>4.953606445E9</v>
      </c>
      <c r="N14" s="21" t="n">
        <f>27612548347</f>
        <v>2.7612548347E10</v>
      </c>
      <c r="O14" s="36" t="n">
        <f>24003705347</f>
        <v>2.4003705347E10</v>
      </c>
    </row>
    <row r="15" spans="1:15" ht="24.9" customHeight="1">
      <c r="A15" s="38"/>
      <c r="B15" s="62"/>
      <c r="C15" s="24" t="s">
        <v>18</v>
      </c>
      <c r="D15" s="25" t="n">
        <f>24205</f>
        <v>24205.0</v>
      </c>
      <c r="E15" s="37" t="n">
        <f>14536</f>
        <v>14536.0</v>
      </c>
      <c r="F15" s="25" t="n">
        <f>14046</f>
        <v>14046.0</v>
      </c>
      <c r="G15" s="37" t="n">
        <f>7552</f>
        <v>7552.0</v>
      </c>
      <c r="H15" s="25" t="n">
        <f>38251</f>
        <v>38251.0</v>
      </c>
      <c r="I15" s="37" t="n">
        <f>22088</f>
        <v>22088.0</v>
      </c>
      <c r="J15" s="25" t="n">
        <f>31584765268</f>
        <v>3.1584765268E10</v>
      </c>
      <c r="K15" s="37" t="n">
        <f>26505598268</f>
        <v>2.6505598268E10</v>
      </c>
      <c r="L15" s="25" t="n">
        <f>20876535075</f>
        <v>2.0876535075E10</v>
      </c>
      <c r="M15" s="37" t="n">
        <f>18194073075</f>
        <v>1.8194073075E10</v>
      </c>
      <c r="N15" s="25" t="n">
        <f>52461300343</f>
        <v>5.2461300343E10</v>
      </c>
      <c r="O15" s="37" t="n">
        <f>44699671343</f>
        <v>4.4699671343E10</v>
      </c>
    </row>
    <row r="16" spans="1:15" ht="24.9" customHeight="1">
      <c r="A16" s="38"/>
      <c r="B16" s="61" t="s">
        <v>105</v>
      </c>
      <c r="C16" s="16" t="s">
        <v>15</v>
      </c>
      <c r="D16" s="17" t="n">
        <f>7603</f>
        <v>7603.0</v>
      </c>
      <c r="E16" s="35" t="n">
        <f>190</f>
        <v>190.0</v>
      </c>
      <c r="F16" s="17" t="n">
        <f>5609</f>
        <v>5609.0</v>
      </c>
      <c r="G16" s="35" t="n">
        <f>240</f>
        <v>240.0</v>
      </c>
      <c r="H16" s="17" t="n">
        <f>13212</f>
        <v>13212.0</v>
      </c>
      <c r="I16" s="35" t="n">
        <f>430</f>
        <v>430.0</v>
      </c>
      <c r="J16" s="17" t="n">
        <f>527460270</f>
        <v>5.2746027E8</v>
      </c>
      <c r="K16" s="35" t="n">
        <f>8409970</f>
        <v>8409970.0</v>
      </c>
      <c r="L16" s="17" t="n">
        <f>461169200</f>
        <v>4.611692E8</v>
      </c>
      <c r="M16" s="35" t="n">
        <f>10346500</f>
        <v>1.03465E7</v>
      </c>
      <c r="N16" s="17" t="n">
        <f>988629470</f>
        <v>9.8862947E8</v>
      </c>
      <c r="O16" s="35" t="n">
        <f>18756470</f>
        <v>1.875647E7</v>
      </c>
    </row>
    <row r="17" spans="1:15" ht="24.9" customHeight="1">
      <c r="A17" s="38"/>
      <c r="B17" s="62"/>
      <c r="C17" s="20" t="s">
        <v>16</v>
      </c>
      <c r="D17" s="21" t="n">
        <f>9468</f>
        <v>9468.0</v>
      </c>
      <c r="E17" s="36" t="n">
        <f>430</f>
        <v>430.0</v>
      </c>
      <c r="F17" s="21" t="n">
        <f>6379</f>
        <v>6379.0</v>
      </c>
      <c r="G17" s="36" t="n">
        <f>170</f>
        <v>170.0</v>
      </c>
      <c r="H17" s="21" t="n">
        <f>15847</f>
        <v>15847.0</v>
      </c>
      <c r="I17" s="36" t="n">
        <f>600</f>
        <v>600.0</v>
      </c>
      <c r="J17" s="21" t="n">
        <f>456344290</f>
        <v>4.5634429E8</v>
      </c>
      <c r="K17" s="36" t="n">
        <f>8634290</f>
        <v>8634290.0</v>
      </c>
      <c r="L17" s="21" t="n">
        <f>391746670</f>
        <v>3.9174667E8</v>
      </c>
      <c r="M17" s="36" t="n">
        <f>3106770</f>
        <v>3106770.0</v>
      </c>
      <c r="N17" s="21" t="n">
        <f>848090960</f>
        <v>8.4809096E8</v>
      </c>
      <c r="O17" s="36" t="n">
        <f>11741060</f>
        <v>1.174106E7</v>
      </c>
    </row>
    <row r="18" spans="1:15" ht="24.9" customHeight="1">
      <c r="A18" s="38"/>
      <c r="B18" s="62"/>
      <c r="C18" s="20" t="s">
        <v>17</v>
      </c>
      <c r="D18" s="21" t="n">
        <f>8068</f>
        <v>8068.0</v>
      </c>
      <c r="E18" s="36" t="n">
        <f>270</f>
        <v>270.0</v>
      </c>
      <c r="F18" s="21" t="n">
        <f>7255</f>
        <v>7255.0</v>
      </c>
      <c r="G18" s="36" t="n">
        <f>160</f>
        <v>160.0</v>
      </c>
      <c r="H18" s="21" t="n">
        <f>15323</f>
        <v>15323.0</v>
      </c>
      <c r="I18" s="36" t="n">
        <f>430</f>
        <v>430.0</v>
      </c>
      <c r="J18" s="21" t="n">
        <f>391068020</f>
        <v>3.9106802E8</v>
      </c>
      <c r="K18" s="36" t="n">
        <f>5640020</f>
        <v>5640020.0</v>
      </c>
      <c r="L18" s="21" t="n">
        <f>391948390</f>
        <v>3.9194839E8</v>
      </c>
      <c r="M18" s="36" t="n">
        <f>5839890</f>
        <v>5839890.0</v>
      </c>
      <c r="N18" s="21" t="n">
        <f>783016410</f>
        <v>7.8301641E8</v>
      </c>
      <c r="O18" s="36" t="n">
        <f>11479910</f>
        <v>1.147991E7</v>
      </c>
    </row>
    <row r="19" spans="1:15" ht="24.9" customHeight="1">
      <c r="A19" s="38"/>
      <c r="B19" s="62"/>
      <c r="C19" s="24" t="s">
        <v>18</v>
      </c>
      <c r="D19" s="25" t="n">
        <f>25139</f>
        <v>25139.0</v>
      </c>
      <c r="E19" s="37" t="n">
        <f>890</f>
        <v>890.0</v>
      </c>
      <c r="F19" s="25" t="n">
        <f>19243</f>
        <v>19243.0</v>
      </c>
      <c r="G19" s="37" t="n">
        <f>570</f>
        <v>570.0</v>
      </c>
      <c r="H19" s="25" t="n">
        <f>44382</f>
        <v>44382.0</v>
      </c>
      <c r="I19" s="37" t="n">
        <f>1460</f>
        <v>1460.0</v>
      </c>
      <c r="J19" s="25" t="n">
        <f>1374872580</f>
        <v>1.37487258E9</v>
      </c>
      <c r="K19" s="37" t="n">
        <f>22684280</f>
        <v>2.268428E7</v>
      </c>
      <c r="L19" s="25" t="n">
        <f>1244864260</f>
        <v>1.24486426E9</v>
      </c>
      <c r="M19" s="37" t="n">
        <f>19293160</f>
        <v>1.929316E7</v>
      </c>
      <c r="N19" s="25" t="n">
        <f>2619736840</f>
        <v>2.61973684E9</v>
      </c>
      <c r="O19" s="37" t="n">
        <f>41977440</f>
        <v>4.197744E7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201</f>
        <v>201.0</v>
      </c>
      <c r="E22" s="36" t="n">
        <f>200</f>
        <v>200.0</v>
      </c>
      <c r="F22" s="21" t="n">
        <f>100</f>
        <v>100.0</v>
      </c>
      <c r="G22" s="36" t="n">
        <f>100</f>
        <v>100.0</v>
      </c>
      <c r="H22" s="21" t="n">
        <f>301</f>
        <v>301.0</v>
      </c>
      <c r="I22" s="36" t="n">
        <f>300</f>
        <v>300.0</v>
      </c>
      <c r="J22" s="21" t="n">
        <f>254425000</f>
        <v>2.54425E8</v>
      </c>
      <c r="K22" s="36" t="n">
        <f>254000000</f>
        <v>2.54E8</v>
      </c>
      <c r="L22" s="21" t="n">
        <f>429000000</f>
        <v>4.29E8</v>
      </c>
      <c r="M22" s="36" t="n">
        <f>429000000</f>
        <v>4.29E8</v>
      </c>
      <c r="N22" s="21" t="n">
        <f>683425000</f>
        <v>6.83425E8</v>
      </c>
      <c r="O22" s="36" t="n">
        <f>683000000</f>
        <v>6.83E8</v>
      </c>
    </row>
    <row r="23" spans="1:15" ht="24.9" customHeight="1">
      <c r="A23" s="38"/>
      <c r="B23" s="62"/>
      <c r="C23" s="24" t="s">
        <v>18</v>
      </c>
      <c r="D23" s="25" t="n">
        <f>201</f>
        <v>201.0</v>
      </c>
      <c r="E23" s="37" t="n">
        <f>200</f>
        <v>200.0</v>
      </c>
      <c r="F23" s="25" t="n">
        <f>100</f>
        <v>100.0</v>
      </c>
      <c r="G23" s="37" t="n">
        <f>100</f>
        <v>100.0</v>
      </c>
      <c r="H23" s="25" t="n">
        <f>301</f>
        <v>301.0</v>
      </c>
      <c r="I23" s="37" t="n">
        <f>300</f>
        <v>300.0</v>
      </c>
      <c r="J23" s="25" t="n">
        <f>254425000</f>
        <v>2.54425E8</v>
      </c>
      <c r="K23" s="37" t="n">
        <f>254000000</f>
        <v>2.54E8</v>
      </c>
      <c r="L23" s="25" t="n">
        <f>429000000</f>
        <v>4.29E8</v>
      </c>
      <c r="M23" s="37" t="n">
        <f>429000000</f>
        <v>4.29E8</v>
      </c>
      <c r="N23" s="25" t="n">
        <f>683425000</f>
        <v>6.83425E8</v>
      </c>
      <c r="O23" s="37" t="n">
        <f>683000000</f>
        <v>6.83E8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2</f>
        <v>2.0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2</f>
        <v>2.0</v>
      </c>
      <c r="I36" s="18" t="n">
        <f>0</f>
        <v>0.0</v>
      </c>
      <c r="J36" s="17" t="n">
        <f>370000</f>
        <v>370000.0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370000</f>
        <v>370000.0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</f>
        <v>1.0</v>
      </c>
      <c r="E37" s="22" t="n">
        <f>0</f>
        <v>0.0</v>
      </c>
      <c r="F37" s="21" t="n">
        <f>0</f>
        <v>0.0</v>
      </c>
      <c r="G37" s="22" t="n">
        <f>0</f>
        <v>0.0</v>
      </c>
      <c r="H37" s="21" t="n">
        <f>1</f>
        <v>1.0</v>
      </c>
      <c r="I37" s="22" t="n">
        <f>0</f>
        <v>0.0</v>
      </c>
      <c r="J37" s="21" t="n">
        <f>20000</f>
        <v>20000.0</v>
      </c>
      <c r="K37" s="22" t="n">
        <f>0</f>
        <v>0.0</v>
      </c>
      <c r="L37" s="21" t="n">
        <f>0</f>
        <v>0.0</v>
      </c>
      <c r="M37" s="22" t="n">
        <f>0</f>
        <v>0.0</v>
      </c>
      <c r="N37" s="21" t="n">
        <f>20000</f>
        <v>20000.0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125</f>
        <v>125.0</v>
      </c>
      <c r="E38" s="36" t="n">
        <f>0</f>
        <v>0.0</v>
      </c>
      <c r="F38" s="21" t="n">
        <f>40</f>
        <v>40.0</v>
      </c>
      <c r="G38" s="36" t="n">
        <f>0</f>
        <v>0.0</v>
      </c>
      <c r="H38" s="21" t="n">
        <f>165</f>
        <v>165.0</v>
      </c>
      <c r="I38" s="36" t="n">
        <f>0</f>
        <v>0.0</v>
      </c>
      <c r="J38" s="21" t="n">
        <f>14770000</f>
        <v>1.477E7</v>
      </c>
      <c r="K38" s="36" t="n">
        <f>0</f>
        <v>0.0</v>
      </c>
      <c r="L38" s="21" t="n">
        <f>4600000</f>
        <v>4600000.0</v>
      </c>
      <c r="M38" s="36" t="n">
        <f>0</f>
        <v>0.0</v>
      </c>
      <c r="N38" s="21" t="n">
        <f>19370000</f>
        <v>1.937E7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128</f>
        <v>128.0</v>
      </c>
      <c r="E39" s="37" t="n">
        <f>0</f>
        <v>0.0</v>
      </c>
      <c r="F39" s="25" t="n">
        <f>40</f>
        <v>40.0</v>
      </c>
      <c r="G39" s="37" t="n">
        <f>0</f>
        <v>0.0</v>
      </c>
      <c r="H39" s="25" t="n">
        <f>168</f>
        <v>168.0</v>
      </c>
      <c r="I39" s="37" t="n">
        <f>0</f>
        <v>0.0</v>
      </c>
      <c r="J39" s="25" t="n">
        <f>15160000</f>
        <v>1.516E7</v>
      </c>
      <c r="K39" s="37" t="n">
        <f>0</f>
        <v>0.0</v>
      </c>
      <c r="L39" s="25" t="n">
        <f>4600000</f>
        <v>4600000.0</v>
      </c>
      <c r="M39" s="37" t="n">
        <f>0</f>
        <v>0.0</v>
      </c>
      <c r="N39" s="25" t="n">
        <f>19760000</f>
        <v>1.976E7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372</f>
        <v>372.0</v>
      </c>
      <c r="E41" s="36" t="n">
        <f>0</f>
        <v>0.0</v>
      </c>
      <c r="F41" s="21" t="n">
        <f>9567</f>
        <v>9567.0</v>
      </c>
      <c r="G41" s="36" t="n">
        <f>0</f>
        <v>0.0</v>
      </c>
      <c r="H41" s="21" t="n">
        <f>9939</f>
        <v>9939.0</v>
      </c>
      <c r="I41" s="36" t="n">
        <f>0</f>
        <v>0.0</v>
      </c>
      <c r="J41" s="21" t="n">
        <f>2366330</f>
        <v>2366330.0</v>
      </c>
      <c r="K41" s="36" t="n">
        <f>0</f>
        <v>0.0</v>
      </c>
      <c r="L41" s="21" t="n">
        <f>21064370</f>
        <v>2.106437E7</v>
      </c>
      <c r="M41" s="36" t="n">
        <f>0</f>
        <v>0.0</v>
      </c>
      <c r="N41" s="21" t="n">
        <f>23430700</f>
        <v>2.34307E7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225</f>
        <v>225.0</v>
      </c>
      <c r="E42" s="36" t="n">
        <f>0</f>
        <v>0.0</v>
      </c>
      <c r="F42" s="21" t="n">
        <f>6193</f>
        <v>6193.0</v>
      </c>
      <c r="G42" s="36" t="n">
        <f>0</f>
        <v>0.0</v>
      </c>
      <c r="H42" s="21" t="n">
        <f>6418</f>
        <v>6418.0</v>
      </c>
      <c r="I42" s="36" t="n">
        <f>0</f>
        <v>0.0</v>
      </c>
      <c r="J42" s="21" t="n">
        <f>3673829</f>
        <v>3673829.0</v>
      </c>
      <c r="K42" s="36" t="n">
        <f>0</f>
        <v>0.0</v>
      </c>
      <c r="L42" s="21" t="n">
        <f>15504500</f>
        <v>1.55045E7</v>
      </c>
      <c r="M42" s="36" t="n">
        <f>0</f>
        <v>0.0</v>
      </c>
      <c r="N42" s="21" t="n">
        <f>19178329</f>
        <v>1.9178329E7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597</f>
        <v>597.0</v>
      </c>
      <c r="E43" s="37" t="n">
        <f>0</f>
        <v>0.0</v>
      </c>
      <c r="F43" s="25" t="n">
        <f>15760</f>
        <v>15760.0</v>
      </c>
      <c r="G43" s="37" t="n">
        <f>0</f>
        <v>0.0</v>
      </c>
      <c r="H43" s="25" t="n">
        <f>16357</f>
        <v>16357.0</v>
      </c>
      <c r="I43" s="37" t="n">
        <f>0</f>
        <v>0.0</v>
      </c>
      <c r="J43" s="25" t="n">
        <f>6040159</f>
        <v>6040159.0</v>
      </c>
      <c r="K43" s="37" t="n">
        <f>0</f>
        <v>0.0</v>
      </c>
      <c r="L43" s="25" t="n">
        <f>36568870</f>
        <v>3.656887E7</v>
      </c>
      <c r="M43" s="37" t="n">
        <f>0</f>
        <v>0.0</v>
      </c>
      <c r="N43" s="25" t="n">
        <f>42609029</f>
        <v>4.2609029E7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