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<sst xmlns="http://schemas.openxmlformats.org/spreadsheetml/2006/main" count="528" uniqueCount="129">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</sst>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DATE(2026,05,07)</f>
        <v>46149.0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DATE(2026,05,07)</f>
        <v>46149.0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3935162.0</f>
        <v>3935162.0</v>
      </c>
      <c r="E12" s="18" t="n">
        <f>174095.0</f>
        <v>174095.0</v>
      </c>
      <c r="F12" s="19" t="n">
        <f>1.0</f>
        <v>1.0</v>
      </c>
      <c r="G12" s="17" t="n">
        <f>17757651261700.0</f>
        <v>1.77576512617E13</v>
      </c>
      <c r="H12" s="18" t="n">
        <f>1224565193500.0</f>
        <v>1.2245651935E12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519587.0</f>
        <v>519587.0</v>
      </c>
      <c r="E13" s="22" t="n">
        <f>33550.0</f>
        <v>33550.0</v>
      </c>
      <c r="F13" s="23" t="n">
        <f>1.0</f>
        <v>1.0</v>
      </c>
      <c r="G13" s="21" t="n">
        <f>5711002525310.0</f>
        <v>5.71100252531E12</v>
      </c>
      <c r="H13" s="22" t="n">
        <f>573828003210.0</f>
        <v>5.7382800321E11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655651.0</f>
        <v>655651.0</v>
      </c>
      <c r="E14" s="22" t="n">
        <f>82227.0</f>
        <v>82227.0</v>
      </c>
      <c r="F14" s="23" t="n">
        <f>1.0</f>
        <v>1.0</v>
      </c>
      <c r="G14" s="21" t="n">
        <f>7835108438589.0</f>
        <v>7.835108438589E12</v>
      </c>
      <c r="H14" s="22" t="n">
        <f>1708083054164.0</f>
        <v>1.708083054164E12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5110400.0</f>
        <v>5110400.0</v>
      </c>
      <c r="E15" s="26" t="n">
        <f>289872.0</f>
        <v>289872.0</v>
      </c>
      <c r="F15" s="27" t="n">
        <f>1.0</f>
        <v>1.0</v>
      </c>
      <c r="G15" s="25" t="n">
        <f>31303762225599.0</f>
        <v>3.1303762225599E13</v>
      </c>
      <c r="H15" s="26" t="n">
        <f>3506476250874.0</f>
        <v>3.506476250874E12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9844.0</f>
        <v>9844.0</v>
      </c>
      <c r="E16" s="18" t="n">
        <f>19.0</f>
        <v>19.0</v>
      </c>
      <c r="F16" s="19" t="n">
        <f>0.003</f>
        <v>0.003</v>
      </c>
      <c r="G16" s="17" t="n">
        <f>1197010486250.0</f>
        <v>1.19701048625E12</v>
      </c>
      <c r="H16" s="18" t="n">
        <f>2459330000.0</f>
        <v>2.45933E9</v>
      </c>
      <c r="I16" s="19" t="n">
        <f>0.067</f>
        <v>0.067</v>
      </c>
    </row>
    <row r="17" spans="1:9" ht="24.9" customHeight="1">
      <c r="A17" s="41"/>
      <c r="B17" s="39"/>
      <c r="C17" s="20" t="s">
        <v>16</v>
      </c>
      <c r="D17" s="21" t="n">
        <f>20059.0</f>
        <v>20059.0</v>
      </c>
      <c r="E17" s="22" t="n">
        <f>1934.0</f>
        <v>1934.0</v>
      </c>
      <c r="F17" s="23" t="n">
        <f>0.039</f>
        <v>0.039</v>
      </c>
      <c r="G17" s="21" t="n">
        <f>2225963821000.0</f>
        <v>2.225963821E12</v>
      </c>
      <c r="H17" s="22" t="n">
        <f>250681700000.0</f>
        <v>2.506817E11</v>
      </c>
      <c r="I17" s="23" t="n">
        <f>0.39</f>
        <v>0.39</v>
      </c>
    </row>
    <row r="18" spans="1:9" ht="24.9" customHeight="1">
      <c r="A18" s="41"/>
      <c r="B18" s="39"/>
      <c r="C18" s="20" t="s">
        <v>17</v>
      </c>
      <c r="D18" s="21" t="n">
        <f>17879.0</f>
        <v>17879.0</v>
      </c>
      <c r="E18" s="22" t="n">
        <f>2709.0</f>
        <v>2709.0</v>
      </c>
      <c r="F18" s="23" t="n">
        <f>0.027</f>
        <v>0.027</v>
      </c>
      <c r="G18" s="21" t="n">
        <f>2080033516875.0</f>
        <v>2.080033516875E12</v>
      </c>
      <c r="H18" s="22" t="n">
        <f>351292435000.0</f>
        <v>3.51292435E11</v>
      </c>
      <c r="I18" s="23" t="n">
        <f>0.265</f>
        <v>0.265</v>
      </c>
    </row>
    <row r="19" spans="1:9" ht="24.9" customHeight="1">
      <c r="A19" s="41"/>
      <c r="B19" s="39"/>
      <c r="C19" s="24" t="s">
        <v>18</v>
      </c>
      <c r="D19" s="25" t="n">
        <f>47782.0</f>
        <v>47782.0</v>
      </c>
      <c r="E19" s="26" t="n">
        <f>4662.0</f>
        <v>4662.0</v>
      </c>
      <c r="F19" s="27" t="n">
        <f>0.009</f>
        <v>0.009</v>
      </c>
      <c r="G19" s="25" t="n">
        <f>5503007824125.0</f>
        <v>5.503007824125E12</v>
      </c>
      <c r="H19" s="26" t="n">
        <f>604433465000.0</f>
        <v>6.04433465E11</v>
      </c>
      <c r="I19" s="27" t="n">
        <f>0.176</f>
        <v>0.176</v>
      </c>
    </row>
    <row r="20" spans="1:9" ht="24.9" customHeight="1">
      <c r="A20" s="41"/>
      <c r="B20" s="39" t="s">
        <v>21</v>
      </c>
      <c r="C20" s="16" t="s">
        <v>15</v>
      </c>
      <c r="D20" s="17" t="n">
        <f>3861739.0</f>
        <v>3861739.0</v>
      </c>
      <c r="E20" s="18" t="n">
        <f>174056.0</f>
        <v>174056.0</v>
      </c>
      <c r="F20" s="19" t="n">
        <f>0.981</f>
        <v>0.981</v>
      </c>
      <c r="G20" s="17" t="n">
        <f>15858311780250.0</f>
        <v>1.585831178025E13</v>
      </c>
      <c r="H20" s="18" t="n">
        <f>1222091343500.0</f>
        <v>1.2220913435E12</v>
      </c>
      <c r="I20" s="19" t="n">
        <f>0.893</f>
        <v>0.893</v>
      </c>
    </row>
    <row r="21" spans="1:9" ht="24.9" customHeight="1">
      <c r="A21" s="41"/>
      <c r="B21" s="39"/>
      <c r="C21" s="20" t="s">
        <v>16</v>
      </c>
      <c r="D21" s="21" t="n">
        <f>488909.0</f>
        <v>488909.0</v>
      </c>
      <c r="E21" s="22" t="n">
        <f>31616.0</f>
        <v>31616.0</v>
      </c>
      <c r="F21" s="23" t="n">
        <f>0.941</f>
        <v>0.941</v>
      </c>
      <c r="G21" s="21" t="n">
        <f>3396258453460.0</f>
        <v>3.39625845346E12</v>
      </c>
      <c r="H21" s="22" t="n">
        <f>323146303210.0</f>
        <v>3.2314630321E11</v>
      </c>
      <c r="I21" s="23" t="n">
        <f>0.595</f>
        <v>0.595</v>
      </c>
    </row>
    <row r="22" spans="1:9" ht="24.9" customHeight="1">
      <c r="A22" s="41"/>
      <c r="B22" s="39"/>
      <c r="C22" s="20" t="s">
        <v>17</v>
      </c>
      <c r="D22" s="21" t="n">
        <f>624351.0</f>
        <v>624351.0</v>
      </c>
      <c r="E22" s="22" t="n">
        <f>79515.0</f>
        <v>79515.0</v>
      </c>
      <c r="F22" s="23" t="n">
        <f>0.952</f>
        <v>0.952</v>
      </c>
      <c r="G22" s="21" t="n">
        <f>5658526676164.0</f>
        <v>5.658526676164E12</v>
      </c>
      <c r="H22" s="22" t="n">
        <f>1356778065164.0</f>
        <v>1.356778065164E12</v>
      </c>
      <c r="I22" s="23" t="n">
        <f>0.722</f>
        <v>0.722</v>
      </c>
    </row>
    <row r="23" spans="1:9" ht="24.9" customHeight="1">
      <c r="A23" s="41"/>
      <c r="B23" s="39"/>
      <c r="C23" s="24" t="s">
        <v>18</v>
      </c>
      <c r="D23" s="25" t="n">
        <f>4974999.0</f>
        <v>4974999.0</v>
      </c>
      <c r="E23" s="26" t="n">
        <f>285187.0</f>
        <v>285187.0</v>
      </c>
      <c r="F23" s="27" t="n">
        <f>0.974</f>
        <v>0.974</v>
      </c>
      <c r="G23" s="25" t="n">
        <f>24913096909874.0</f>
        <v>2.4913096909874E13</v>
      </c>
      <c r="H23" s="26" t="n">
        <f>2902015711874.0</f>
        <v>2.902015711874E12</v>
      </c>
      <c r="I23" s="27" t="n">
        <f>0.796</f>
        <v>0.796</v>
      </c>
    </row>
    <row r="24" spans="1:9" ht="24.9" customHeight="1">
      <c r="A24" s="41"/>
      <c r="B24" s="39" t="s">
        <v>22</v>
      </c>
      <c r="C24" s="16" t="s">
        <v>15</v>
      </c>
      <c r="D24" s="17" t="n">
        <f>60652.0</f>
        <v>60652.0</v>
      </c>
      <c r="E24" s="18" t="n">
        <f>0.0</f>
        <v>0.0</v>
      </c>
      <c r="F24" s="19" t="n">
        <f>0.015</f>
        <v>0.015</v>
      </c>
      <c r="G24" s="17" t="n">
        <f>689536588700.0</f>
        <v>6.895365887E11</v>
      </c>
      <c r="H24" s="18" t="n">
        <f>0.0</f>
        <v>0.0</v>
      </c>
      <c r="I24" s="19" t="n">
        <f>0.039</f>
        <v>0.039</v>
      </c>
    </row>
    <row r="25" spans="1:9" ht="24.9" customHeight="1">
      <c r="A25" s="41"/>
      <c r="B25" s="39"/>
      <c r="C25" s="20" t="s">
        <v>16</v>
      </c>
      <c r="D25" s="21" t="n">
        <f>10323.0</f>
        <v>10323.0</v>
      </c>
      <c r="E25" s="22" t="n">
        <f>0.0</f>
        <v>0.0</v>
      </c>
      <c r="F25" s="23" t="n">
        <f>0.02</f>
        <v>0.02</v>
      </c>
      <c r="G25" s="21" t="n">
        <f>87543357850.0</f>
        <v>8.754335785E10</v>
      </c>
      <c r="H25" s="22" t="n">
        <f>0.0</f>
        <v>0.0</v>
      </c>
      <c r="I25" s="23" t="n">
        <f>0.015</f>
        <v>0.015</v>
      </c>
    </row>
    <row r="26" spans="1:9" ht="24.9" customHeight="1">
      <c r="A26" s="41"/>
      <c r="B26" s="39"/>
      <c r="C26" s="20" t="s">
        <v>17</v>
      </c>
      <c r="D26" s="21" t="n">
        <f>11595.0</f>
        <v>11595.0</v>
      </c>
      <c r="E26" s="22" t="n">
        <f>3.0</f>
        <v>3.0</v>
      </c>
      <c r="F26" s="23" t="n">
        <f>0.018</f>
        <v>0.018</v>
      </c>
      <c r="G26" s="21" t="n">
        <f>88923912550.0</f>
        <v>8.892391255E10</v>
      </c>
      <c r="H26" s="22" t="n">
        <f>12554000.0</f>
        <v>1.2554E7</v>
      </c>
      <c r="I26" s="23" t="n">
        <f>0.011</f>
        <v>0.011</v>
      </c>
    </row>
    <row r="27" spans="1:9" ht="24.9" customHeight="1">
      <c r="A27" s="42"/>
      <c r="B27" s="39"/>
      <c r="C27" s="24" t="s">
        <v>18</v>
      </c>
      <c r="D27" s="25" t="n">
        <f>82570.0</f>
        <v>82570.0</v>
      </c>
      <c r="E27" s="26" t="n">
        <f>3.0</f>
        <v>3.0</v>
      </c>
      <c r="F27" s="27" t="n">
        <f>0.016</f>
        <v>0.016</v>
      </c>
      <c r="G27" s="25" t="n">
        <f>866003859100.0</f>
        <v>8.660038591E11</v>
      </c>
      <c r="H27" s="26" t="n">
        <f>12554000.0</f>
        <v>1.2554E7</v>
      </c>
      <c r="I27" s="27" t="n">
        <f>0.028</f>
        <v>0.028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2927.0</f>
        <v>2927.0</v>
      </c>
      <c r="E28" s="18" t="n">
        <f>20.0</f>
        <v>20.0</v>
      </c>
      <c r="F28" s="19" t="n">
        <f>0.001</f>
        <v>0.001</v>
      </c>
      <c r="G28" s="17" t="n">
        <f>12792406500.0</f>
        <v>1.27924065E10</v>
      </c>
      <c r="H28" s="18" t="n">
        <f>14520000.0</f>
        <v>1.452E7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296.0</f>
        <v>296.0</v>
      </c>
      <c r="E29" s="22" t="n">
        <f>0.0</f>
        <v>0.0</v>
      </c>
      <c r="F29" s="23" t="n">
        <f>0.001</f>
        <v>0.001</v>
      </c>
      <c r="G29" s="21" t="n">
        <f>1236893000.0</f>
        <v>1.236893E9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1826.0</f>
        <v>1826.0</v>
      </c>
      <c r="E30" s="22" t="n">
        <f>0.0</f>
        <v>0.0</v>
      </c>
      <c r="F30" s="23" t="n">
        <f>0.003</f>
        <v>0.003</v>
      </c>
      <c r="G30" s="21" t="n">
        <f>7624333000.0</f>
        <v>7.624333E9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5049.0</f>
        <v>5049.0</v>
      </c>
      <c r="E31" s="26" t="n">
        <f>20.0</f>
        <v>20.0</v>
      </c>
      <c r="F31" s="27" t="n">
        <f>0.001</f>
        <v>0.001</v>
      </c>
      <c r="G31" s="25" t="n">
        <f>21653632500.0</f>
        <v>2.16536325E10</v>
      </c>
      <c r="H31" s="26" t="n">
        <f>14520000.0</f>
        <v>1.452E7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46149.0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46149.0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144241</f>
        <v>144241.0</v>
      </c>
      <c r="E11" s="18" t="n">
        <f>18925</f>
        <v>18925.0</v>
      </c>
      <c r="F11" s="19" t="n">
        <f>1</f>
        <v>1.0</v>
      </c>
      <c r="G11" s="17" t="n">
        <f>11735531760</f>
        <v>1.173553176E10</v>
      </c>
      <c r="H11" s="18" t="n">
        <f>2398020760</f>
        <v>2.39802076E9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74339</f>
        <v>74339.0</v>
      </c>
      <c r="E12" s="22" t="n">
        <f>10356</f>
        <v>10356.0</v>
      </c>
      <c r="F12" s="23" t="n">
        <f>1</f>
        <v>1.0</v>
      </c>
      <c r="G12" s="21" t="n">
        <f>9566192757</f>
        <v>9.566192757E9</v>
      </c>
      <c r="H12" s="22" t="n">
        <f>5107268720</f>
        <v>5.10726872E9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104991</f>
        <v>104991.0</v>
      </c>
      <c r="E13" s="22" t="n">
        <f>38150</f>
        <v>38150.0</v>
      </c>
      <c r="F13" s="23" t="n">
        <f>1</f>
        <v>1.0</v>
      </c>
      <c r="G13" s="21" t="n">
        <f>48504018073</f>
        <v>4.8504018073E10</v>
      </c>
      <c r="H13" s="22" t="n">
        <f>39208419193</f>
        <v>3.9208419193E10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323571</f>
        <v>323571.0</v>
      </c>
      <c r="E14" s="26" t="n">
        <f>67431</f>
        <v>67431.0</v>
      </c>
      <c r="F14" s="27" t="n">
        <f>1</f>
        <v>1.0</v>
      </c>
      <c r="G14" s="25" t="n">
        <f>69805742590</f>
        <v>6.980574259E10</v>
      </c>
      <c r="H14" s="26" t="n">
        <f>46713708673</f>
        <v>4.6713708673E10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</f>
        <v>2.0</v>
      </c>
      <c r="E15" s="18" t="n">
        <f>0</f>
        <v>0.0</v>
      </c>
      <c r="F15" s="19" t="n">
        <f>0</f>
        <v>0.0</v>
      </c>
      <c r="G15" s="17" t="n">
        <f>490000</f>
        <v>490000.0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24</f>
        <v>24.0</v>
      </c>
      <c r="E16" s="22" t="n">
        <f>0</f>
        <v>0.0</v>
      </c>
      <c r="F16" s="23" t="n">
        <f>0</f>
        <v>0.0</v>
      </c>
      <c r="G16" s="21" t="n">
        <f>4550000</f>
        <v>4550000.0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114</f>
        <v>114.0</v>
      </c>
      <c r="E17" s="22" t="n">
        <f>0</f>
        <v>0.0</v>
      </c>
      <c r="F17" s="23" t="n">
        <f>0.001</f>
        <v>0.001</v>
      </c>
      <c r="G17" s="21" t="n">
        <f>15580000</f>
        <v>1.558E7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140</f>
        <v>140.0</v>
      </c>
      <c r="E18" s="26" t="n">
        <f>0</f>
        <v>0.0</v>
      </c>
      <c r="F18" s="27" t="n">
        <f>0</f>
        <v>0.0</v>
      </c>
      <c r="G18" s="25" t="n">
        <f>20620000</f>
        <v>2.062E7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144239</f>
        <v>144239.0</v>
      </c>
      <c r="E19" s="18" t="n">
        <f>18925</f>
        <v>18925.0</v>
      </c>
      <c r="F19" s="19" t="n">
        <f>1</f>
        <v>1.0</v>
      </c>
      <c r="G19" s="17" t="n">
        <f>11735041760</f>
        <v>1.173504176E10</v>
      </c>
      <c r="H19" s="18" t="n">
        <f>2398020760</f>
        <v>2.39802076E9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37976</f>
        <v>37976.0</v>
      </c>
      <c r="E20" s="22" t="n">
        <f>10356</f>
        <v>10356.0</v>
      </c>
      <c r="F20" s="23" t="n">
        <f>0.511</f>
        <v>0.511</v>
      </c>
      <c r="G20" s="21" t="n">
        <f>9460728620</f>
        <v>9.46072862E9</v>
      </c>
      <c r="H20" s="22" t="n">
        <f>5107268720</f>
        <v>5.10726872E9</v>
      </c>
      <c r="I20" s="23" t="n">
        <f>0.989</f>
        <v>0.989</v>
      </c>
    </row>
    <row r="21" spans="1:9" ht="24.9" customHeight="1">
      <c r="A21" s="41"/>
      <c r="B21" s="39"/>
      <c r="C21" s="20" t="s">
        <v>17</v>
      </c>
      <c r="D21" s="21" t="n">
        <f>81463</f>
        <v>81463.0</v>
      </c>
      <c r="E21" s="22" t="n">
        <f>38125</f>
        <v>38125.0</v>
      </c>
      <c r="F21" s="23" t="n">
        <f>0.776</f>
        <v>0.776</v>
      </c>
      <c r="G21" s="21" t="n">
        <f>48228904893</f>
        <v>4.8228904893E10</v>
      </c>
      <c r="H21" s="22" t="n">
        <f>39201169193</f>
        <v>3.9201169193E10</v>
      </c>
      <c r="I21" s="23" t="n">
        <f>0.994</f>
        <v>0.994</v>
      </c>
    </row>
    <row r="22" spans="1:9" ht="24.9" customHeight="1">
      <c r="A22" s="41"/>
      <c r="B22" s="39"/>
      <c r="C22" s="24" t="s">
        <v>18</v>
      </c>
      <c r="D22" s="25" t="n">
        <f>263678</f>
        <v>263678.0</v>
      </c>
      <c r="E22" s="26" t="n">
        <f>67406</f>
        <v>67406.0</v>
      </c>
      <c r="F22" s="27" t="n">
        <f>0.815</f>
        <v>0.815</v>
      </c>
      <c r="G22" s="25" t="n">
        <f>69424675273</f>
        <v>6.9424675273E10</v>
      </c>
      <c r="H22" s="26" t="n">
        <f>46706458673</f>
        <v>4.6706458673E10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36339</f>
        <v>36339.0</v>
      </c>
      <c r="E24" s="22" t="n">
        <f>0</f>
        <v>0.0</v>
      </c>
      <c r="F24" s="23" t="n">
        <f>0.489</f>
        <v>0.489</v>
      </c>
      <c r="G24" s="21" t="n">
        <f>100914137</f>
        <v>1.00914137E8</v>
      </c>
      <c r="H24" s="22" t="n">
        <f>0</f>
        <v>0.0</v>
      </c>
      <c r="I24" s="23" t="n">
        <f>0.011</f>
        <v>0.011</v>
      </c>
    </row>
    <row r="25" spans="1:9" ht="24.9" customHeight="1">
      <c r="A25" s="41"/>
      <c r="B25" s="39"/>
      <c r="C25" s="20" t="s">
        <v>17</v>
      </c>
      <c r="D25" s="21" t="n">
        <f>23414</f>
        <v>23414.0</v>
      </c>
      <c r="E25" s="22" t="n">
        <f>25</f>
        <v>25.0</v>
      </c>
      <c r="F25" s="23" t="n">
        <f>0.223</f>
        <v>0.223</v>
      </c>
      <c r="G25" s="21" t="n">
        <f>259533180</f>
        <v>2.5953318E8</v>
      </c>
      <c r="H25" s="22" t="n">
        <f>7250000</f>
        <v>7250000.0</v>
      </c>
      <c r="I25" s="23" t="n">
        <f>0.005</f>
        <v>0.005</v>
      </c>
    </row>
    <row r="26" spans="1:9" ht="24.9" customHeight="1">
      <c r="A26" s="41"/>
      <c r="B26" s="39"/>
      <c r="C26" s="24" t="s">
        <v>18</v>
      </c>
      <c r="D26" s="25" t="n">
        <f>59753</f>
        <v>59753.0</v>
      </c>
      <c r="E26" s="26" t="n">
        <f>25</f>
        <v>25.0</v>
      </c>
      <c r="F26" s="27" t="n">
        <f>0.185</f>
        <v>0.185</v>
      </c>
      <c r="G26" s="25" t="n">
        <f>360447317</f>
        <v>3.60447317E8</v>
      </c>
      <c r="H26" s="26" t="n">
        <f>7250000</f>
        <v>7250000.0</v>
      </c>
      <c r="I26" s="27" t="n">
        <f>0.005</f>
        <v>0.005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46149.0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46149.0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50768.0</v>
      </c>
      <c r="F12" s="18" t="n">
        <f>3198</f>
        <v>3198.0</v>
      </c>
      <c r="G12" s="17" t="n">
        <v>3.06790649842E12</v>
      </c>
      <c r="H12" s="18" t="n">
        <f>193480421420</f>
        <v>1.9348042142E11</v>
      </c>
    </row>
    <row r="13" spans="1:8" ht="24.9" customHeight="1">
      <c r="A13" s="51"/>
      <c r="B13" s="57"/>
      <c r="C13" s="39"/>
      <c r="D13" s="20" t="s">
        <v>16</v>
      </c>
      <c r="E13" s="21" t="n">
        <v>15333.0</v>
      </c>
      <c r="F13" s="22" t="n">
        <f>2211</f>
        <v>2211.0</v>
      </c>
      <c r="G13" s="21" t="n">
        <v>9.543227721E11</v>
      </c>
      <c r="H13" s="22" t="n">
        <f>137611331100</f>
        <v>1.376113311E11</v>
      </c>
    </row>
    <row r="14" spans="1:8" ht="24.9" customHeight="1">
      <c r="A14" s="51"/>
      <c r="B14" s="57"/>
      <c r="C14" s="39"/>
      <c r="D14" s="20" t="s">
        <v>17</v>
      </c>
      <c r="E14" s="21" t="n">
        <v>32104.0</v>
      </c>
      <c r="F14" s="22" t="n">
        <f>11780</f>
        <v>11780.0</v>
      </c>
      <c r="G14" s="21" t="n">
        <v>2.02164300413E12</v>
      </c>
      <c r="H14" s="22" t="n">
        <f>740218917130</f>
        <v>7.4021891713E11</v>
      </c>
    </row>
    <row r="15" spans="1:8" ht="24.9" customHeight="1">
      <c r="A15" s="51"/>
      <c r="B15" s="57"/>
      <c r="C15" s="39"/>
      <c r="D15" s="24" t="s">
        <v>18</v>
      </c>
      <c r="E15" s="25" t="n">
        <v>98205.0</v>
      </c>
      <c r="F15" s="26" t="n">
        <f>17189</f>
        <v>17189.0</v>
      </c>
      <c r="G15" s="25" t="n">
        <v>6.04387227465E12</v>
      </c>
      <c r="H15" s="26" t="n">
        <f>1071310669650</f>
        <v>1.07131066965E12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1408256.0</v>
      </c>
      <c r="F16" s="18" t="n">
        <f>168085</f>
        <v>168085.0</v>
      </c>
      <c r="G16" s="17" t="n">
        <v>8.51378475046E12</v>
      </c>
      <c r="H16" s="18" t="n">
        <f>1015658468860</f>
        <v>1.01565846886E12</v>
      </c>
    </row>
    <row r="17" spans="1:8" ht="24.9" customHeight="1">
      <c r="A17" s="51"/>
      <c r="B17" s="57"/>
      <c r="C17" s="39"/>
      <c r="D17" s="20" t="s">
        <v>16</v>
      </c>
      <c r="E17" s="21" t="n">
        <v>224530.0</v>
      </c>
      <c r="F17" s="22" t="n">
        <f>28844</f>
        <v>28844.0</v>
      </c>
      <c r="G17" s="21" t="n">
        <v>1.39732117175E12</v>
      </c>
      <c r="H17" s="22" t="n">
        <f>179631145050</f>
        <v>1.7963114505E11</v>
      </c>
    </row>
    <row r="18" spans="1:8" ht="24.9" customHeight="1">
      <c r="A18" s="51"/>
      <c r="B18" s="57"/>
      <c r="C18" s="39"/>
      <c r="D18" s="20" t="s">
        <v>17</v>
      </c>
      <c r="E18" s="21" t="n">
        <v>290043.0</v>
      </c>
      <c r="F18" s="22" t="n">
        <f>61119</f>
        <v>61119.0</v>
      </c>
      <c r="G18" s="21" t="n">
        <v>1.82678615167E12</v>
      </c>
      <c r="H18" s="22" t="n">
        <f>383803968070</f>
        <v>3.8380396807E11</v>
      </c>
    </row>
    <row r="19" spans="1:8" ht="24.9" customHeight="1">
      <c r="A19" s="51"/>
      <c r="B19" s="57"/>
      <c r="C19" s="39"/>
      <c r="D19" s="24" t="s">
        <v>18</v>
      </c>
      <c r="E19" s="25" t="n">
        <v>1922829.0</v>
      </c>
      <c r="F19" s="26" t="n">
        <f>258048</f>
        <v>258048.0</v>
      </c>
      <c r="G19" s="25" t="n">
        <v>1.173789207388E13</v>
      </c>
      <c r="H19" s="26" t="n">
        <f>1579093581980</f>
        <v>1.57909358198E12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2281884.0</v>
      </c>
      <c r="F20" s="18" t="str">
        <f>"－"</f>
        <v>－</v>
      </c>
      <c r="G20" s="17" t="n">
        <v>1.37809998155E12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213541.0</v>
      </c>
      <c r="F21" s="22" t="str">
        <f>"－"</f>
        <v>－</v>
      </c>
      <c r="G21" s="21" t="n">
        <v>1.329580525E11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246741.0</v>
      </c>
      <c r="F22" s="22" t="str">
        <f>"－"</f>
        <v>－</v>
      </c>
      <c r="G22" s="21" t="n">
        <v>1.55531205E11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2742166.0</v>
      </c>
      <c r="F23" s="26" t="str">
        <f>"－"</f>
        <v>－</v>
      </c>
      <c r="G23" s="25" t="n">
        <v>1.66658923905E12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73323.0</v>
      </c>
      <c r="F24" s="18" t="n">
        <f>114</f>
        <v>114.0</v>
      </c>
      <c r="G24" s="17" t="n">
        <v>2.7413613136E12</v>
      </c>
      <c r="H24" s="18" t="n">
        <f>4268538600</f>
        <v>4.2685386E9</v>
      </c>
    </row>
    <row r="25" spans="1:8" ht="24.9" customHeight="1">
      <c r="A25" s="51"/>
      <c r="B25" s="57"/>
      <c r="C25" s="39"/>
      <c r="D25" s="20" t="s">
        <v>16</v>
      </c>
      <c r="E25" s="21" t="n">
        <v>22746.0</v>
      </c>
      <c r="F25" s="22" t="n">
        <f>114</f>
        <v>114.0</v>
      </c>
      <c r="G25" s="21" t="n">
        <v>8.68685688E11</v>
      </c>
      <c r="H25" s="22" t="n">
        <f>4346668000</f>
        <v>4.346668E9</v>
      </c>
    </row>
    <row r="26" spans="1:8" ht="24.9" customHeight="1">
      <c r="A26" s="51"/>
      <c r="B26" s="57"/>
      <c r="C26" s="39"/>
      <c r="D26" s="20" t="s">
        <v>17</v>
      </c>
      <c r="E26" s="21" t="n">
        <v>41749.0</v>
      </c>
      <c r="F26" s="22" t="n">
        <f>5996</f>
        <v>5996.0</v>
      </c>
      <c r="G26" s="21" t="n">
        <v>1.60842381825E12</v>
      </c>
      <c r="H26" s="22" t="n">
        <f>230527178250</f>
        <v>2.3052717825E11</v>
      </c>
    </row>
    <row r="27" spans="1:8" ht="24.9" customHeight="1">
      <c r="A27" s="51"/>
      <c r="B27" s="57"/>
      <c r="C27" s="39"/>
      <c r="D27" s="24" t="s">
        <v>18</v>
      </c>
      <c r="E27" s="25" t="n">
        <v>137818.0</v>
      </c>
      <c r="F27" s="26" t="n">
        <f>6224</f>
        <v>6224.0</v>
      </c>
      <c r="G27" s="25" t="n">
        <v>5.21847081985E12</v>
      </c>
      <c r="H27" s="26" t="n">
        <f>239142384850</f>
        <v>2.3914238485E11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34868.0</v>
      </c>
      <c r="F28" s="18" t="n">
        <f>1953</f>
        <v>1953.0</v>
      </c>
      <c r="G28" s="17" t="n">
        <v>1.3032635456E11</v>
      </c>
      <c r="H28" s="18" t="n">
        <f>7316741560</f>
        <v>7.31674156E9</v>
      </c>
    </row>
    <row r="29" spans="1:8" ht="24.9" customHeight="1">
      <c r="A29" s="51"/>
      <c r="B29" s="57"/>
      <c r="C29" s="39"/>
      <c r="D29" s="20" t="s">
        <v>16</v>
      </c>
      <c r="E29" s="21" t="n">
        <v>8899.0</v>
      </c>
      <c r="F29" s="22" t="n">
        <f>394</f>
        <v>394.0</v>
      </c>
      <c r="G29" s="21" t="n">
        <v>3.39545864E10</v>
      </c>
      <c r="H29" s="22" t="n">
        <f>1503950150</f>
        <v>1.50395015E9</v>
      </c>
    </row>
    <row r="30" spans="1:8" ht="24.9" customHeight="1">
      <c r="A30" s="51"/>
      <c r="B30" s="57"/>
      <c r="C30" s="39"/>
      <c r="D30" s="20" t="s">
        <v>17</v>
      </c>
      <c r="E30" s="21" t="n">
        <v>8872.0</v>
      </c>
      <c r="F30" s="22" t="n">
        <f>386</f>
        <v>386.0</v>
      </c>
      <c r="G30" s="21" t="n">
        <v>3.418928853E10</v>
      </c>
      <c r="H30" s="22" t="n">
        <f>1487125030</f>
        <v>1.48712503E9</v>
      </c>
    </row>
    <row r="31" spans="1:8" ht="24.9" customHeight="1">
      <c r="A31" s="51"/>
      <c r="B31" s="57"/>
      <c r="C31" s="39"/>
      <c r="D31" s="24" t="s">
        <v>18</v>
      </c>
      <c r="E31" s="25" t="n">
        <v>52639.0</v>
      </c>
      <c r="F31" s="26" t="n">
        <f>2733</f>
        <v>2733.0</v>
      </c>
      <c r="G31" s="25" t="n">
        <v>1.9847022949E11</v>
      </c>
      <c r="H31" s="26" t="n">
        <f>10307816740</f>
        <v>1.030781674E10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4431.0</v>
      </c>
      <c r="F36" s="18" t="n">
        <f>18</f>
        <v>18.0</v>
      </c>
      <c r="G36" s="17" t="n">
        <v>1.510674353E10</v>
      </c>
      <c r="H36" s="18" t="n">
        <f>61259030</f>
        <v>6.125903E7</v>
      </c>
    </row>
    <row r="37" spans="1:8" ht="24.9" customHeight="1">
      <c r="A37" s="51"/>
      <c r="B37" s="57"/>
      <c r="C37" s="39"/>
      <c r="D37" s="20" t="s">
        <v>16</v>
      </c>
      <c r="E37" s="21" t="n">
        <v>2015.0</v>
      </c>
      <c r="F37" s="22" t="n">
        <f>3</f>
        <v>3.0</v>
      </c>
      <c r="G37" s="21" t="n">
        <v>7.00865001E9</v>
      </c>
      <c r="H37" s="22" t="n">
        <f>10546510</f>
        <v>1.054651E7</v>
      </c>
    </row>
    <row r="38" spans="1:8" ht="24.9" customHeight="1">
      <c r="A38" s="51"/>
      <c r="B38" s="57"/>
      <c r="C38" s="39"/>
      <c r="D38" s="20" t="s">
        <v>17</v>
      </c>
      <c r="E38" s="21" t="n">
        <v>2614.0</v>
      </c>
      <c r="F38" s="22" t="n">
        <f>155</f>
        <v>155.0</v>
      </c>
      <c r="G38" s="21" t="n">
        <v>9.196949074E9</v>
      </c>
      <c r="H38" s="22" t="n">
        <f>544121574</f>
        <v>5.44121574E8</v>
      </c>
    </row>
    <row r="39" spans="1:8" ht="24.9" customHeight="1">
      <c r="A39" s="51"/>
      <c r="B39" s="57"/>
      <c r="C39" s="39"/>
      <c r="D39" s="24" t="s">
        <v>18</v>
      </c>
      <c r="E39" s="25" t="n">
        <v>9060.0</v>
      </c>
      <c r="F39" s="26" t="n">
        <f>176</f>
        <v>176.0</v>
      </c>
      <c r="G39" s="25" t="n">
        <v>3.1312342614E10</v>
      </c>
      <c r="H39" s="26" t="n">
        <f>615927114</f>
        <v>6.15927114E8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6.0</v>
      </c>
      <c r="F46" s="22" t="n">
        <f>6</f>
        <v>6.0</v>
      </c>
      <c r="G46" s="21" t="n">
        <v>3.696E7</v>
      </c>
      <c r="H46" s="22" t="n">
        <f>36960000</f>
        <v>3.696E7</v>
      </c>
    </row>
    <row r="47" spans="1:8" ht="24.9" customHeight="1">
      <c r="A47" s="51"/>
      <c r="B47" s="57"/>
      <c r="C47" s="39"/>
      <c r="D47" s="24" t="s">
        <v>18</v>
      </c>
      <c r="E47" s="25" t="n">
        <v>6.0</v>
      </c>
      <c r="F47" s="26" t="n">
        <f>6</f>
        <v>6.0</v>
      </c>
      <c r="G47" s="25" t="n">
        <v>3.696E7</v>
      </c>
      <c r="H47" s="26" t="n">
        <f>36960000</f>
        <v>3.696E7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509.0</v>
      </c>
      <c r="F48" s="18" t="n">
        <f>504</f>
        <v>504.0</v>
      </c>
      <c r="G48" s="17" t="n">
        <v>9.530667E8</v>
      </c>
      <c r="H48" s="18" t="n">
        <f>943672200</f>
        <v>9.436722E8</v>
      </c>
    </row>
    <row r="49" spans="1:8" ht="24.9" customHeight="1">
      <c r="A49" s="51"/>
      <c r="B49" s="57"/>
      <c r="C49" s="39"/>
      <c r="D49" s="20" t="s">
        <v>16</v>
      </c>
      <c r="E49" s="21" t="n">
        <v>43.0</v>
      </c>
      <c r="F49" s="22" t="n">
        <f>0</f>
        <v>0.0</v>
      </c>
      <c r="G49" s="21" t="n">
        <v>8.0952E7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29.0</v>
      </c>
      <c r="F50" s="22" t="n">
        <f>9</f>
        <v>9.0</v>
      </c>
      <c r="G50" s="21" t="n">
        <v>5.432521E7</v>
      </c>
      <c r="H50" s="22" t="n">
        <f>16849710</f>
        <v>1.684971E7</v>
      </c>
    </row>
    <row r="51" spans="1:8" ht="24.9" customHeight="1">
      <c r="A51" s="51"/>
      <c r="B51" s="57"/>
      <c r="C51" s="39"/>
      <c r="D51" s="24" t="s">
        <v>18</v>
      </c>
      <c r="E51" s="25" t="n">
        <v>581.0</v>
      </c>
      <c r="F51" s="26" t="n">
        <f>513</f>
        <v>513.0</v>
      </c>
      <c r="G51" s="25" t="n">
        <v>1.08834391E9</v>
      </c>
      <c r="H51" s="26" t="n">
        <f>960521910</f>
        <v>9.6052191E8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4978.0</v>
      </c>
      <c r="F56" s="18" t="n">
        <f>131</f>
        <v>131.0</v>
      </c>
      <c r="G56" s="17" t="n">
        <v>3.759363E9</v>
      </c>
      <c r="H56" s="18" t="n">
        <f>99103000</f>
        <v>9.9103E7</v>
      </c>
    </row>
    <row r="57" spans="1:8" ht="24.9" customHeight="1">
      <c r="A57" s="51"/>
      <c r="B57" s="57"/>
      <c r="C57" s="39"/>
      <c r="D57" s="20" t="s">
        <v>16</v>
      </c>
      <c r="E57" s="21" t="n">
        <v>1233.0</v>
      </c>
      <c r="F57" s="22" t="n">
        <f>49</f>
        <v>49.0</v>
      </c>
      <c r="G57" s="21" t="n">
        <v>9.484811E8</v>
      </c>
      <c r="H57" s="22" t="n">
        <f>37662100</f>
        <v>3.76621E7</v>
      </c>
    </row>
    <row r="58" spans="1:8" ht="24.9" customHeight="1">
      <c r="A58" s="51"/>
      <c r="B58" s="57"/>
      <c r="C58" s="39"/>
      <c r="D58" s="20" t="s">
        <v>17</v>
      </c>
      <c r="E58" s="21" t="n">
        <v>1299.0</v>
      </c>
      <c r="F58" s="22" t="n">
        <f>42</f>
        <v>42.0</v>
      </c>
      <c r="G58" s="21" t="n">
        <v>1.00497781E9</v>
      </c>
      <c r="H58" s="22" t="n">
        <f>32693810</f>
        <v>3.269381E7</v>
      </c>
    </row>
    <row r="59" spans="1:8" ht="24.9" customHeight="1">
      <c r="A59" s="51"/>
      <c r="B59" s="57"/>
      <c r="C59" s="39"/>
      <c r="D59" s="24" t="s">
        <v>18</v>
      </c>
      <c r="E59" s="25" t="n">
        <v>7510.0</v>
      </c>
      <c r="F59" s="26" t="n">
        <f>222</f>
        <v>222.0</v>
      </c>
      <c r="G59" s="25" t="n">
        <v>5.71282191E9</v>
      </c>
      <c r="H59" s="26" t="n">
        <f>169458910</f>
        <v>1.6945891E8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618.0</v>
      </c>
      <c r="F60" s="18" t="n">
        <f>53</f>
        <v>53.0</v>
      </c>
      <c r="G60" s="17" t="n">
        <v>3.06632933E9</v>
      </c>
      <c r="H60" s="18" t="n">
        <f>263138830</f>
        <v>2.6313883E8</v>
      </c>
    </row>
    <row r="61" spans="1:8" ht="24.9" customHeight="1">
      <c r="A61" s="51"/>
      <c r="B61" s="57"/>
      <c r="C61" s="39"/>
      <c r="D61" s="20" t="s">
        <v>16</v>
      </c>
      <c r="E61" s="21" t="n">
        <v>27.0</v>
      </c>
      <c r="F61" s="22" t="n">
        <f>1</f>
        <v>1.0</v>
      </c>
      <c r="G61" s="21" t="n">
        <v>1.351733E8</v>
      </c>
      <c r="H61" s="22" t="n">
        <f>5000300</f>
        <v>5000300.0</v>
      </c>
    </row>
    <row r="62" spans="1:8" ht="24.9" customHeight="1">
      <c r="A62" s="51"/>
      <c r="B62" s="57"/>
      <c r="C62" s="39"/>
      <c r="D62" s="20" t="s">
        <v>17</v>
      </c>
      <c r="E62" s="21" t="n">
        <v>77.0</v>
      </c>
      <c r="F62" s="22" t="n">
        <f>22</f>
        <v>22.0</v>
      </c>
      <c r="G62" s="21" t="n">
        <v>3.8580949E8</v>
      </c>
      <c r="H62" s="22" t="n">
        <f>110251590</f>
        <v>1.1025159E8</v>
      </c>
    </row>
    <row r="63" spans="1:8" ht="24.9" customHeight="1">
      <c r="A63" s="51"/>
      <c r="B63" s="57"/>
      <c r="C63" s="39"/>
      <c r="D63" s="24" t="s">
        <v>18</v>
      </c>
      <c r="E63" s="25" t="n">
        <v>722.0</v>
      </c>
      <c r="F63" s="26" t="n">
        <f>76</f>
        <v>76.0</v>
      </c>
      <c r="G63" s="25" t="n">
        <v>3.58731212E9</v>
      </c>
      <c r="H63" s="26" t="n">
        <f>378390720</f>
        <v>3.7839072E8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6.0</v>
      </c>
      <c r="F76" s="18" t="n">
        <f>0</f>
        <v>0.0</v>
      </c>
      <c r="G76" s="17" t="n">
        <v>1919500.0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3.0</v>
      </c>
      <c r="F77" s="22" t="n">
        <f>0</f>
        <v>0.0</v>
      </c>
      <c r="G77" s="21" t="n">
        <v>972000.0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328000.0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10.0</v>
      </c>
      <c r="F79" s="26" t="n">
        <f>0</f>
        <v>0.0</v>
      </c>
      <c r="G79" s="25" t="n">
        <v>3219500.0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1057.0</v>
      </c>
      <c r="F92" s="18" t="n">
        <f>0</f>
        <v>0.0</v>
      </c>
      <c r="G92" s="17" t="n">
        <v>1.6544901E9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536.0</v>
      </c>
      <c r="F93" s="22" t="n">
        <f>0</f>
        <v>0.0</v>
      </c>
      <c r="G93" s="21" t="n">
        <v>8.350714E8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813.0</v>
      </c>
      <c r="F94" s="22" t="n">
        <f>0</f>
        <v>0.0</v>
      </c>
      <c r="G94" s="21" t="n">
        <v>1.2669715E9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2406.0</v>
      </c>
      <c r="F95" s="26" t="n">
        <f>0</f>
        <v>0.0</v>
      </c>
      <c r="G95" s="25" t="n">
        <v>3.756533E9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834.0</v>
      </c>
      <c r="F96" s="18" t="n">
        <f>0</f>
        <v>0.0</v>
      </c>
      <c r="G96" s="17" t="n">
        <v>1.9115059E9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3.0</v>
      </c>
      <c r="F97" s="22" t="n">
        <f>0</f>
        <v>0.0</v>
      </c>
      <c r="G97" s="21" t="n">
        <v>6882900.0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3.0</v>
      </c>
      <c r="F98" s="22" t="n">
        <f>0</f>
        <v>0.0</v>
      </c>
      <c r="G98" s="21" t="n">
        <v>6887500.0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840.0</v>
      </c>
      <c r="F99" s="26" t="n">
        <f>0</f>
        <v>0.0</v>
      </c>
      <c r="G99" s="25" t="n">
        <v>1.9252763E9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207.0</v>
      </c>
      <c r="F100" s="18" t="n">
        <f>0</f>
        <v>0.0</v>
      </c>
      <c r="G100" s="17" t="n">
        <v>3.794636E8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207.0</v>
      </c>
      <c r="F103" s="26" t="n">
        <f>0</f>
        <v>0.0</v>
      </c>
      <c r="G103" s="25" t="n">
        <v>3.794636E8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9096.0</v>
      </c>
      <c r="F108" s="18" t="n">
        <f>19</f>
        <v>19.0</v>
      </c>
      <c r="G108" s="17" t="n">
        <v>1.178486E12</v>
      </c>
      <c r="H108" s="18" t="n">
        <f>2459330000</f>
        <v>2.45933E9</v>
      </c>
    </row>
    <row r="109" spans="1:8" ht="24.9" customHeight="1">
      <c r="A109" s="51"/>
      <c r="B109" s="57"/>
      <c r="C109" s="39"/>
      <c r="D109" s="20" t="s">
        <v>16</v>
      </c>
      <c r="E109" s="21" t="n">
        <v>16499.0</v>
      </c>
      <c r="F109" s="22" t="n">
        <f>1934</f>
        <v>1934.0</v>
      </c>
      <c r="G109" s="21" t="n">
        <v>2.13854741E12</v>
      </c>
      <c r="H109" s="22" t="n">
        <f>250681700000</f>
        <v>2.506817E11</v>
      </c>
    </row>
    <row r="110" spans="1:8" ht="24.9" customHeight="1">
      <c r="A110" s="51"/>
      <c r="B110" s="57"/>
      <c r="C110" s="39"/>
      <c r="D110" s="20" t="s">
        <v>17</v>
      </c>
      <c r="E110" s="21" t="n">
        <v>15612.0</v>
      </c>
      <c r="F110" s="22" t="n">
        <f>2709</f>
        <v>2709.0</v>
      </c>
      <c r="G110" s="21" t="n">
        <v>2.024988325E12</v>
      </c>
      <c r="H110" s="22" t="n">
        <f>351292435000</f>
        <v>3.51292435E11</v>
      </c>
    </row>
    <row r="111" spans="1:8" ht="24.9" customHeight="1">
      <c r="A111" s="51"/>
      <c r="B111" s="57"/>
      <c r="C111" s="39"/>
      <c r="D111" s="24" t="s">
        <v>18</v>
      </c>
      <c r="E111" s="25" t="n">
        <v>41207.0</v>
      </c>
      <c r="F111" s="26" t="n">
        <f>4662</f>
        <v>4662.0</v>
      </c>
      <c r="G111" s="25" t="n">
        <v>5.342021735E12</v>
      </c>
      <c r="H111" s="26" t="n">
        <f>604433465000</f>
        <v>6.04433465E11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62.0</v>
      </c>
      <c r="F113" s="22" t="n">
        <f>0</f>
        <v>0.0</v>
      </c>
      <c r="G113" s="21" t="n">
        <v>8.03806E8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2.0</v>
      </c>
      <c r="F114" s="22" t="n">
        <f>0</f>
        <v>0.0</v>
      </c>
      <c r="G114" s="21" t="n">
        <v>2.5945E7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64.0</v>
      </c>
      <c r="F115" s="26" t="n">
        <f>0</f>
        <v>0.0</v>
      </c>
      <c r="G115" s="25" t="n">
        <v>8.29751E8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70.0</v>
      </c>
      <c r="F118" s="22" t="n">
        <f>0</f>
        <v>0.0</v>
      </c>
      <c r="G118" s="21" t="n">
        <v>6.6276E8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70.0</v>
      </c>
      <c r="F119" s="26" t="n">
        <f>0</f>
        <v>0.0</v>
      </c>
      <c r="G119" s="25" t="n">
        <v>6.6276E8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748.0</v>
      </c>
      <c r="F120" s="18" t="n">
        <f>0</f>
        <v>0.0</v>
      </c>
      <c r="G120" s="17" t="n">
        <v>1.852448625E10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3498.0</v>
      </c>
      <c r="F121" s="22" t="n">
        <f>0</f>
        <v>0.0</v>
      </c>
      <c r="G121" s="21" t="n">
        <v>8.6612605E10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2195.0</v>
      </c>
      <c r="F122" s="22" t="n">
        <f>0</f>
        <v>0.0</v>
      </c>
      <c r="G122" s="21" t="n">
        <v>5.4356486875E10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6441.0</v>
      </c>
      <c r="F123" s="26" t="n">
        <f>0</f>
        <v>0.0</v>
      </c>
      <c r="G123" s="25" t="n">
        <v>1.59493578125E11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24750.0</v>
      </c>
      <c r="F124" s="18" t="n">
        <f>0</f>
        <v>0.0</v>
      </c>
      <c r="G124" s="17" t="n">
        <v>5.91986085E11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2726.0</v>
      </c>
      <c r="F125" s="22" t="n">
        <f>0</f>
        <v>0.0</v>
      </c>
      <c r="G125" s="21" t="n">
        <v>6.6440891E10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2722.0</v>
      </c>
      <c r="F126" s="22" t="n">
        <f>0</f>
        <v>0.0</v>
      </c>
      <c r="G126" s="21" t="n">
        <v>6.649927E10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30198.0</v>
      </c>
      <c r="F127" s="26" t="n">
        <f>0</f>
        <v>0.0</v>
      </c>
      <c r="G127" s="25" t="n">
        <v>7.24926246E11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551.0</v>
      </c>
      <c r="F128" s="18" t="n">
        <f>0</f>
        <v>0.0</v>
      </c>
      <c r="G128" s="17" t="n">
        <v>1.3117257E9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91.0</v>
      </c>
      <c r="F129" s="22" t="n">
        <f>0</f>
        <v>0.0</v>
      </c>
      <c r="G129" s="21" t="n">
        <v>2.213647E8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52.0</v>
      </c>
      <c r="F130" s="22" t="n">
        <f>0</f>
        <v>0.0</v>
      </c>
      <c r="G130" s="21" t="n">
        <v>1.267543E8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694.0</v>
      </c>
      <c r="F131" s="26" t="n">
        <f>0</f>
        <v>0.0</v>
      </c>
      <c r="G131" s="25" t="n">
        <v>1.6598447E9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24780.0</v>
      </c>
      <c r="F132" s="18" t="n">
        <f>0</f>
        <v>0.0</v>
      </c>
      <c r="G132" s="17" t="n">
        <v>5.93855634E10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2045.0</v>
      </c>
      <c r="F133" s="22" t="n">
        <f>0</f>
        <v>0.0</v>
      </c>
      <c r="G133" s="21" t="n">
        <v>4.99473765E9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2995.0</v>
      </c>
      <c r="F134" s="22" t="n">
        <f>0</f>
        <v>0.0</v>
      </c>
      <c r="G134" s="21" t="n">
        <v>7.3295347E9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29820.0</v>
      </c>
      <c r="F135" s="26" t="n">
        <f>0</f>
        <v>0.0</v>
      </c>
      <c r="G135" s="25" t="n">
        <v>7.170983575E10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769.0</v>
      </c>
      <c r="F136" s="18" t="n">
        <f>0</f>
        <v>0.0</v>
      </c>
      <c r="G136" s="17" t="n">
        <v>1.8289952E9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29.0</v>
      </c>
      <c r="F137" s="22" t="n">
        <f>0</f>
        <v>0.0</v>
      </c>
      <c r="G137" s="21" t="n">
        <v>7.03672E7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509.0</v>
      </c>
      <c r="F138" s="22" t="n">
        <f>1</f>
        <v>1.0</v>
      </c>
      <c r="G138" s="21" t="n">
        <v>1.2316708E9</v>
      </c>
      <c r="H138" s="22" t="n">
        <f>2423000</f>
        <v>2423000.0</v>
      </c>
    </row>
    <row r="139" spans="1:8" ht="24.9" customHeight="1">
      <c r="A139" s="51"/>
      <c r="B139" s="57"/>
      <c r="C139" s="39"/>
      <c r="D139" s="24" t="s">
        <v>18</v>
      </c>
      <c r="E139" s="25" t="n">
        <v>1307.0</v>
      </c>
      <c r="F139" s="26" t="n">
        <f>1</f>
        <v>1.0</v>
      </c>
      <c r="G139" s="25" t="n">
        <v>3.1310332E9</v>
      </c>
      <c r="H139" s="26" t="n">
        <f>2423000</f>
        <v>2423000.0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1.2E7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1.2E7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5939.0</v>
      </c>
      <c r="F144" s="18" t="n">
        <f>0</f>
        <v>0.0</v>
      </c>
      <c r="G144" s="17" t="n">
        <v>2.9419636E10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2214.0</v>
      </c>
      <c r="F145" s="22" t="n">
        <f>0</f>
        <v>0.0</v>
      </c>
      <c r="G145" s="21" t="n">
        <v>1.14426005E10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1868.0</v>
      </c>
      <c r="F146" s="22" t="n">
        <f>2</f>
        <v>2.0</v>
      </c>
      <c r="G146" s="21" t="n">
        <v>9.6191985E9</v>
      </c>
      <c r="H146" s="22" t="n">
        <f>10131000</f>
        <v>1.0131E7</v>
      </c>
    </row>
    <row r="147" spans="1:8" ht="24.9" customHeight="1">
      <c r="A147" s="51"/>
      <c r="B147" s="57"/>
      <c r="C147" s="39"/>
      <c r="D147" s="24" t="s">
        <v>18</v>
      </c>
      <c r="E147" s="25" t="n">
        <v>10021.0</v>
      </c>
      <c r="F147" s="26" t="n">
        <f>2</f>
        <v>2.0</v>
      </c>
      <c r="G147" s="25" t="n">
        <v>5.0481435E10</v>
      </c>
      <c r="H147" s="26" t="n">
        <f>10131000</f>
        <v>1.0131E7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426.0</v>
      </c>
      <c r="F148" s="18" t="n">
        <f>0</f>
        <v>0.0</v>
      </c>
      <c r="G148" s="17" t="n">
        <v>4.242957E8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588.0</v>
      </c>
      <c r="F149" s="22" t="n">
        <f>0</f>
        <v>0.0</v>
      </c>
      <c r="G149" s="21" t="n">
        <v>6.157748E8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862.0</v>
      </c>
      <c r="F150" s="22" t="n">
        <f>0</f>
        <v>0.0</v>
      </c>
      <c r="G150" s="21" t="n">
        <v>9.018055E8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1876.0</v>
      </c>
      <c r="F151" s="26" t="n">
        <f>0</f>
        <v>0.0</v>
      </c>
      <c r="G151" s="25" t="n">
        <v>1.941876E9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1107.0</v>
      </c>
      <c r="F152" s="18" t="n">
        <f>0</f>
        <v>0.0</v>
      </c>
      <c r="G152" s="17" t="n">
        <v>1.0953119E9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168.0</v>
      </c>
      <c r="F153" s="22" t="n">
        <f>0</f>
        <v>0.0</v>
      </c>
      <c r="G153" s="21" t="n">
        <v>1.735411E8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194.0</v>
      </c>
      <c r="F154" s="22" t="n">
        <f>0</f>
        <v>0.0</v>
      </c>
      <c r="G154" s="21" t="n">
        <v>2.0026715E8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1469.0</v>
      </c>
      <c r="F155" s="26" t="n">
        <f>0</f>
        <v>0.0</v>
      </c>
      <c r="G155" s="25" t="n">
        <v>1.46912015E9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547.0</v>
      </c>
      <c r="F156" s="18" t="n">
        <f>0</f>
        <v>0.0</v>
      </c>
      <c r="G156" s="17" t="n">
        <v>5.251733E8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1416.0</v>
      </c>
      <c r="F157" s="22" t="n">
        <f>0</f>
        <v>0.0</v>
      </c>
      <c r="G157" s="21" t="n">
        <v>1.4519669E9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1831.0</v>
      </c>
      <c r="F158" s="22" t="n">
        <f>0</f>
        <v>0.0</v>
      </c>
      <c r="G158" s="21" t="n">
        <v>1.8876911E9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3794.0</v>
      </c>
      <c r="F159" s="26" t="n">
        <f>0</f>
        <v>0.0</v>
      </c>
      <c r="G159" s="25" t="n">
        <v>3.8648313E9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1600.0</v>
      </c>
      <c r="F168" s="18" t="n">
        <f>0</f>
        <v>0.0</v>
      </c>
      <c r="G168" s="17" t="n">
        <v>3.2352125E9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976.0</v>
      </c>
      <c r="F169" s="22" t="n">
        <f>0</f>
        <v>0.0</v>
      </c>
      <c r="G169" s="21" t="n">
        <v>1.9972205E9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456.0</v>
      </c>
      <c r="F170" s="22" t="n">
        <f>0</f>
        <v>0.0</v>
      </c>
      <c r="G170" s="21" t="n">
        <v>9.38921E8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3032.0</v>
      </c>
      <c r="F171" s="26" t="n">
        <f>0</f>
        <v>0.0</v>
      </c>
      <c r="G171" s="25" t="n">
        <v>6.171354E9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183.0</v>
      </c>
      <c r="F176" s="18" t="n">
        <f>0</f>
        <v>0.0</v>
      </c>
      <c r="G176" s="17" t="n">
        <v>3.2459E8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69.0</v>
      </c>
      <c r="F177" s="22" t="n">
        <f>0</f>
        <v>0.0</v>
      </c>
      <c r="G177" s="21" t="n">
        <v>1.228935E8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106.0</v>
      </c>
      <c r="F178" s="22" t="n">
        <f>0</f>
        <v>0.0</v>
      </c>
      <c r="G178" s="21" t="n">
        <v>1.887995E8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358.0</v>
      </c>
      <c r="F179" s="26" t="n">
        <f>0</f>
        <v>0.0</v>
      </c>
      <c r="G179" s="25" t="n">
        <v>6.36283E8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2907.0</v>
      </c>
      <c r="F204" s="18" t="n">
        <f>0</f>
        <v>0.0</v>
      </c>
      <c r="G204" s="17" t="n">
        <v>1.27778865E10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296.0</v>
      </c>
      <c r="F205" s="22" t="n">
        <f>0</f>
        <v>0.0</v>
      </c>
      <c r="G205" s="21" t="n">
        <v>1.236893E9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1826.0</v>
      </c>
      <c r="F206" s="22" t="n">
        <f>0</f>
        <v>0.0</v>
      </c>
      <c r="G206" s="21" t="n">
        <v>7.624333E9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5029.0</v>
      </c>
      <c r="F207" s="26" t="n">
        <f>0</f>
        <v>0.0</v>
      </c>
      <c r="G207" s="25" t="n">
        <v>2.16391125E10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20.0</v>
      </c>
      <c r="F220" s="18" t="n">
        <f>20</f>
        <v>20.0</v>
      </c>
      <c r="G220" s="17" t="n">
        <v>1.452E7</v>
      </c>
      <c r="H220" s="18" t="n">
        <f>14520000</f>
        <v>1.452E7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20.0</v>
      </c>
      <c r="F223" s="26" t="n">
        <f>20</f>
        <v>20.0</v>
      </c>
      <c r="G223" s="25" t="n">
        <v>1.452E7</v>
      </c>
      <c r="H223" s="26" t="n">
        <f>14520000</f>
        <v>1.452E7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46149.0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46149.0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25219</f>
        <v>25219.0</v>
      </c>
      <c r="E12" s="35" t="n">
        <f>5420</f>
        <v>5420.0</v>
      </c>
      <c r="F12" s="17" t="n">
        <f>22407</f>
        <v>22407.0</v>
      </c>
      <c r="G12" s="35" t="n">
        <f>5975</f>
        <v>5975.0</v>
      </c>
      <c r="H12" s="17" t="n">
        <f>47626</f>
        <v>47626.0</v>
      </c>
      <c r="I12" s="35" t="n">
        <f>11395</f>
        <v>11395.0</v>
      </c>
      <c r="J12" s="17" t="n">
        <f>3494825680</f>
        <v>3.49482568E9</v>
      </c>
      <c r="K12" s="35" t="n">
        <f>629458680</f>
        <v>6.2945868E8</v>
      </c>
      <c r="L12" s="17" t="n">
        <f>5507723680</f>
        <v>5.50772368E9</v>
      </c>
      <c r="M12" s="35" t="n">
        <f>1714838680</f>
        <v>1.71483868E9</v>
      </c>
      <c r="N12" s="17" t="n">
        <f>9002549360</f>
        <v>9.00254936E9</v>
      </c>
      <c r="O12" s="35" t="n">
        <f>2344297360</f>
        <v>2.34429736E9</v>
      </c>
    </row>
    <row r="13" spans="1:15" ht="24.9" customHeight="1">
      <c r="A13" s="38"/>
      <c r="B13" s="62"/>
      <c r="C13" s="20" t="s">
        <v>16</v>
      </c>
      <c r="D13" s="21" t="n">
        <f>13305</f>
        <v>13305.0</v>
      </c>
      <c r="E13" s="36" t="n">
        <f>5657</f>
        <v>5657.0</v>
      </c>
      <c r="F13" s="21" t="n">
        <f>10545</f>
        <v>10545.0</v>
      </c>
      <c r="G13" s="36" t="n">
        <f>3869</f>
        <v>3869.0</v>
      </c>
      <c r="H13" s="21" t="n">
        <f>23850</f>
        <v>23850.0</v>
      </c>
      <c r="I13" s="36" t="n">
        <f>9526</f>
        <v>9526.0</v>
      </c>
      <c r="J13" s="21" t="n">
        <f>3643912980</f>
        <v>3.64391298E9</v>
      </c>
      <c r="K13" s="36" t="n">
        <f>1748373980</f>
        <v>1.74837398E9</v>
      </c>
      <c r="L13" s="21" t="n">
        <f>5234889000</f>
        <v>5.234889E9</v>
      </c>
      <c r="M13" s="36" t="n">
        <f>3345649000</f>
        <v>3.345649E9</v>
      </c>
      <c r="N13" s="21" t="n">
        <f>8878801980</f>
        <v>8.87880198E9</v>
      </c>
      <c r="O13" s="36" t="n">
        <f>5094022980</f>
        <v>5.09402298E9</v>
      </c>
    </row>
    <row r="14" spans="1:15" ht="24.9" customHeight="1">
      <c r="A14" s="38"/>
      <c r="B14" s="62"/>
      <c r="C14" s="20" t="s">
        <v>17</v>
      </c>
      <c r="D14" s="21" t="n">
        <f>30137</f>
        <v>30137.0</v>
      </c>
      <c r="E14" s="36" t="n">
        <f>19095</f>
        <v>19095.0</v>
      </c>
      <c r="F14" s="21" t="n">
        <f>26289</f>
        <v>26289.0</v>
      </c>
      <c r="G14" s="36" t="n">
        <f>14734</f>
        <v>14734.0</v>
      </c>
      <c r="H14" s="21" t="n">
        <f>56426</f>
        <v>56426.0</v>
      </c>
      <c r="I14" s="36" t="n">
        <f>33829</f>
        <v>33829.0</v>
      </c>
      <c r="J14" s="21" t="n">
        <f>16492084682</f>
        <v>1.6492084682E10</v>
      </c>
      <c r="K14" s="36" t="n">
        <f>14255322682</f>
        <v>1.4255322682E10</v>
      </c>
      <c r="L14" s="21" t="n">
        <f>29267496371</f>
        <v>2.9267496371E10</v>
      </c>
      <c r="M14" s="36" t="n">
        <f>24624743371</f>
        <v>2.4624743371E10</v>
      </c>
      <c r="N14" s="21" t="n">
        <f>45759581053</f>
        <v>4.5759581053E10</v>
      </c>
      <c r="O14" s="36" t="n">
        <f>38880066053</f>
        <v>3.8880066053E10</v>
      </c>
    </row>
    <row r="15" spans="1:15" ht="24.9" customHeight="1">
      <c r="A15" s="38"/>
      <c r="B15" s="62"/>
      <c r="C15" s="24" t="s">
        <v>18</v>
      </c>
      <c r="D15" s="25" t="n">
        <f>68661</f>
        <v>68661.0</v>
      </c>
      <c r="E15" s="37" t="n">
        <f>30172</f>
        <v>30172.0</v>
      </c>
      <c r="F15" s="25" t="n">
        <f>59241</f>
        <v>59241.0</v>
      </c>
      <c r="G15" s="37" t="n">
        <f>24578</f>
        <v>24578.0</v>
      </c>
      <c r="H15" s="25" t="n">
        <f>127902</f>
        <v>127902.0</v>
      </c>
      <c r="I15" s="37" t="n">
        <f>54750</f>
        <v>54750.0</v>
      </c>
      <c r="J15" s="25" t="n">
        <f>23630823342</f>
        <v>2.3630823342E10</v>
      </c>
      <c r="K15" s="37" t="n">
        <f>16633155342</f>
        <v>1.6633155342E10</v>
      </c>
      <c r="L15" s="25" t="n">
        <f>40010109051</f>
        <v>4.0010109051E10</v>
      </c>
      <c r="M15" s="37" t="n">
        <f>29685231051</f>
        <v>2.9685231051E10</v>
      </c>
      <c r="N15" s="25" t="n">
        <f>63640932393</f>
        <v>6.3640932393E10</v>
      </c>
      <c r="O15" s="37" t="n">
        <f>46318386393</f>
        <v>4.6318386393E10</v>
      </c>
    </row>
    <row r="16" spans="1:15" ht="24.9" customHeight="1">
      <c r="A16" s="38"/>
      <c r="B16" s="61" t="s">
        <v>105</v>
      </c>
      <c r="C16" s="16" t="s">
        <v>15</v>
      </c>
      <c r="D16" s="17" t="n">
        <f>56958</f>
        <v>56958.0</v>
      </c>
      <c r="E16" s="35" t="n">
        <f>5100</f>
        <v>5100.0</v>
      </c>
      <c r="F16" s="17" t="n">
        <f>39655</f>
        <v>39655.0</v>
      </c>
      <c r="G16" s="35" t="n">
        <f>2430</f>
        <v>2430.0</v>
      </c>
      <c r="H16" s="17" t="n">
        <f>96613</f>
        <v>96613.0</v>
      </c>
      <c r="I16" s="35" t="n">
        <f>7530</f>
        <v>7530.0</v>
      </c>
      <c r="J16" s="17" t="n">
        <f>1041812810</f>
        <v>1.04181281E9</v>
      </c>
      <c r="K16" s="35" t="n">
        <f>22236710</f>
        <v>2.223671E7</v>
      </c>
      <c r="L16" s="17" t="n">
        <f>1690679590</f>
        <v>1.69067959E9</v>
      </c>
      <c r="M16" s="35" t="n">
        <f>31486690</f>
        <v>3.148669E7</v>
      </c>
      <c r="N16" s="17" t="n">
        <f>2732492400</f>
        <v>2.7324924E9</v>
      </c>
      <c r="O16" s="35" t="n">
        <f>53723400</f>
        <v>5.37234E7</v>
      </c>
    </row>
    <row r="17" spans="1:15" ht="24.9" customHeight="1">
      <c r="A17" s="38"/>
      <c r="B17" s="62"/>
      <c r="C17" s="20" t="s">
        <v>16</v>
      </c>
      <c r="D17" s="21" t="n">
        <f>9716</f>
        <v>9716.0</v>
      </c>
      <c r="E17" s="36" t="n">
        <f>610</f>
        <v>610.0</v>
      </c>
      <c r="F17" s="21" t="n">
        <f>4410</f>
        <v>4410.0</v>
      </c>
      <c r="G17" s="36" t="n">
        <f>220</f>
        <v>220.0</v>
      </c>
      <c r="H17" s="21" t="n">
        <f>14126</f>
        <v>14126.0</v>
      </c>
      <c r="I17" s="36" t="n">
        <f>830</f>
        <v>830.0</v>
      </c>
      <c r="J17" s="21" t="n">
        <f>167760580</f>
        <v>1.6776058E8</v>
      </c>
      <c r="K17" s="36" t="n">
        <f>5955780</f>
        <v>5955780.0</v>
      </c>
      <c r="L17" s="21" t="n">
        <f>414166060</f>
        <v>4.1416606E8</v>
      </c>
      <c r="M17" s="36" t="n">
        <f>7289960</f>
        <v>7289960.0</v>
      </c>
      <c r="N17" s="21" t="n">
        <f>581926640</f>
        <v>5.8192664E8</v>
      </c>
      <c r="O17" s="36" t="n">
        <f>13245740</f>
        <v>1.324574E7</v>
      </c>
    </row>
    <row r="18" spans="1:15" ht="24.9" customHeight="1">
      <c r="A18" s="38"/>
      <c r="B18" s="62"/>
      <c r="C18" s="20" t="s">
        <v>17</v>
      </c>
      <c r="D18" s="21" t="n">
        <f>13683</f>
        <v>13683.0</v>
      </c>
      <c r="E18" s="36" t="n">
        <f>630</f>
        <v>630.0</v>
      </c>
      <c r="F18" s="21" t="n">
        <f>7827</f>
        <v>7827.0</v>
      </c>
      <c r="G18" s="36" t="n">
        <f>180</f>
        <v>180.0</v>
      </c>
      <c r="H18" s="21" t="n">
        <f>21510</f>
        <v>21510.0</v>
      </c>
      <c r="I18" s="36" t="n">
        <f>810</f>
        <v>810.0</v>
      </c>
      <c r="J18" s="21" t="n">
        <f>371533940</f>
        <v>3.7153394E8</v>
      </c>
      <c r="K18" s="36" t="n">
        <f>7453340</f>
        <v>7453340.0</v>
      </c>
      <c r="L18" s="21" t="n">
        <f>1783004900</f>
        <v>1.7830049E9</v>
      </c>
      <c r="M18" s="36" t="n">
        <f>11559800</f>
        <v>1.15598E7</v>
      </c>
      <c r="N18" s="21" t="n">
        <f>2154538840</f>
        <v>2.15453884E9</v>
      </c>
      <c r="O18" s="36" t="n">
        <f>19013140</f>
        <v>1.901314E7</v>
      </c>
    </row>
    <row r="19" spans="1:15" ht="24.9" customHeight="1">
      <c r="A19" s="38"/>
      <c r="B19" s="62"/>
      <c r="C19" s="24" t="s">
        <v>18</v>
      </c>
      <c r="D19" s="25" t="n">
        <f>80357</f>
        <v>80357.0</v>
      </c>
      <c r="E19" s="37" t="n">
        <f>6340</f>
        <v>6340.0</v>
      </c>
      <c r="F19" s="25" t="n">
        <f>51892</f>
        <v>51892.0</v>
      </c>
      <c r="G19" s="37" t="n">
        <f>2830</f>
        <v>2830.0</v>
      </c>
      <c r="H19" s="25" t="n">
        <f>132249</f>
        <v>132249.0</v>
      </c>
      <c r="I19" s="37" t="n">
        <f>9170</f>
        <v>9170.0</v>
      </c>
      <c r="J19" s="25" t="n">
        <f>1581107330</f>
        <v>1.58110733E9</v>
      </c>
      <c r="K19" s="37" t="n">
        <f>35645830</f>
        <v>3.564583E7</v>
      </c>
      <c r="L19" s="25" t="n">
        <f>3887850550</f>
        <v>3.88785055E9</v>
      </c>
      <c r="M19" s="37" t="n">
        <f>50336450</f>
        <v>5.033645E7</v>
      </c>
      <c r="N19" s="25" t="n">
        <f>5468957880</f>
        <v>5.46895788E9</v>
      </c>
      <c r="O19" s="37" t="n">
        <f>85982280</f>
        <v>8.598228E7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1808</f>
        <v>1808.0</v>
      </c>
      <c r="E22" s="36" t="n">
        <f>1793</f>
        <v>1793.0</v>
      </c>
      <c r="F22" s="21" t="n">
        <f>1719</f>
        <v>1719.0</v>
      </c>
      <c r="G22" s="36" t="n">
        <f>1693</f>
        <v>1693.0</v>
      </c>
      <c r="H22" s="21" t="n">
        <f>3527</f>
        <v>3527.0</v>
      </c>
      <c r="I22" s="36" t="n">
        <f>3486</f>
        <v>3486.0</v>
      </c>
      <c r="J22" s="21" t="n">
        <f>163045000</f>
        <v>1.63045E8</v>
      </c>
      <c r="K22" s="36" t="n">
        <f>159970000</f>
        <v>1.5997E8</v>
      </c>
      <c r="L22" s="21" t="n">
        <f>151740000</f>
        <v>1.5174E8</v>
      </c>
      <c r="M22" s="36" t="n">
        <f>142120000</f>
        <v>1.4212E8</v>
      </c>
      <c r="N22" s="21" t="n">
        <f>314785000</f>
        <v>3.14785E8</v>
      </c>
      <c r="O22" s="36" t="n">
        <f>302090000</f>
        <v>3.0209E8</v>
      </c>
    </row>
    <row r="23" spans="1:15" ht="24.9" customHeight="1">
      <c r="A23" s="38"/>
      <c r="B23" s="62"/>
      <c r="C23" s="24" t="s">
        <v>18</v>
      </c>
      <c r="D23" s="25" t="n">
        <f>1808</f>
        <v>1808.0</v>
      </c>
      <c r="E23" s="37" t="n">
        <f>1793</f>
        <v>1793.0</v>
      </c>
      <c r="F23" s="25" t="n">
        <f>1719</f>
        <v>1719.0</v>
      </c>
      <c r="G23" s="37" t="n">
        <f>1693</f>
        <v>1693.0</v>
      </c>
      <c r="H23" s="25" t="n">
        <f>3527</f>
        <v>3527.0</v>
      </c>
      <c r="I23" s="37" t="n">
        <f>3486</f>
        <v>3486.0</v>
      </c>
      <c r="J23" s="25" t="n">
        <f>163045000</f>
        <v>1.63045E8</v>
      </c>
      <c r="K23" s="37" t="n">
        <f>159970000</f>
        <v>1.5997E8</v>
      </c>
      <c r="L23" s="25" t="n">
        <f>151740000</f>
        <v>1.5174E8</v>
      </c>
      <c r="M23" s="37" t="n">
        <f>142120000</f>
        <v>1.4212E8</v>
      </c>
      <c r="N23" s="25" t="n">
        <f>314785000</f>
        <v>3.14785E8</v>
      </c>
      <c r="O23" s="37" t="n">
        <f>302090000</f>
        <v>3.0209E8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</f>
        <v>2.0</v>
      </c>
      <c r="G36" s="18" t="n">
        <f>0</f>
        <v>0.0</v>
      </c>
      <c r="H36" s="17" t="n">
        <f>2</f>
        <v>2.0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490000</f>
        <v>490000.0</v>
      </c>
      <c r="M36" s="18" t="n">
        <f>0</f>
        <v>0.0</v>
      </c>
      <c r="N36" s="17" t="n">
        <f>490000</f>
        <v>490000.0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10</f>
        <v>10.0</v>
      </c>
      <c r="E37" s="22" t="n">
        <f>0</f>
        <v>0.0</v>
      </c>
      <c r="F37" s="21" t="n">
        <f>14</f>
        <v>14.0</v>
      </c>
      <c r="G37" s="22" t="n">
        <f>0</f>
        <v>0.0</v>
      </c>
      <c r="H37" s="21" t="n">
        <f>24</f>
        <v>24.0</v>
      </c>
      <c r="I37" s="22" t="n">
        <f>0</f>
        <v>0.0</v>
      </c>
      <c r="J37" s="21" t="n">
        <f>3050000</f>
        <v>3050000.0</v>
      </c>
      <c r="K37" s="22" t="n">
        <f>0</f>
        <v>0.0</v>
      </c>
      <c r="L37" s="21" t="n">
        <f>1500000</f>
        <v>1500000.0</v>
      </c>
      <c r="M37" s="22" t="n">
        <f>0</f>
        <v>0.0</v>
      </c>
      <c r="N37" s="21" t="n">
        <f>4550000</f>
        <v>4550000.0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20</f>
        <v>20.0</v>
      </c>
      <c r="E38" s="36" t="n">
        <f>0</f>
        <v>0.0</v>
      </c>
      <c r="F38" s="21" t="n">
        <f>94</f>
        <v>94.0</v>
      </c>
      <c r="G38" s="36" t="n">
        <f>0</f>
        <v>0.0</v>
      </c>
      <c r="H38" s="21" t="n">
        <f>114</f>
        <v>114.0</v>
      </c>
      <c r="I38" s="36" t="n">
        <f>0</f>
        <v>0.0</v>
      </c>
      <c r="J38" s="21" t="n">
        <f>6100000</f>
        <v>6100000.0</v>
      </c>
      <c r="K38" s="36" t="n">
        <f>0</f>
        <v>0.0</v>
      </c>
      <c r="L38" s="21" t="n">
        <f>9480000</f>
        <v>9480000.0</v>
      </c>
      <c r="M38" s="36" t="n">
        <f>0</f>
        <v>0.0</v>
      </c>
      <c r="N38" s="21" t="n">
        <f>15580000</f>
        <v>1.558E7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30</f>
        <v>30.0</v>
      </c>
      <c r="E39" s="37" t="n">
        <f>0</f>
        <v>0.0</v>
      </c>
      <c r="F39" s="25" t="n">
        <f>110</f>
        <v>110.0</v>
      </c>
      <c r="G39" s="37" t="n">
        <f>0</f>
        <v>0.0</v>
      </c>
      <c r="H39" s="25" t="n">
        <f>140</f>
        <v>140.0</v>
      </c>
      <c r="I39" s="37" t="n">
        <f>0</f>
        <v>0.0</v>
      </c>
      <c r="J39" s="25" t="n">
        <f>9150000</f>
        <v>9150000.0</v>
      </c>
      <c r="K39" s="37" t="n">
        <f>0</f>
        <v>0.0</v>
      </c>
      <c r="L39" s="25" t="n">
        <f>11470000</f>
        <v>1.147E7</v>
      </c>
      <c r="M39" s="37" t="n">
        <f>0</f>
        <v>0.0</v>
      </c>
      <c r="N39" s="25" t="n">
        <f>20620000</f>
        <v>2.062E7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15572</f>
        <v>15572.0</v>
      </c>
      <c r="E41" s="36" t="n">
        <f>0</f>
        <v>0.0</v>
      </c>
      <c r="F41" s="21" t="n">
        <f>20767</f>
        <v>20767.0</v>
      </c>
      <c r="G41" s="36" t="n">
        <f>0</f>
        <v>0.0</v>
      </c>
      <c r="H41" s="21" t="n">
        <f>36339</f>
        <v>36339.0</v>
      </c>
      <c r="I41" s="36" t="n">
        <f>0</f>
        <v>0.0</v>
      </c>
      <c r="J41" s="21" t="n">
        <f>20575477</f>
        <v>2.0575477E7</v>
      </c>
      <c r="K41" s="36" t="n">
        <f>0</f>
        <v>0.0</v>
      </c>
      <c r="L41" s="21" t="n">
        <f>80338660</f>
        <v>8.033866E7</v>
      </c>
      <c r="M41" s="36" t="n">
        <f>0</f>
        <v>0.0</v>
      </c>
      <c r="N41" s="21" t="n">
        <f>100914137</f>
        <v>1.00914137E8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12053</f>
        <v>12053.0</v>
      </c>
      <c r="E42" s="36" t="n">
        <f>25</f>
        <v>25.0</v>
      </c>
      <c r="F42" s="21" t="n">
        <f>11361</f>
        <v>11361.0</v>
      </c>
      <c r="G42" s="36" t="n">
        <f>0</f>
        <v>0.0</v>
      </c>
      <c r="H42" s="21" t="n">
        <f>23414</f>
        <v>23414.0</v>
      </c>
      <c r="I42" s="36" t="n">
        <f>25</f>
        <v>25.0</v>
      </c>
      <c r="J42" s="21" t="n">
        <f>25650180</f>
        <v>2.565018E7</v>
      </c>
      <c r="K42" s="36" t="n">
        <f>7250000</f>
        <v>7250000.0</v>
      </c>
      <c r="L42" s="21" t="n">
        <f>233883000</f>
        <v>2.33883E8</v>
      </c>
      <c r="M42" s="36" t="n">
        <f>0</f>
        <v>0.0</v>
      </c>
      <c r="N42" s="21" t="n">
        <f>259533180</f>
        <v>2.5953318E8</v>
      </c>
      <c r="O42" s="36" t="n">
        <f>7250000</f>
        <v>7250000.0</v>
      </c>
    </row>
    <row r="43" spans="1:15" ht="24.9" customHeight="1">
      <c r="A43" s="38"/>
      <c r="B43" s="62"/>
      <c r="C43" s="24" t="s">
        <v>18</v>
      </c>
      <c r="D43" s="25" t="n">
        <f>27625</f>
        <v>27625.0</v>
      </c>
      <c r="E43" s="37" t="n">
        <f>25</f>
        <v>25.0</v>
      </c>
      <c r="F43" s="25" t="n">
        <f>32128</f>
        <v>32128.0</v>
      </c>
      <c r="G43" s="37" t="n">
        <f>0</f>
        <v>0.0</v>
      </c>
      <c r="H43" s="25" t="n">
        <f>59753</f>
        <v>59753.0</v>
      </c>
      <c r="I43" s="37" t="n">
        <f>25</f>
        <v>25.0</v>
      </c>
      <c r="J43" s="25" t="n">
        <f>46225657</f>
        <v>4.6225657E7</v>
      </c>
      <c r="K43" s="37" t="n">
        <f>7250000</f>
        <v>7250000.0</v>
      </c>
      <c r="L43" s="25" t="n">
        <f>314221660</f>
        <v>3.1422166E8</v>
      </c>
      <c r="M43" s="37" t="n">
        <f>0</f>
        <v>0.0</v>
      </c>
      <c r="N43" s="25" t="n">
        <f>360447317</f>
        <v>3.60447317E8</v>
      </c>
      <c r="O43" s="37" t="n">
        <f>7250000</f>
        <v>7250000.0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