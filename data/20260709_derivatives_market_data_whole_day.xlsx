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<sst xmlns="http://schemas.openxmlformats.org/spreadsheetml/2006/main" count="528" uniqueCount="129">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</sst>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DATE(2026,07,09)</f>
        <v>46212.0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DATE(2026,07,09)</f>
        <v>46212.0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1309198.0</f>
        <v>1309198.0</v>
      </c>
      <c r="E12" s="18" t="n">
        <f>56289.0</f>
        <v>56289.0</v>
      </c>
      <c r="F12" s="19" t="n">
        <f>1.0</f>
        <v>1.0</v>
      </c>
      <c r="G12" s="17" t="n">
        <f>8349936117500.0</f>
        <v>8.3499361175E12</v>
      </c>
      <c r="H12" s="18" t="n">
        <f>603933440100.0</f>
        <v>6.039334401E11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460284.0</f>
        <v>460284.0</v>
      </c>
      <c r="E13" s="22" t="n">
        <f>24975.0</f>
        <v>24975.0</v>
      </c>
      <c r="F13" s="23" t="n">
        <f>1.0</f>
        <v>1.0</v>
      </c>
      <c r="G13" s="21" t="n">
        <f>4587486720250.0</f>
        <v>4.58748672025E12</v>
      </c>
      <c r="H13" s="22" t="n">
        <f>339735838100.0</f>
        <v>3.397358381E11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692242.0</f>
        <v>692242.0</v>
      </c>
      <c r="E14" s="22" t="n">
        <f>54228.0</f>
        <v>54228.0</v>
      </c>
      <c r="F14" s="23" t="n">
        <f>1.0</f>
        <v>1.0</v>
      </c>
      <c r="G14" s="21" t="n">
        <f>7902973894002.0</f>
        <v>7.902973894002E12</v>
      </c>
      <c r="H14" s="22" t="n">
        <f>1144494158752.0</f>
        <v>1.144494158752E12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2461724.0</f>
        <v>2461724.0</v>
      </c>
      <c r="E15" s="26" t="n">
        <f>135492.0</f>
        <v>135492.0</v>
      </c>
      <c r="F15" s="27" t="n">
        <f>1.0</f>
        <v>1.0</v>
      </c>
      <c r="G15" s="25" t="n">
        <f>20840396731752.0</f>
        <v>2.0840396731752E13</v>
      </c>
      <c r="H15" s="26" t="n">
        <f>2088163436952.0</f>
        <v>2.088163436952E12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13294.0</f>
        <v>13294.0</v>
      </c>
      <c r="E16" s="18" t="n">
        <f>1.0</f>
        <v>1.0</v>
      </c>
      <c r="F16" s="19" t="n">
        <f>0.01</f>
        <v>0.01</v>
      </c>
      <c r="G16" s="17" t="n">
        <f>1622539715000.0</f>
        <v>1.622539715E12</v>
      </c>
      <c r="H16" s="18" t="n">
        <f>126450000.0</f>
        <v>1.2645E8</v>
      </c>
      <c r="I16" s="19" t="n">
        <f>0.194</f>
        <v>0.194</v>
      </c>
    </row>
    <row r="17" spans="1:9" ht="24.9" customHeight="1">
      <c r="A17" s="41"/>
      <c r="B17" s="39"/>
      <c r="C17" s="20" t="s">
        <v>16</v>
      </c>
      <c r="D17" s="21" t="n">
        <f>12812.0</f>
        <v>12812.0</v>
      </c>
      <c r="E17" s="22" t="n">
        <f>299.0</f>
        <v>299.0</v>
      </c>
      <c r="F17" s="23" t="n">
        <f>0.028</f>
        <v>0.028</v>
      </c>
      <c r="G17" s="21" t="n">
        <f>1606118840000.0</f>
        <v>1.60611884E12</v>
      </c>
      <c r="H17" s="22" t="n">
        <f>37821710000.0</f>
        <v>3.782171E10</v>
      </c>
      <c r="I17" s="23" t="n">
        <f>0.35</f>
        <v>0.35</v>
      </c>
    </row>
    <row r="18" spans="1:9" ht="24.9" customHeight="1">
      <c r="A18" s="41"/>
      <c r="B18" s="39"/>
      <c r="C18" s="20" t="s">
        <v>17</v>
      </c>
      <c r="D18" s="21" t="n">
        <f>21185.0</f>
        <v>21185.0</v>
      </c>
      <c r="E18" s="22" t="n">
        <f>1825.0</f>
        <v>1825.0</v>
      </c>
      <c r="F18" s="23" t="n">
        <f>0.031</f>
        <v>0.031</v>
      </c>
      <c r="G18" s="21" t="n">
        <f>2523055653500.0</f>
        <v>2.5230556535E12</v>
      </c>
      <c r="H18" s="22" t="n">
        <f>230879500000.0</f>
        <v>2.308795E11</v>
      </c>
      <c r="I18" s="23" t="n">
        <f>0.319</f>
        <v>0.319</v>
      </c>
    </row>
    <row r="19" spans="1:9" ht="24.9" customHeight="1">
      <c r="A19" s="41"/>
      <c r="B19" s="39"/>
      <c r="C19" s="24" t="s">
        <v>18</v>
      </c>
      <c r="D19" s="25" t="n">
        <f>47291.0</f>
        <v>47291.0</v>
      </c>
      <c r="E19" s="26" t="n">
        <f>2125.0</f>
        <v>2125.0</v>
      </c>
      <c r="F19" s="27" t="n">
        <f>0.019</f>
        <v>0.019</v>
      </c>
      <c r="G19" s="25" t="n">
        <f>5751714208500.0</f>
        <v>5.7517142085E12</v>
      </c>
      <c r="H19" s="26" t="n">
        <f>268827660000.0</f>
        <v>2.6882766E11</v>
      </c>
      <c r="I19" s="27" t="n">
        <f>0.276</f>
        <v>0.276</v>
      </c>
    </row>
    <row r="20" spans="1:9" ht="24.9" customHeight="1">
      <c r="A20" s="41"/>
      <c r="B20" s="39" t="s">
        <v>21</v>
      </c>
      <c r="C20" s="16" t="s">
        <v>15</v>
      </c>
      <c r="D20" s="17" t="n">
        <f>1275397.0</f>
        <v>1275397.0</v>
      </c>
      <c r="E20" s="18" t="n">
        <f>56288.0</f>
        <v>56288.0</v>
      </c>
      <c r="F20" s="19" t="n">
        <f>0.974</f>
        <v>0.974</v>
      </c>
      <c r="G20" s="17" t="n">
        <f>6522139300150.0</f>
        <v>6.52213930015E12</v>
      </c>
      <c r="H20" s="18" t="n">
        <f>603806990100.0</f>
        <v>6.038069901E11</v>
      </c>
      <c r="I20" s="19" t="n">
        <f>0.781</f>
        <v>0.781</v>
      </c>
    </row>
    <row r="21" spans="1:9" ht="24.9" customHeight="1">
      <c r="A21" s="41"/>
      <c r="B21" s="39"/>
      <c r="C21" s="20" t="s">
        <v>16</v>
      </c>
      <c r="D21" s="21" t="n">
        <f>442702.0</f>
        <v>442702.0</v>
      </c>
      <c r="E21" s="22" t="n">
        <f>24676.0</f>
        <v>24676.0</v>
      </c>
      <c r="F21" s="23" t="n">
        <f>0.962</f>
        <v>0.962</v>
      </c>
      <c r="G21" s="21" t="n">
        <f>2932271901800.0</f>
        <v>2.9322719018E12</v>
      </c>
      <c r="H21" s="22" t="n">
        <f>301914128100.0</f>
        <v>3.019141281E11</v>
      </c>
      <c r="I21" s="23" t="n">
        <f>0.639</f>
        <v>0.639</v>
      </c>
    </row>
    <row r="22" spans="1:9" ht="24.9" customHeight="1">
      <c r="A22" s="41"/>
      <c r="B22" s="39"/>
      <c r="C22" s="20" t="s">
        <v>17</v>
      </c>
      <c r="D22" s="21" t="n">
        <f>658993.0</f>
        <v>658993.0</v>
      </c>
      <c r="E22" s="22" t="n">
        <f>52403.0</f>
        <v>52403.0</v>
      </c>
      <c r="F22" s="23" t="n">
        <f>0.952</f>
        <v>0.952</v>
      </c>
      <c r="G22" s="21" t="n">
        <f>5265124747002.0</f>
        <v>5.265124747002E12</v>
      </c>
      <c r="H22" s="22" t="n">
        <f>913614658752.0</f>
        <v>9.13614658752E11</v>
      </c>
      <c r="I22" s="23" t="n">
        <f>0.666</f>
        <v>0.666</v>
      </c>
    </row>
    <row r="23" spans="1:9" ht="24.9" customHeight="1">
      <c r="A23" s="41"/>
      <c r="B23" s="39"/>
      <c r="C23" s="24" t="s">
        <v>18</v>
      </c>
      <c r="D23" s="25" t="n">
        <f>2377092.0</f>
        <v>2377092.0</v>
      </c>
      <c r="E23" s="26" t="n">
        <f>133367.0</f>
        <v>133367.0</v>
      </c>
      <c r="F23" s="27" t="n">
        <f>0.966</f>
        <v>0.966</v>
      </c>
      <c r="G23" s="25" t="n">
        <f>14719535948952.0</f>
        <v>1.4719535948952E13</v>
      </c>
      <c r="H23" s="26" t="n">
        <f>1819335776952.0</f>
        <v>1.819335776952E12</v>
      </c>
      <c r="I23" s="27" t="n">
        <f>0.706</f>
        <v>0.706</v>
      </c>
    </row>
    <row r="24" spans="1:9" ht="24.9" customHeight="1">
      <c r="A24" s="41"/>
      <c r="B24" s="39" t="s">
        <v>22</v>
      </c>
      <c r="C24" s="16" t="s">
        <v>15</v>
      </c>
      <c r="D24" s="17" t="n">
        <f>19537.0</f>
        <v>19537.0</v>
      </c>
      <c r="E24" s="18" t="n">
        <f>0.0</f>
        <v>0.0</v>
      </c>
      <c r="F24" s="19" t="n">
        <f>0.015</f>
        <v>0.015</v>
      </c>
      <c r="G24" s="17" t="n">
        <f>201671107850.0</f>
        <v>2.0167110785E11</v>
      </c>
      <c r="H24" s="18" t="n">
        <f>0.0</f>
        <v>0.0</v>
      </c>
      <c r="I24" s="19" t="n">
        <f>0.024</f>
        <v>0.024</v>
      </c>
    </row>
    <row r="25" spans="1:9" ht="24.9" customHeight="1">
      <c r="A25" s="41"/>
      <c r="B25" s="39"/>
      <c r="C25" s="20" t="s">
        <v>16</v>
      </c>
      <c r="D25" s="21" t="n">
        <f>4618.0</f>
        <v>4618.0</v>
      </c>
      <c r="E25" s="22" t="n">
        <f>0.0</f>
        <v>0.0</v>
      </c>
      <c r="F25" s="23" t="n">
        <f>0.01</f>
        <v>0.01</v>
      </c>
      <c r="G25" s="21" t="n">
        <f>48527286450.0</f>
        <v>4.852728645E10</v>
      </c>
      <c r="H25" s="22" t="n">
        <f>0.0</f>
        <v>0.0</v>
      </c>
      <c r="I25" s="23" t="n">
        <f>0.011</f>
        <v>0.011</v>
      </c>
    </row>
    <row r="26" spans="1:9" ht="24.9" customHeight="1">
      <c r="A26" s="41"/>
      <c r="B26" s="39"/>
      <c r="C26" s="20" t="s">
        <v>17</v>
      </c>
      <c r="D26" s="21" t="n">
        <f>8611.0</f>
        <v>8611.0</v>
      </c>
      <c r="E26" s="22" t="n">
        <f>0.0</f>
        <v>0.0</v>
      </c>
      <c r="F26" s="23" t="n">
        <f>0.012</f>
        <v>0.012</v>
      </c>
      <c r="G26" s="21" t="n">
        <f>102023172500.0</f>
        <v>1.020231725E11</v>
      </c>
      <c r="H26" s="22" t="n">
        <f>0.0</f>
        <v>0.0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32766.0</f>
        <v>32766.0</v>
      </c>
      <c r="E27" s="26" t="n">
        <f>0.0</f>
        <v>0.0</v>
      </c>
      <c r="F27" s="27" t="n">
        <f>0.013</f>
        <v>0.013</v>
      </c>
      <c r="G27" s="25" t="n">
        <f>352221566800.0</f>
        <v>3.522215668E11</v>
      </c>
      <c r="H27" s="26" t="n">
        <f>0.0</f>
        <v>0.0</v>
      </c>
      <c r="I27" s="27" t="n">
        <f>0.017</f>
        <v>0.017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970.0</f>
        <v>970.0</v>
      </c>
      <c r="E28" s="18" t="n">
        <f>0.0</f>
        <v>0.0</v>
      </c>
      <c r="F28" s="19" t="n">
        <f>0.001</f>
        <v>0.001</v>
      </c>
      <c r="G28" s="17" t="n">
        <f>3585994500.0</f>
        <v>3.5859945E9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152.0</f>
        <v>152.0</v>
      </c>
      <c r="E29" s="22" t="n">
        <f>0.0</f>
        <v>0.0</v>
      </c>
      <c r="F29" s="23" t="n">
        <f>0.0</f>
        <v>0.0</v>
      </c>
      <c r="G29" s="21" t="n">
        <f>568692000.0</f>
        <v>5.68692E8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3453.0</f>
        <v>3453.0</v>
      </c>
      <c r="E30" s="22" t="n">
        <f>0.0</f>
        <v>0.0</v>
      </c>
      <c r="F30" s="23" t="n">
        <f>0.005</f>
        <v>0.005</v>
      </c>
      <c r="G30" s="21" t="n">
        <f>12770321000.0</f>
        <v>1.2770321E10</v>
      </c>
      <c r="H30" s="22" t="n">
        <f>0.0</f>
        <v>0.0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4575.0</f>
        <v>4575.0</v>
      </c>
      <c r="E31" s="26" t="n">
        <f>0.0</f>
        <v>0.0</v>
      </c>
      <c r="F31" s="27" t="n">
        <f>0.002</f>
        <v>0.002</v>
      </c>
      <c r="G31" s="25" t="n">
        <f>16925007500.0</f>
        <v>1.69250075E10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46212.0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46212.0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47525</f>
        <v>47525.0</v>
      </c>
      <c r="E11" s="18" t="n">
        <f>7687</f>
        <v>7687.0</v>
      </c>
      <c r="F11" s="19" t="n">
        <f>1</f>
        <v>1.0</v>
      </c>
      <c r="G11" s="17" t="n">
        <f>6828357040</f>
        <v>6.82835704E9</v>
      </c>
      <c r="H11" s="18" t="n">
        <f>2372353440</f>
        <v>2.37235344E9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48680</f>
        <v>48680.0</v>
      </c>
      <c r="E12" s="22" t="n">
        <f>8237</f>
        <v>8237.0</v>
      </c>
      <c r="F12" s="23" t="n">
        <f>1</f>
        <v>1.0</v>
      </c>
      <c r="G12" s="21" t="n">
        <f>13348932146</f>
        <v>1.3348932146E10</v>
      </c>
      <c r="H12" s="22" t="n">
        <f>10120882848</f>
        <v>1.0120882848E10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58225</f>
        <v>58225.0</v>
      </c>
      <c r="E13" s="22" t="n">
        <f>23009</f>
        <v>23009.0</v>
      </c>
      <c r="F13" s="23" t="n">
        <f>1</f>
        <v>1.0</v>
      </c>
      <c r="G13" s="21" t="n">
        <f>30128604896</f>
        <v>3.0128604896E10</v>
      </c>
      <c r="H13" s="22" t="n">
        <f>24583264428</f>
        <v>2.4583264428E10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154430</f>
        <v>154430.0</v>
      </c>
      <c r="E14" s="26" t="n">
        <f>38933</f>
        <v>38933.0</v>
      </c>
      <c r="F14" s="27" t="n">
        <f>1</f>
        <v>1.0</v>
      </c>
      <c r="G14" s="25" t="n">
        <f>50305894082</f>
        <v>5.0305894082E10</v>
      </c>
      <c r="H14" s="26" t="n">
        <f>37076500716</f>
        <v>3.7076500716E10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5</f>
        <v>5.0</v>
      </c>
      <c r="E15" s="18" t="n">
        <f>0</f>
        <v>0.0</v>
      </c>
      <c r="F15" s="19" t="n">
        <f>0</f>
        <v>0.0</v>
      </c>
      <c r="G15" s="17" t="n">
        <f>1450000</f>
        <v>1450000.0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344</f>
        <v>344.0</v>
      </c>
      <c r="E16" s="22" t="n">
        <f>200</f>
        <v>200.0</v>
      </c>
      <c r="F16" s="23" t="n">
        <f>0.007</f>
        <v>0.007</v>
      </c>
      <c r="G16" s="21" t="n">
        <f>52390000</f>
        <v>5.239E7</v>
      </c>
      <c r="H16" s="22" t="n">
        <f>20500000</f>
        <v>2.05E7</v>
      </c>
      <c r="I16" s="23" t="n">
        <f>0.004</f>
        <v>0.004</v>
      </c>
    </row>
    <row r="17" spans="1:9" ht="24.9" customHeight="1">
      <c r="A17" s="41"/>
      <c r="B17" s="39"/>
      <c r="C17" s="20" t="s">
        <v>17</v>
      </c>
      <c r="D17" s="21" t="n">
        <f>146</f>
        <v>146.0</v>
      </c>
      <c r="E17" s="22" t="n">
        <f>25</f>
        <v>25.0</v>
      </c>
      <c r="F17" s="23" t="n">
        <f>0.003</f>
        <v>0.003</v>
      </c>
      <c r="G17" s="21" t="n">
        <f>20390000</f>
        <v>2.039E7</v>
      </c>
      <c r="H17" s="22" t="n">
        <f>7650000</f>
        <v>7650000.0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495</f>
        <v>495.0</v>
      </c>
      <c r="E18" s="26" t="n">
        <f>225</f>
        <v>225.0</v>
      </c>
      <c r="F18" s="27" t="n">
        <f>0.003</f>
        <v>0.003</v>
      </c>
      <c r="G18" s="25" t="n">
        <f>74230000</f>
        <v>7.423E7</v>
      </c>
      <c r="H18" s="26" t="n">
        <f>28150000</f>
        <v>2.815E7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47520</f>
        <v>47520.0</v>
      </c>
      <c r="E19" s="18" t="n">
        <f>7687</f>
        <v>7687.0</v>
      </c>
      <c r="F19" s="19" t="n">
        <f>1</f>
        <v>1.0</v>
      </c>
      <c r="G19" s="17" t="n">
        <f>6826907040</f>
        <v>6.82690704E9</v>
      </c>
      <c r="H19" s="18" t="n">
        <f>2372353440</f>
        <v>2.37235344E9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32794</f>
        <v>32794.0</v>
      </c>
      <c r="E20" s="22" t="n">
        <f>8037</f>
        <v>8037.0</v>
      </c>
      <c r="F20" s="23" t="n">
        <f>0.674</f>
        <v>0.674</v>
      </c>
      <c r="G20" s="21" t="n">
        <f>13172809348</f>
        <v>1.3172809348E10</v>
      </c>
      <c r="H20" s="22" t="n">
        <f>10100382848</f>
        <v>1.0100382848E10</v>
      </c>
      <c r="I20" s="23" t="n">
        <f>0.987</f>
        <v>0.987</v>
      </c>
    </row>
    <row r="21" spans="1:9" ht="24.9" customHeight="1">
      <c r="A21" s="41"/>
      <c r="B21" s="39"/>
      <c r="C21" s="20" t="s">
        <v>17</v>
      </c>
      <c r="D21" s="21" t="n">
        <f>54921</f>
        <v>54921.0</v>
      </c>
      <c r="E21" s="22" t="n">
        <f>22884</f>
        <v>22884.0</v>
      </c>
      <c r="F21" s="23" t="n">
        <f>0.943</f>
        <v>0.943</v>
      </c>
      <c r="G21" s="21" t="n">
        <f>29984591128</f>
        <v>2.9984591128E10</v>
      </c>
      <c r="H21" s="22" t="n">
        <f>24542784428</f>
        <v>2.4542784428E10</v>
      </c>
      <c r="I21" s="23" t="n">
        <f>0.995</f>
        <v>0.995</v>
      </c>
    </row>
    <row r="22" spans="1:9" ht="24.9" customHeight="1">
      <c r="A22" s="41"/>
      <c r="B22" s="39"/>
      <c r="C22" s="24" t="s">
        <v>18</v>
      </c>
      <c r="D22" s="25" t="n">
        <f>135235</f>
        <v>135235.0</v>
      </c>
      <c r="E22" s="26" t="n">
        <f>38608</f>
        <v>38608.0</v>
      </c>
      <c r="F22" s="27" t="n">
        <f>0.876</f>
        <v>0.876</v>
      </c>
      <c r="G22" s="25" t="n">
        <f>49984307516</f>
        <v>4.9984307516E10</v>
      </c>
      <c r="H22" s="26" t="n">
        <f>37015520716</f>
        <v>3.7015520716E10</v>
      </c>
      <c r="I22" s="27" t="n">
        <f>0.994</f>
        <v>0.994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15542</f>
        <v>15542.0</v>
      </c>
      <c r="E24" s="22" t="n">
        <f>0</f>
        <v>0.0</v>
      </c>
      <c r="F24" s="23" t="n">
        <f>0.319</f>
        <v>0.319</v>
      </c>
      <c r="G24" s="21" t="n">
        <f>123732798</f>
        <v>1.23732798E8</v>
      </c>
      <c r="H24" s="22" t="n">
        <f>0</f>
        <v>0.0</v>
      </c>
      <c r="I24" s="23" t="n">
        <f>0.009</f>
        <v>0.009</v>
      </c>
    </row>
    <row r="25" spans="1:9" ht="24.9" customHeight="1">
      <c r="A25" s="41"/>
      <c r="B25" s="39"/>
      <c r="C25" s="20" t="s">
        <v>17</v>
      </c>
      <c r="D25" s="21" t="n">
        <f>3158</f>
        <v>3158.0</v>
      </c>
      <c r="E25" s="22" t="n">
        <f>100</f>
        <v>100.0</v>
      </c>
      <c r="F25" s="23" t="n">
        <f>0.054</f>
        <v>0.054</v>
      </c>
      <c r="G25" s="21" t="n">
        <f>123623768</f>
        <v>1.23623768E8</v>
      </c>
      <c r="H25" s="22" t="n">
        <f>32830000</f>
        <v>3.283E7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18700</f>
        <v>18700.0</v>
      </c>
      <c r="E26" s="26" t="n">
        <f>100</f>
        <v>100.0</v>
      </c>
      <c r="F26" s="27" t="n">
        <f>0.121</f>
        <v>0.121</v>
      </c>
      <c r="G26" s="25" t="n">
        <f>247356566</f>
        <v>2.47356566E8</v>
      </c>
      <c r="H26" s="26" t="n">
        <f>32830000</f>
        <v>3.283E7</v>
      </c>
      <c r="I26" s="27" t="n">
        <f>0.005</f>
        <v>0.005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46212.0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46212.0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25730.0</v>
      </c>
      <c r="F12" s="18" t="n">
        <f>1872</f>
        <v>1872.0</v>
      </c>
      <c r="G12" s="17" t="n">
        <v>1.7133166767E12</v>
      </c>
      <c r="H12" s="18" t="n">
        <f>124228560700</f>
        <v>1.242285607E11</v>
      </c>
    </row>
    <row r="13" spans="1:8" ht="24.9" customHeight="1">
      <c r="A13" s="51"/>
      <c r="B13" s="57"/>
      <c r="C13" s="39"/>
      <c r="D13" s="20" t="s">
        <v>16</v>
      </c>
      <c r="E13" s="21" t="n">
        <v>13613.0</v>
      </c>
      <c r="F13" s="22" t="n">
        <f>1718</f>
        <v>1718.0</v>
      </c>
      <c r="G13" s="21" t="n">
        <v>9.264369198E11</v>
      </c>
      <c r="H13" s="22" t="n">
        <f>116481883800</f>
        <v>1.164818838E11</v>
      </c>
    </row>
    <row r="14" spans="1:8" ht="24.9" customHeight="1">
      <c r="A14" s="51"/>
      <c r="B14" s="57"/>
      <c r="C14" s="39"/>
      <c r="D14" s="20" t="s">
        <v>17</v>
      </c>
      <c r="E14" s="21" t="n">
        <v>28984.0</v>
      </c>
      <c r="F14" s="22" t="n">
        <f>7215</f>
        <v>7215.0</v>
      </c>
      <c r="G14" s="21" t="n">
        <v>1.9712782359E12</v>
      </c>
      <c r="H14" s="22" t="n">
        <f>490591493900</f>
        <v>4.905914939E11</v>
      </c>
    </row>
    <row r="15" spans="1:8" ht="24.9" customHeight="1">
      <c r="A15" s="51"/>
      <c r="B15" s="57"/>
      <c r="C15" s="39"/>
      <c r="D15" s="24" t="s">
        <v>18</v>
      </c>
      <c r="E15" s="25" t="n">
        <v>68327.0</v>
      </c>
      <c r="F15" s="26" t="n">
        <f>10805</f>
        <v>10805.0</v>
      </c>
      <c r="G15" s="25" t="n">
        <v>4.6110318324E12</v>
      </c>
      <c r="H15" s="26" t="n">
        <f>731301938400</f>
        <v>7.313019384E11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474108.0</v>
      </c>
      <c r="F16" s="18" t="n">
        <f>49877</f>
        <v>49877.0</v>
      </c>
      <c r="G16" s="17" t="n">
        <v>3.1605409295E12</v>
      </c>
      <c r="H16" s="18" t="n">
        <f>332279232500</f>
        <v>3.322792325E11</v>
      </c>
    </row>
    <row r="17" spans="1:8" ht="24.9" customHeight="1">
      <c r="A17" s="51"/>
      <c r="B17" s="57"/>
      <c r="C17" s="39"/>
      <c r="D17" s="20" t="s">
        <v>16</v>
      </c>
      <c r="E17" s="21" t="n">
        <v>183147.0</v>
      </c>
      <c r="F17" s="22" t="n">
        <f>21874</f>
        <v>21874.0</v>
      </c>
      <c r="G17" s="21" t="n">
        <v>1.2472877397E12</v>
      </c>
      <c r="H17" s="22" t="n">
        <f>149001086600</f>
        <v>1.490010866E11</v>
      </c>
    </row>
    <row r="18" spans="1:8" ht="24.9" customHeight="1">
      <c r="A18" s="51"/>
      <c r="B18" s="57"/>
      <c r="C18" s="39"/>
      <c r="D18" s="20" t="s">
        <v>17</v>
      </c>
      <c r="E18" s="21" t="n">
        <v>292478.0</v>
      </c>
      <c r="F18" s="22" t="n">
        <f>40830</f>
        <v>40830.0</v>
      </c>
      <c r="G18" s="21" t="n">
        <v>1.989182371702E12</v>
      </c>
      <c r="H18" s="22" t="n">
        <f>277705902802</f>
        <v>2.77705902802E11</v>
      </c>
    </row>
    <row r="19" spans="1:8" ht="24.9" customHeight="1">
      <c r="A19" s="51"/>
      <c r="B19" s="57"/>
      <c r="C19" s="39"/>
      <c r="D19" s="24" t="s">
        <v>18</v>
      </c>
      <c r="E19" s="25" t="n">
        <v>949733.0</v>
      </c>
      <c r="F19" s="26" t="n">
        <f>112581</f>
        <v>112581.0</v>
      </c>
      <c r="G19" s="25" t="n">
        <v>6.397011040902E12</v>
      </c>
      <c r="H19" s="26" t="n">
        <f>758986221902</f>
        <v>7.58986221902E11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736639.0</v>
      </c>
      <c r="F20" s="18" t="str">
        <f>"－"</f>
        <v>－</v>
      </c>
      <c r="G20" s="17" t="n">
        <v>4.9104560775E11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223343.0</v>
      </c>
      <c r="F21" s="22" t="str">
        <f>"－"</f>
        <v>－</v>
      </c>
      <c r="G21" s="21" t="n">
        <v>1.520931237E11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301132.0</v>
      </c>
      <c r="F22" s="22" t="str">
        <f>"－"</f>
        <v>－</v>
      </c>
      <c r="G22" s="21" t="n">
        <v>2.0484668435E11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1261114.0</v>
      </c>
      <c r="F23" s="26" t="str">
        <f>"－"</f>
        <v>－</v>
      </c>
      <c r="G23" s="25" t="n">
        <v>8.479854158E11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27998.0</v>
      </c>
      <c r="F24" s="18" t="n">
        <f>3585</f>
        <v>3585.0</v>
      </c>
      <c r="G24" s="17" t="n">
        <v>1.117141658E12</v>
      </c>
      <c r="H24" s="18" t="n">
        <f>143622618000</f>
        <v>1.43622618E11</v>
      </c>
    </row>
    <row r="25" spans="1:8" ht="24.9" customHeight="1">
      <c r="A25" s="51"/>
      <c r="B25" s="57"/>
      <c r="C25" s="39"/>
      <c r="D25" s="20" t="s">
        <v>16</v>
      </c>
      <c r="E25" s="21" t="n">
        <v>14292.0</v>
      </c>
      <c r="F25" s="22" t="n">
        <f>887</f>
        <v>887.0</v>
      </c>
      <c r="G25" s="21" t="n">
        <v>5.754548596E11</v>
      </c>
      <c r="H25" s="22" t="n">
        <f>35660529600</f>
        <v>3.56605296E10</v>
      </c>
    </row>
    <row r="26" spans="1:8" ht="24.9" customHeight="1">
      <c r="A26" s="51"/>
      <c r="B26" s="57"/>
      <c r="C26" s="39"/>
      <c r="D26" s="20" t="s">
        <v>17</v>
      </c>
      <c r="E26" s="21" t="n">
        <v>26359.0</v>
      </c>
      <c r="F26" s="22" t="n">
        <f>3516</f>
        <v>3516.0</v>
      </c>
      <c r="G26" s="21" t="n">
        <v>1.0612396898E12</v>
      </c>
      <c r="H26" s="22" t="n">
        <f>141664314800</f>
        <v>1.416643148E11</v>
      </c>
    </row>
    <row r="27" spans="1:8" ht="24.9" customHeight="1">
      <c r="A27" s="51"/>
      <c r="B27" s="57"/>
      <c r="C27" s="39"/>
      <c r="D27" s="24" t="s">
        <v>18</v>
      </c>
      <c r="E27" s="25" t="n">
        <v>68649.0</v>
      </c>
      <c r="F27" s="26" t="n">
        <f>7988</f>
        <v>7988.0</v>
      </c>
      <c r="G27" s="25" t="n">
        <v>2.7538362074E12</v>
      </c>
      <c r="H27" s="26" t="n">
        <f>320947462400</f>
        <v>3.209474624E11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8640.0</v>
      </c>
      <c r="F28" s="18" t="n">
        <f>882</f>
        <v>882.0</v>
      </c>
      <c r="G28" s="17" t="n">
        <v>3.44514847E10</v>
      </c>
      <c r="H28" s="18" t="n">
        <f>3516872200</f>
        <v>3.5168722E9</v>
      </c>
    </row>
    <row r="29" spans="1:8" ht="24.9" customHeight="1">
      <c r="A29" s="51"/>
      <c r="B29" s="57"/>
      <c r="C29" s="39"/>
      <c r="D29" s="20" t="s">
        <v>16</v>
      </c>
      <c r="E29" s="21" t="n">
        <v>6411.0</v>
      </c>
      <c r="F29" s="22" t="n">
        <f>168</f>
        <v>168.0</v>
      </c>
      <c r="G29" s="21" t="n">
        <v>2.58127065E10</v>
      </c>
      <c r="H29" s="22" t="n">
        <f>676577500</f>
        <v>6.765775E8</v>
      </c>
    </row>
    <row r="30" spans="1:8" ht="24.9" customHeight="1">
      <c r="A30" s="51"/>
      <c r="B30" s="57"/>
      <c r="C30" s="39"/>
      <c r="D30" s="20" t="s">
        <v>17</v>
      </c>
      <c r="E30" s="21" t="n">
        <v>8053.0</v>
      </c>
      <c r="F30" s="22" t="n">
        <f>465</f>
        <v>465.0</v>
      </c>
      <c r="G30" s="21" t="n">
        <v>3.24154788E10</v>
      </c>
      <c r="H30" s="22" t="n">
        <f>1872383800</f>
        <v>1.8723838E9</v>
      </c>
    </row>
    <row r="31" spans="1:8" ht="24.9" customHeight="1">
      <c r="A31" s="51"/>
      <c r="B31" s="57"/>
      <c r="C31" s="39"/>
      <c r="D31" s="24" t="s">
        <v>18</v>
      </c>
      <c r="E31" s="25" t="n">
        <v>23104.0</v>
      </c>
      <c r="F31" s="26" t="n">
        <f>1515</f>
        <v>1515.0</v>
      </c>
      <c r="G31" s="25" t="n">
        <v>9.267967E10</v>
      </c>
      <c r="H31" s="26" t="n">
        <f>6065833500</f>
        <v>6.0658335E9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667.0</v>
      </c>
      <c r="F36" s="18" t="n">
        <f>0</f>
        <v>0.0</v>
      </c>
      <c r="G36" s="17" t="n">
        <v>2.4032615E9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1224.0</v>
      </c>
      <c r="F37" s="22" t="n">
        <f>2</f>
        <v>2.0</v>
      </c>
      <c r="G37" s="21" t="n">
        <v>4.46046E9</v>
      </c>
      <c r="H37" s="22" t="n">
        <f>7296000</f>
        <v>7296000.0</v>
      </c>
    </row>
    <row r="38" spans="1:8" ht="24.9" customHeight="1">
      <c r="A38" s="51"/>
      <c r="B38" s="57"/>
      <c r="C38" s="39"/>
      <c r="D38" s="20" t="s">
        <v>17</v>
      </c>
      <c r="E38" s="21" t="n">
        <v>1045.0</v>
      </c>
      <c r="F38" s="22" t="n">
        <f>24</f>
        <v>24.0</v>
      </c>
      <c r="G38" s="21" t="n">
        <v>3.8075075E9</v>
      </c>
      <c r="H38" s="22" t="n">
        <f>87545000</f>
        <v>8.7545E7</v>
      </c>
    </row>
    <row r="39" spans="1:8" ht="24.9" customHeight="1">
      <c r="A39" s="51"/>
      <c r="B39" s="57"/>
      <c r="C39" s="39"/>
      <c r="D39" s="24" t="s">
        <v>18</v>
      </c>
      <c r="E39" s="25" t="n">
        <v>2936.0</v>
      </c>
      <c r="F39" s="26" t="n">
        <f>26</f>
        <v>26.0</v>
      </c>
      <c r="G39" s="25" t="n">
        <v>1.0671229E10</v>
      </c>
      <c r="H39" s="26" t="n">
        <f>94841000</f>
        <v>9.4841E7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9.0</v>
      </c>
      <c r="F45" s="22" t="n">
        <f>9</f>
        <v>9.0</v>
      </c>
      <c r="G45" s="21" t="n">
        <v>6.50133E7</v>
      </c>
      <c r="H45" s="22" t="n">
        <f>65013300</f>
        <v>6.50133E7</v>
      </c>
    </row>
    <row r="46" spans="1:8" ht="24.9" customHeight="1">
      <c r="A46" s="51"/>
      <c r="B46" s="57"/>
      <c r="C46" s="39"/>
      <c r="D46" s="20" t="s">
        <v>17</v>
      </c>
      <c r="E46" s="21" t="n">
        <v>220.0</v>
      </c>
      <c r="F46" s="22" t="n">
        <f>220</f>
        <v>220.0</v>
      </c>
      <c r="G46" s="21" t="n">
        <v>1.5939E9</v>
      </c>
      <c r="H46" s="22" t="n">
        <f>1593900000</f>
        <v>1.5939E9</v>
      </c>
    </row>
    <row r="47" spans="1:8" ht="24.9" customHeight="1">
      <c r="A47" s="51"/>
      <c r="B47" s="57"/>
      <c r="C47" s="39"/>
      <c r="D47" s="24" t="s">
        <v>18</v>
      </c>
      <c r="E47" s="25" t="n">
        <v>229.0</v>
      </c>
      <c r="F47" s="26" t="n">
        <f>229</f>
        <v>229.0</v>
      </c>
      <c r="G47" s="25" t="n">
        <v>1.6589133E9</v>
      </c>
      <c r="H47" s="26" t="n">
        <f>1658913300</f>
        <v>1.6589133E9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50.0</v>
      </c>
      <c r="F49" s="22" t="n">
        <f>0</f>
        <v>0.0</v>
      </c>
      <c r="G49" s="21" t="n">
        <v>9.07245E7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98.0</v>
      </c>
      <c r="F50" s="22" t="n">
        <f>1</f>
        <v>1.0</v>
      </c>
      <c r="G50" s="21" t="n">
        <v>1.7795629E8</v>
      </c>
      <c r="H50" s="22" t="n">
        <f>1806790</f>
        <v>1806790.0</v>
      </c>
    </row>
    <row r="51" spans="1:8" ht="24.9" customHeight="1">
      <c r="A51" s="51"/>
      <c r="B51" s="57"/>
      <c r="C51" s="39"/>
      <c r="D51" s="24" t="s">
        <v>18</v>
      </c>
      <c r="E51" s="25" t="n">
        <v>148.0</v>
      </c>
      <c r="F51" s="26" t="n">
        <f>1</f>
        <v>1.0</v>
      </c>
      <c r="G51" s="25" t="n">
        <v>2.6868079E8</v>
      </c>
      <c r="H51" s="26" t="n">
        <f>1806790</f>
        <v>1806790.0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833.0</v>
      </c>
      <c r="F56" s="18" t="n">
        <f>48</f>
        <v>48.0</v>
      </c>
      <c r="G56" s="17" t="n">
        <v>5.814376E8</v>
      </c>
      <c r="H56" s="18" t="n">
        <f>33451600</f>
        <v>3.34516E7</v>
      </c>
    </row>
    <row r="57" spans="1:8" ht="24.9" customHeight="1">
      <c r="A57" s="51"/>
      <c r="B57" s="57"/>
      <c r="C57" s="39"/>
      <c r="D57" s="20" t="s">
        <v>16</v>
      </c>
      <c r="E57" s="21" t="n">
        <v>552.0</v>
      </c>
      <c r="F57" s="22" t="n">
        <f>16</f>
        <v>16.0</v>
      </c>
      <c r="G57" s="21" t="n">
        <v>3.870241E8</v>
      </c>
      <c r="H57" s="22" t="n">
        <f>11208100</f>
        <v>1.12081E7</v>
      </c>
    </row>
    <row r="58" spans="1:8" ht="24.9" customHeight="1">
      <c r="A58" s="51"/>
      <c r="B58" s="57"/>
      <c r="C58" s="39"/>
      <c r="D58" s="20" t="s">
        <v>17</v>
      </c>
      <c r="E58" s="21" t="n">
        <v>581.0</v>
      </c>
      <c r="F58" s="22" t="n">
        <f>131</f>
        <v>131.0</v>
      </c>
      <c r="G58" s="21" t="n">
        <v>4.1011036E8</v>
      </c>
      <c r="H58" s="22" t="n">
        <f>92040360</f>
        <v>9.204036E7</v>
      </c>
    </row>
    <row r="59" spans="1:8" ht="24.9" customHeight="1">
      <c r="A59" s="51"/>
      <c r="B59" s="57"/>
      <c r="C59" s="39"/>
      <c r="D59" s="24" t="s">
        <v>18</v>
      </c>
      <c r="E59" s="25" t="n">
        <v>1966.0</v>
      </c>
      <c r="F59" s="26" t="n">
        <f>195</f>
        <v>195.0</v>
      </c>
      <c r="G59" s="25" t="n">
        <v>1.37857206E9</v>
      </c>
      <c r="H59" s="26" t="n">
        <f>136700060</f>
        <v>1.3670006E8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318.0</v>
      </c>
      <c r="F60" s="18" t="n">
        <f>24</f>
        <v>24.0</v>
      </c>
      <c r="G60" s="17" t="n">
        <v>1.6727613E9</v>
      </c>
      <c r="H60" s="18" t="n">
        <f>126255100</f>
        <v>1.262551E8</v>
      </c>
    </row>
    <row r="61" spans="1:8" ht="24.9" customHeight="1">
      <c r="A61" s="51"/>
      <c r="B61" s="57"/>
      <c r="C61" s="39"/>
      <c r="D61" s="20" t="s">
        <v>16</v>
      </c>
      <c r="E61" s="21" t="n">
        <v>26.0</v>
      </c>
      <c r="F61" s="22" t="n">
        <f>2</f>
        <v>2.0</v>
      </c>
      <c r="G61" s="21" t="n">
        <v>1.368601E8</v>
      </c>
      <c r="H61" s="22" t="n">
        <f>10533200</f>
        <v>1.05332E7</v>
      </c>
    </row>
    <row r="62" spans="1:8" ht="24.9" customHeight="1">
      <c r="A62" s="51"/>
      <c r="B62" s="57"/>
      <c r="C62" s="39"/>
      <c r="D62" s="20" t="s">
        <v>17</v>
      </c>
      <c r="E62" s="21" t="n">
        <v>32.0</v>
      </c>
      <c r="F62" s="22" t="n">
        <f>1</f>
        <v>1.0</v>
      </c>
      <c r="G62" s="21" t="n">
        <v>1.686408E8</v>
      </c>
      <c r="H62" s="22" t="n">
        <f>5271300</f>
        <v>5271300.0</v>
      </c>
    </row>
    <row r="63" spans="1:8" ht="24.9" customHeight="1">
      <c r="A63" s="51"/>
      <c r="B63" s="57"/>
      <c r="C63" s="39"/>
      <c r="D63" s="24" t="s">
        <v>18</v>
      </c>
      <c r="E63" s="25" t="n">
        <v>376.0</v>
      </c>
      <c r="F63" s="26" t="n">
        <f>27</f>
        <v>27.0</v>
      </c>
      <c r="G63" s="25" t="n">
        <v>1.9782622E9</v>
      </c>
      <c r="H63" s="26" t="n">
        <f>142059600</f>
        <v>1.420596E8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3.0</v>
      </c>
      <c r="F76" s="18" t="n">
        <f>0</f>
        <v>0.0</v>
      </c>
      <c r="G76" s="17" t="n">
        <v>1168000.0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12.0</v>
      </c>
      <c r="F77" s="22" t="n">
        <f>0</f>
        <v>0.0</v>
      </c>
      <c r="G77" s="21" t="n">
        <v>4589500.0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11.0</v>
      </c>
      <c r="F78" s="22" t="n">
        <f>0</f>
        <v>0.0</v>
      </c>
      <c r="G78" s="21" t="n">
        <v>4171500.0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26.0</v>
      </c>
      <c r="F79" s="26" t="n">
        <f>0</f>
        <v>0.0</v>
      </c>
      <c r="G79" s="25" t="n">
        <v>9929000.0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150.0</v>
      </c>
      <c r="F92" s="18" t="n">
        <f>0</f>
        <v>0.0</v>
      </c>
      <c r="G92" s="17" t="n">
        <v>2.424165E8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3.0</v>
      </c>
      <c r="F93" s="22" t="n">
        <f>0</f>
        <v>0.0</v>
      </c>
      <c r="G93" s="21" t="n">
        <v>4849000.0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153.0</v>
      </c>
      <c r="F95" s="26" t="n">
        <f>0</f>
        <v>0.0</v>
      </c>
      <c r="G95" s="25" t="n">
        <v>2.472655E8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311.0</v>
      </c>
      <c r="F96" s="18" t="n">
        <f>0</f>
        <v>0.0</v>
      </c>
      <c r="G96" s="17" t="n">
        <v>7.418986E8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311.0</v>
      </c>
      <c r="F99" s="26" t="n">
        <f>0</f>
        <v>0.0</v>
      </c>
      <c r="G99" s="25" t="n">
        <v>7.418986E8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20.0</v>
      </c>
      <c r="F101" s="22" t="n">
        <f>0</f>
        <v>0.0</v>
      </c>
      <c r="G101" s="21" t="n">
        <v>3.7032E7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20.0</v>
      </c>
      <c r="F103" s="26" t="n">
        <f>0</f>
        <v>0.0</v>
      </c>
      <c r="G103" s="25" t="n">
        <v>3.7032E7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12713.0</v>
      </c>
      <c r="F108" s="18" t="n">
        <f>1</f>
        <v>1.0</v>
      </c>
      <c r="G108" s="17" t="n">
        <v>1.60818826E12</v>
      </c>
      <c r="H108" s="18" t="n">
        <f>126450000</f>
        <v>1.2645E8</v>
      </c>
    </row>
    <row r="109" spans="1:8" ht="24.9" customHeight="1">
      <c r="A109" s="51"/>
      <c r="B109" s="57"/>
      <c r="C109" s="39"/>
      <c r="D109" s="20" t="s">
        <v>16</v>
      </c>
      <c r="E109" s="21" t="n">
        <v>12668.0</v>
      </c>
      <c r="F109" s="22" t="n">
        <f>299</f>
        <v>299.0</v>
      </c>
      <c r="G109" s="21" t="n">
        <v>1.60255985E12</v>
      </c>
      <c r="H109" s="22" t="n">
        <f>37821710000</f>
        <v>3.782171E10</v>
      </c>
    </row>
    <row r="110" spans="1:8" ht="24.9" customHeight="1">
      <c r="A110" s="51"/>
      <c r="B110" s="57"/>
      <c r="C110" s="39"/>
      <c r="D110" s="20" t="s">
        <v>17</v>
      </c>
      <c r="E110" s="21" t="n">
        <v>19692.0</v>
      </c>
      <c r="F110" s="22" t="n">
        <f>1825</f>
        <v>1825.0</v>
      </c>
      <c r="G110" s="21" t="n">
        <v>2.49010956E12</v>
      </c>
      <c r="H110" s="22" t="n">
        <f>230879500000</f>
        <v>2.308795E11</v>
      </c>
    </row>
    <row r="111" spans="1:8" ht="24.9" customHeight="1">
      <c r="A111" s="51"/>
      <c r="B111" s="57"/>
      <c r="C111" s="39"/>
      <c r="D111" s="24" t="s">
        <v>18</v>
      </c>
      <c r="E111" s="25" t="n">
        <v>45073.0</v>
      </c>
      <c r="F111" s="26" t="n">
        <f>2125</f>
        <v>2125.0</v>
      </c>
      <c r="G111" s="25" t="n">
        <v>5.70085767E12</v>
      </c>
      <c r="H111" s="26" t="n">
        <f>268827660000</f>
        <v>2.6882766E11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1.0</v>
      </c>
      <c r="F112" s="18" t="n">
        <f>0</f>
        <v>0.0</v>
      </c>
      <c r="G112" s="17" t="n">
        <v>1.265E7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1.0</v>
      </c>
      <c r="F115" s="26" t="n">
        <f>0</f>
        <v>0.0</v>
      </c>
      <c r="G115" s="25" t="n">
        <v>1.265E7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251.0</v>
      </c>
      <c r="F118" s="22" t="n">
        <f>0</f>
        <v>0.0</v>
      </c>
      <c r="G118" s="21" t="n">
        <v>2.233131E9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251.0</v>
      </c>
      <c r="F119" s="26" t="n">
        <f>0</f>
        <v>0.0</v>
      </c>
      <c r="G119" s="25" t="n">
        <v>2.233131E9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580.0</v>
      </c>
      <c r="F120" s="18" t="n">
        <f>0</f>
        <v>0.0</v>
      </c>
      <c r="G120" s="17" t="n">
        <v>1.4338805E10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144.0</v>
      </c>
      <c r="F121" s="22" t="n">
        <f>0</f>
        <v>0.0</v>
      </c>
      <c r="G121" s="21" t="n">
        <v>3.55899E9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1242.0</v>
      </c>
      <c r="F122" s="22" t="n">
        <f>0</f>
        <v>0.0</v>
      </c>
      <c r="G122" s="21" t="n">
        <v>3.07129625E10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1966.0</v>
      </c>
      <c r="F123" s="26" t="n">
        <f>0</f>
        <v>0.0</v>
      </c>
      <c r="G123" s="25" t="n">
        <v>4.86107575E10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8034.0</v>
      </c>
      <c r="F124" s="18" t="n">
        <f>0</f>
        <v>0.0</v>
      </c>
      <c r="G124" s="17" t="n">
        <v>1.74477632E11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1937.0</v>
      </c>
      <c r="F125" s="22" t="n">
        <f>0</f>
        <v>0.0</v>
      </c>
      <c r="G125" s="21" t="n">
        <v>4.2142921E10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4240.0</v>
      </c>
      <c r="F126" s="22" t="n">
        <f>0</f>
        <v>0.0</v>
      </c>
      <c r="G126" s="21" t="n">
        <v>9.2404582E10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14211.0</v>
      </c>
      <c r="F127" s="26" t="n">
        <f>0</f>
        <v>0.0</v>
      </c>
      <c r="G127" s="25" t="n">
        <v>3.09025135E11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107.0</v>
      </c>
      <c r="F128" s="18" t="n">
        <f>0</f>
        <v>0.0</v>
      </c>
      <c r="G128" s="17" t="n">
        <v>2.309587E8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21.0</v>
      </c>
      <c r="F129" s="22" t="n">
        <f>0</f>
        <v>0.0</v>
      </c>
      <c r="G129" s="21" t="n">
        <v>4.54968E7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77.0</v>
      </c>
      <c r="F130" s="22" t="n">
        <f>0</f>
        <v>0.0</v>
      </c>
      <c r="G130" s="21" t="n">
        <v>1.66589E8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205.0</v>
      </c>
      <c r="F131" s="26" t="n">
        <f>0</f>
        <v>0.0</v>
      </c>
      <c r="G131" s="25" t="n">
        <v>4.430445E8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8966.0</v>
      </c>
      <c r="F132" s="18" t="n">
        <f>0</f>
        <v>0.0</v>
      </c>
      <c r="G132" s="17" t="n">
        <v>1.94701499E10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1448.0</v>
      </c>
      <c r="F133" s="22" t="n">
        <f>0</f>
        <v>0.0</v>
      </c>
      <c r="G133" s="21" t="n">
        <v>3.1507049E9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2803.0</v>
      </c>
      <c r="F134" s="22" t="n">
        <f>0</f>
        <v>0.0</v>
      </c>
      <c r="G134" s="21" t="n">
        <v>6.09496825E9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13217.0</v>
      </c>
      <c r="F135" s="26" t="n">
        <f>0</f>
        <v>0.0</v>
      </c>
      <c r="G135" s="25" t="n">
        <v>2.871582305E10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39.0</v>
      </c>
      <c r="F136" s="18" t="n">
        <f>0</f>
        <v>0.0</v>
      </c>
      <c r="G136" s="17" t="n">
        <v>8.38282E7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5.0</v>
      </c>
      <c r="F137" s="22" t="n">
        <f>0</f>
        <v>0.0</v>
      </c>
      <c r="G137" s="21" t="n">
        <v>1.0746E7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63.0</v>
      </c>
      <c r="F138" s="22" t="n">
        <f>0</f>
        <v>0.0</v>
      </c>
      <c r="G138" s="21" t="n">
        <v>1.356353E8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107.0</v>
      </c>
      <c r="F139" s="26" t="n">
        <f>0</f>
        <v>0.0</v>
      </c>
      <c r="G139" s="25" t="n">
        <v>2.302095E8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1613.0</v>
      </c>
      <c r="F144" s="18" t="n">
        <f>0</f>
        <v>0.0</v>
      </c>
      <c r="G144" s="17" t="n">
        <v>6.4742665E9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584.0</v>
      </c>
      <c r="F145" s="22" t="n">
        <f>0</f>
        <v>0.0</v>
      </c>
      <c r="G145" s="21" t="n">
        <v>2.354182E9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550.0</v>
      </c>
      <c r="F146" s="22" t="n">
        <f>0</f>
        <v>0.0</v>
      </c>
      <c r="G146" s="21" t="n">
        <v>2.229961E9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2747.0</v>
      </c>
      <c r="F147" s="26" t="n">
        <f>0</f>
        <v>0.0</v>
      </c>
      <c r="G147" s="25" t="n">
        <v>1.10584095E10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13.0</v>
      </c>
      <c r="F148" s="18" t="n">
        <f>0</f>
        <v>0.0</v>
      </c>
      <c r="G148" s="17" t="n">
        <v>1.07923E7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22.0</v>
      </c>
      <c r="F149" s="22" t="n">
        <f>0</f>
        <v>0.0</v>
      </c>
      <c r="G149" s="21" t="n">
        <v>1.822E7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107.0</v>
      </c>
      <c r="F150" s="22" t="n">
        <f>0</f>
        <v>0.0</v>
      </c>
      <c r="G150" s="21" t="n">
        <v>8.91436E7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142.0</v>
      </c>
      <c r="F151" s="26" t="n">
        <f>0</f>
        <v>0.0</v>
      </c>
      <c r="G151" s="25" t="n">
        <v>1.181559E8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394.0</v>
      </c>
      <c r="F152" s="18" t="n">
        <f>0</f>
        <v>0.0</v>
      </c>
      <c r="G152" s="17" t="n">
        <v>3.1461365E8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282.0</v>
      </c>
      <c r="F153" s="22" t="n">
        <f>0</f>
        <v>0.0</v>
      </c>
      <c r="G153" s="21" t="n">
        <v>2.2796315E8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167.0</v>
      </c>
      <c r="F154" s="22" t="n">
        <f>0</f>
        <v>0.0</v>
      </c>
      <c r="G154" s="21" t="n">
        <v>1.3503835E8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843.0</v>
      </c>
      <c r="F155" s="26" t="n">
        <f>0</f>
        <v>0.0</v>
      </c>
      <c r="G155" s="25" t="n">
        <v>6.7761515E8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121.0</v>
      </c>
      <c r="F156" s="18" t="n">
        <f>0</f>
        <v>0.0</v>
      </c>
      <c r="G156" s="17" t="n">
        <v>9.74591E7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70.0</v>
      </c>
      <c r="F157" s="22" t="n">
        <f>0</f>
        <v>0.0</v>
      </c>
      <c r="G157" s="21" t="n">
        <v>5.63136E7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377.0</v>
      </c>
      <c r="F158" s="22" t="n">
        <f>0</f>
        <v>0.0</v>
      </c>
      <c r="G158" s="21" t="n">
        <v>3.06502E8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568.0</v>
      </c>
      <c r="F159" s="26" t="n">
        <f>0</f>
        <v>0.0</v>
      </c>
      <c r="G159" s="25" t="n">
        <v>4.602747E8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210.0</v>
      </c>
      <c r="F168" s="18" t="n">
        <f>0</f>
        <v>0.0</v>
      </c>
      <c r="G168" s="17" t="n">
        <v>4.427075E8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245.0</v>
      </c>
      <c r="F169" s="22" t="n">
        <f>0</f>
        <v>0.0</v>
      </c>
      <c r="G169" s="21" t="n">
        <v>5.13641E8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189.0</v>
      </c>
      <c r="F170" s="22" t="n">
        <f>0</f>
        <v>0.0</v>
      </c>
      <c r="G170" s="21" t="n">
        <v>3.960015E8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644.0</v>
      </c>
      <c r="F171" s="26" t="n">
        <f>0</f>
        <v>0.0</v>
      </c>
      <c r="G171" s="25" t="n">
        <v>1.35235E9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40.0</v>
      </c>
      <c r="F176" s="18" t="n">
        <f>0</f>
        <v>0.0</v>
      </c>
      <c r="G176" s="17" t="n">
        <v>6.87E7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4.0</v>
      </c>
      <c r="F177" s="22" t="n">
        <f>0</f>
        <v>0.0</v>
      </c>
      <c r="G177" s="21" t="n">
        <v>7098000.0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38.0</v>
      </c>
      <c r="F178" s="22" t="n">
        <f>0</f>
        <v>0.0</v>
      </c>
      <c r="G178" s="21" t="n">
        <v>6.47515E7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82.0</v>
      </c>
      <c r="F179" s="26" t="n">
        <f>0</f>
        <v>0.0</v>
      </c>
      <c r="G179" s="25" t="n">
        <v>1.405495E8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970.0</v>
      </c>
      <c r="F204" s="18" t="n">
        <f>0</f>
        <v>0.0</v>
      </c>
      <c r="G204" s="17" t="n">
        <v>3.5859945E9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152.0</v>
      </c>
      <c r="F205" s="22" t="n">
        <f>0</f>
        <v>0.0</v>
      </c>
      <c r="G205" s="21" t="n">
        <v>5.68692E8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3453.0</v>
      </c>
      <c r="F206" s="22" t="n">
        <f>0</f>
        <v>0.0</v>
      </c>
      <c r="G206" s="21" t="n">
        <v>1.2770321E10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4575.0</v>
      </c>
      <c r="F207" s="26" t="n">
        <f>0</f>
        <v>0.0</v>
      </c>
      <c r="G207" s="25" t="n">
        <v>1.69250075E10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46212.0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46212.0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10059</f>
        <v>10059.0</v>
      </c>
      <c r="E12" s="35" t="n">
        <f>2828</f>
        <v>2828.0</v>
      </c>
      <c r="F12" s="17" t="n">
        <f>5717</f>
        <v>5717.0</v>
      </c>
      <c r="G12" s="35" t="n">
        <f>1129</f>
        <v>1129.0</v>
      </c>
      <c r="H12" s="17" t="n">
        <f>15776</f>
        <v>15776.0</v>
      </c>
      <c r="I12" s="35" t="n">
        <f>3957</f>
        <v>3957.0</v>
      </c>
      <c r="J12" s="17" t="n">
        <f>3544904310</f>
        <v>3.54490431E9</v>
      </c>
      <c r="K12" s="35" t="n">
        <f>1671206310</f>
        <v>1.67120631E9</v>
      </c>
      <c r="L12" s="17" t="n">
        <f>1561077090</f>
        <v>1.56107709E9</v>
      </c>
      <c r="M12" s="35" t="n">
        <f>586946090</f>
        <v>5.8694609E8</v>
      </c>
      <c r="N12" s="17" t="n">
        <f>5105981400</f>
        <v>5.1059814E9</v>
      </c>
      <c r="O12" s="35" t="n">
        <f>2258152400</f>
        <v>2.2581524E9</v>
      </c>
    </row>
    <row r="13" spans="1:15" ht="24.9" customHeight="1">
      <c r="A13" s="38"/>
      <c r="B13" s="62"/>
      <c r="C13" s="20" t="s">
        <v>16</v>
      </c>
      <c r="D13" s="21" t="n">
        <f>12667</f>
        <v>12667.0</v>
      </c>
      <c r="E13" s="36" t="n">
        <f>4495</f>
        <v>4495.0</v>
      </c>
      <c r="F13" s="21" t="n">
        <f>4453</f>
        <v>4453.0</v>
      </c>
      <c r="G13" s="36" t="n">
        <f>1262</f>
        <v>1262.0</v>
      </c>
      <c r="H13" s="21" t="n">
        <f>17120</f>
        <v>17120.0</v>
      </c>
      <c r="I13" s="36" t="n">
        <f>5757</f>
        <v>5757.0</v>
      </c>
      <c r="J13" s="21" t="n">
        <f>9107374698</f>
        <v>9.107374698E9</v>
      </c>
      <c r="K13" s="36" t="n">
        <f>7983209698</f>
        <v>7.983209698E9</v>
      </c>
      <c r="L13" s="21" t="n">
        <f>3237569770</f>
        <v>3.23756977E9</v>
      </c>
      <c r="M13" s="36" t="n">
        <f>2024009770</f>
        <v>2.02400977E9</v>
      </c>
      <c r="N13" s="21" t="n">
        <f>12344944468</f>
        <v>1.2344944468E10</v>
      </c>
      <c r="O13" s="36" t="n">
        <f>10007219468</f>
        <v>1.0007219468E10</v>
      </c>
    </row>
    <row r="14" spans="1:15" ht="24.9" customHeight="1">
      <c r="A14" s="38"/>
      <c r="B14" s="62"/>
      <c r="C14" s="20" t="s">
        <v>17</v>
      </c>
      <c r="D14" s="21" t="n">
        <f>16852</f>
        <v>16852.0</v>
      </c>
      <c r="E14" s="36" t="n">
        <f>8800</f>
        <v>8800.0</v>
      </c>
      <c r="F14" s="21" t="n">
        <f>11161</f>
        <v>11161.0</v>
      </c>
      <c r="G14" s="36" t="n">
        <f>6114</f>
        <v>6114.0</v>
      </c>
      <c r="H14" s="21" t="n">
        <f>28013</f>
        <v>28013.0</v>
      </c>
      <c r="I14" s="36" t="n">
        <f>14914</f>
        <v>14914.0</v>
      </c>
      <c r="J14" s="21" t="n">
        <f>15087358150</f>
        <v>1.508735815E10</v>
      </c>
      <c r="K14" s="36" t="n">
        <f>13307071150</f>
        <v>1.330707115E10</v>
      </c>
      <c r="L14" s="21" t="n">
        <f>12964192920</f>
        <v>1.296419292E10</v>
      </c>
      <c r="M14" s="36" t="n">
        <f>10757034920</f>
        <v>1.075703492E10</v>
      </c>
      <c r="N14" s="21" t="n">
        <f>28051551070</f>
        <v>2.805155107E10</v>
      </c>
      <c r="O14" s="36" t="n">
        <f>24064106070</f>
        <v>2.406410607E10</v>
      </c>
    </row>
    <row r="15" spans="1:15" ht="24.9" customHeight="1">
      <c r="A15" s="38"/>
      <c r="B15" s="62"/>
      <c r="C15" s="24" t="s">
        <v>18</v>
      </c>
      <c r="D15" s="25" t="n">
        <f>39578</f>
        <v>39578.0</v>
      </c>
      <c r="E15" s="37" t="n">
        <f>16123</f>
        <v>16123.0</v>
      </c>
      <c r="F15" s="25" t="n">
        <f>21331</f>
        <v>21331.0</v>
      </c>
      <c r="G15" s="37" t="n">
        <f>8505</f>
        <v>8505.0</v>
      </c>
      <c r="H15" s="25" t="n">
        <f>60909</f>
        <v>60909.0</v>
      </c>
      <c r="I15" s="37" t="n">
        <f>24628</f>
        <v>24628.0</v>
      </c>
      <c r="J15" s="25" t="n">
        <f>27739637158</f>
        <v>2.7739637158E10</v>
      </c>
      <c r="K15" s="37" t="n">
        <f>22961487158</f>
        <v>2.2961487158E10</v>
      </c>
      <c r="L15" s="25" t="n">
        <f>17762839780</f>
        <v>1.776283978E10</v>
      </c>
      <c r="M15" s="37" t="n">
        <f>13367990780</f>
        <v>1.336799078E10</v>
      </c>
      <c r="N15" s="25" t="n">
        <f>45502476938</f>
        <v>4.5502476938E10</v>
      </c>
      <c r="O15" s="37" t="n">
        <f>36329477938</f>
        <v>3.6329477938E10</v>
      </c>
    </row>
    <row r="16" spans="1:15" ht="24.9" customHeight="1">
      <c r="A16" s="38"/>
      <c r="B16" s="61" t="s">
        <v>105</v>
      </c>
      <c r="C16" s="16" t="s">
        <v>15</v>
      </c>
      <c r="D16" s="17" t="n">
        <f>15318</f>
        <v>15318.0</v>
      </c>
      <c r="E16" s="35" t="n">
        <f>1120</f>
        <v>1120.0</v>
      </c>
      <c r="F16" s="17" t="n">
        <f>16426</f>
        <v>16426.0</v>
      </c>
      <c r="G16" s="35" t="n">
        <f>2610</f>
        <v>2610.0</v>
      </c>
      <c r="H16" s="17" t="n">
        <f>31744</f>
        <v>31744.0</v>
      </c>
      <c r="I16" s="35" t="n">
        <f>3730</f>
        <v>3730.0</v>
      </c>
      <c r="J16" s="17" t="n">
        <f>992384770</f>
        <v>9.9238477E8</v>
      </c>
      <c r="K16" s="35" t="n">
        <f>38068970</f>
        <v>3.806897E7</v>
      </c>
      <c r="L16" s="17" t="n">
        <f>728540870</f>
        <v>7.2854087E8</v>
      </c>
      <c r="M16" s="35" t="n">
        <f>76132070</f>
        <v>7.613207E7</v>
      </c>
      <c r="N16" s="17" t="n">
        <f>1720925640</f>
        <v>1.72092564E9</v>
      </c>
      <c r="O16" s="35" t="n">
        <f>114201040</f>
        <v>1.1420104E8</v>
      </c>
    </row>
    <row r="17" spans="1:15" ht="24.9" customHeight="1">
      <c r="A17" s="38"/>
      <c r="B17" s="62"/>
      <c r="C17" s="20" t="s">
        <v>16</v>
      </c>
      <c r="D17" s="21" t="n">
        <f>8459</f>
        <v>8459.0</v>
      </c>
      <c r="E17" s="36" t="n">
        <f>850</f>
        <v>850.0</v>
      </c>
      <c r="F17" s="21" t="n">
        <f>7215</f>
        <v>7215.0</v>
      </c>
      <c r="G17" s="36" t="n">
        <f>1430</f>
        <v>1430.0</v>
      </c>
      <c r="H17" s="21" t="n">
        <f>15674</f>
        <v>15674.0</v>
      </c>
      <c r="I17" s="36" t="n">
        <f>2280</f>
        <v>2280.0</v>
      </c>
      <c r="J17" s="21" t="n">
        <f>335305560</f>
        <v>3.3530556E8</v>
      </c>
      <c r="K17" s="36" t="n">
        <f>6383660</f>
        <v>6383660.0</v>
      </c>
      <c r="L17" s="21" t="n">
        <f>492559320</f>
        <v>4.9255932E8</v>
      </c>
      <c r="M17" s="36" t="n">
        <f>86779720</f>
        <v>8.677972E7</v>
      </c>
      <c r="N17" s="21" t="n">
        <f>827864880</f>
        <v>8.2786488E8</v>
      </c>
      <c r="O17" s="36" t="n">
        <f>93163380</f>
        <v>9.316338E7</v>
      </c>
    </row>
    <row r="18" spans="1:15" ht="24.9" customHeight="1">
      <c r="A18" s="38"/>
      <c r="B18" s="62"/>
      <c r="C18" s="20" t="s">
        <v>17</v>
      </c>
      <c r="D18" s="21" t="n">
        <f>11786</f>
        <v>11786.0</v>
      </c>
      <c r="E18" s="36" t="n">
        <f>1360</f>
        <v>1360.0</v>
      </c>
      <c r="F18" s="21" t="n">
        <f>11107</f>
        <v>11107.0</v>
      </c>
      <c r="G18" s="36" t="n">
        <f>2610</f>
        <v>2610.0</v>
      </c>
      <c r="H18" s="21" t="n">
        <f>22893</f>
        <v>22893.0</v>
      </c>
      <c r="I18" s="36" t="n">
        <f>3970</f>
        <v>3970.0</v>
      </c>
      <c r="J18" s="21" t="n">
        <f>709228610</f>
        <v>7.0922861E8</v>
      </c>
      <c r="K18" s="36" t="n">
        <f>61575510</f>
        <v>6.157551E7</v>
      </c>
      <c r="L18" s="21" t="n">
        <f>924226448</f>
        <v>9.24226448E8</v>
      </c>
      <c r="M18" s="36" t="n">
        <f>118102848</f>
        <v>1.18102848E8</v>
      </c>
      <c r="N18" s="21" t="n">
        <f>1633455058</f>
        <v>1.633455058E9</v>
      </c>
      <c r="O18" s="36" t="n">
        <f>179678358</f>
        <v>1.79678358E8</v>
      </c>
    </row>
    <row r="19" spans="1:15" ht="24.9" customHeight="1">
      <c r="A19" s="38"/>
      <c r="B19" s="62"/>
      <c r="C19" s="24" t="s">
        <v>18</v>
      </c>
      <c r="D19" s="25" t="n">
        <f>35563</f>
        <v>35563.0</v>
      </c>
      <c r="E19" s="37" t="n">
        <f>3330</f>
        <v>3330.0</v>
      </c>
      <c r="F19" s="25" t="n">
        <f>34748</f>
        <v>34748.0</v>
      </c>
      <c r="G19" s="37" t="n">
        <f>6650</f>
        <v>6650.0</v>
      </c>
      <c r="H19" s="25" t="n">
        <f>70311</f>
        <v>70311.0</v>
      </c>
      <c r="I19" s="37" t="n">
        <f>9980</f>
        <v>9980.0</v>
      </c>
      <c r="J19" s="25" t="n">
        <f>2036918940</f>
        <v>2.03691894E9</v>
      </c>
      <c r="K19" s="37" t="n">
        <f>106028140</f>
        <v>1.0602814E8</v>
      </c>
      <c r="L19" s="25" t="n">
        <f>2145326638</f>
        <v>2.145326638E9</v>
      </c>
      <c r="M19" s="37" t="n">
        <f>281014638</f>
        <v>2.81014638E8</v>
      </c>
      <c r="N19" s="25" t="n">
        <f>4182245578</f>
        <v>4.182245578E9</v>
      </c>
      <c r="O19" s="37" t="n">
        <f>387042778</f>
        <v>3.87042778E8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3065</f>
        <v>3065.0</v>
      </c>
      <c r="E22" s="36" t="n">
        <f>3050</f>
        <v>3050.0</v>
      </c>
      <c r="F22" s="21" t="n">
        <f>950</f>
        <v>950.0</v>
      </c>
      <c r="G22" s="36" t="n">
        <f>950</f>
        <v>950.0</v>
      </c>
      <c r="H22" s="21" t="n">
        <f>4015</f>
        <v>4015.0</v>
      </c>
      <c r="I22" s="36" t="n">
        <f>4000</f>
        <v>4000.0</v>
      </c>
      <c r="J22" s="21" t="n">
        <f>223585000</f>
        <v>2.23585E8</v>
      </c>
      <c r="K22" s="36" t="n">
        <f>223000000</f>
        <v>2.23E8</v>
      </c>
      <c r="L22" s="21" t="n">
        <f>76000000</f>
        <v>7.6E7</v>
      </c>
      <c r="M22" s="36" t="n">
        <f>76000000</f>
        <v>7.6E7</v>
      </c>
      <c r="N22" s="21" t="n">
        <f>299585000</f>
        <v>2.99585E8</v>
      </c>
      <c r="O22" s="36" t="n">
        <f>299000000</f>
        <v>2.99E8</v>
      </c>
    </row>
    <row r="23" spans="1:15" ht="24.9" customHeight="1">
      <c r="A23" s="38"/>
      <c r="B23" s="62"/>
      <c r="C23" s="24" t="s">
        <v>18</v>
      </c>
      <c r="D23" s="25" t="n">
        <f>3065</f>
        <v>3065.0</v>
      </c>
      <c r="E23" s="37" t="n">
        <f>3050</f>
        <v>3050.0</v>
      </c>
      <c r="F23" s="25" t="n">
        <f>950</f>
        <v>950.0</v>
      </c>
      <c r="G23" s="37" t="n">
        <f>950</f>
        <v>950.0</v>
      </c>
      <c r="H23" s="25" t="n">
        <f>4015</f>
        <v>4015.0</v>
      </c>
      <c r="I23" s="37" t="n">
        <f>4000</f>
        <v>4000.0</v>
      </c>
      <c r="J23" s="25" t="n">
        <f>223585000</f>
        <v>2.23585E8</v>
      </c>
      <c r="K23" s="37" t="n">
        <f>223000000</f>
        <v>2.23E8</v>
      </c>
      <c r="L23" s="25" t="n">
        <f>76000000</f>
        <v>7.6E7</v>
      </c>
      <c r="M23" s="37" t="n">
        <f>76000000</f>
        <v>7.6E7</v>
      </c>
      <c r="N23" s="25" t="n">
        <f>299585000</f>
        <v>2.99585E8</v>
      </c>
      <c r="O23" s="37" t="n">
        <f>299000000</f>
        <v>2.99E8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5</f>
        <v>5.0</v>
      </c>
      <c r="G36" s="18" t="n">
        <f>0</f>
        <v>0.0</v>
      </c>
      <c r="H36" s="17" t="n">
        <f>5</f>
        <v>5.0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1450000</f>
        <v>1450000.0</v>
      </c>
      <c r="M36" s="18" t="n">
        <f>0</f>
        <v>0.0</v>
      </c>
      <c r="N36" s="17" t="n">
        <f>1450000</f>
        <v>1450000.0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135</f>
        <v>135.0</v>
      </c>
      <c r="E37" s="22" t="n">
        <f>0</f>
        <v>0.0</v>
      </c>
      <c r="F37" s="21" t="n">
        <f>209</f>
        <v>209.0</v>
      </c>
      <c r="G37" s="22" t="n">
        <f>200</f>
        <v>200.0</v>
      </c>
      <c r="H37" s="21" t="n">
        <f>344</f>
        <v>344.0</v>
      </c>
      <c r="I37" s="22" t="n">
        <f>200</f>
        <v>200.0</v>
      </c>
      <c r="J37" s="21" t="n">
        <f>30900000</f>
        <v>3.09E7</v>
      </c>
      <c r="K37" s="22" t="n">
        <f>0</f>
        <v>0.0</v>
      </c>
      <c r="L37" s="21" t="n">
        <f>21490000</f>
        <v>2.149E7</v>
      </c>
      <c r="M37" s="22" t="n">
        <f>20500000</f>
        <v>2.05E7</v>
      </c>
      <c r="N37" s="21" t="n">
        <f>52390000</f>
        <v>5.239E7</v>
      </c>
      <c r="O37" s="22" t="n">
        <f>20500000</f>
        <v>2.05E7</v>
      </c>
    </row>
    <row r="38" spans="1:15" ht="24.9" customHeight="1">
      <c r="A38" s="38"/>
      <c r="B38" s="62"/>
      <c r="C38" s="20" t="s">
        <v>17</v>
      </c>
      <c r="D38" s="21" t="n">
        <f>20</f>
        <v>20.0</v>
      </c>
      <c r="E38" s="36" t="n">
        <f>10</f>
        <v>10.0</v>
      </c>
      <c r="F38" s="21" t="n">
        <f>126</f>
        <v>126.0</v>
      </c>
      <c r="G38" s="36" t="n">
        <f>15</f>
        <v>15.0</v>
      </c>
      <c r="H38" s="21" t="n">
        <f>146</f>
        <v>146.0</v>
      </c>
      <c r="I38" s="36" t="n">
        <f>25</f>
        <v>25.0</v>
      </c>
      <c r="J38" s="21" t="n">
        <f>7300000</f>
        <v>7300000.0</v>
      </c>
      <c r="K38" s="36" t="n">
        <f>5100000</f>
        <v>5100000.0</v>
      </c>
      <c r="L38" s="21" t="n">
        <f>13090000</f>
        <v>1.309E7</v>
      </c>
      <c r="M38" s="36" t="n">
        <f>2550000</f>
        <v>2550000.0</v>
      </c>
      <c r="N38" s="21" t="n">
        <f>20390000</f>
        <v>2.039E7</v>
      </c>
      <c r="O38" s="36" t="n">
        <f>7650000</f>
        <v>7650000.0</v>
      </c>
    </row>
    <row r="39" spans="1:15" ht="24.9" customHeight="1">
      <c r="A39" s="38"/>
      <c r="B39" s="62"/>
      <c r="C39" s="24" t="s">
        <v>18</v>
      </c>
      <c r="D39" s="25" t="n">
        <f>155</f>
        <v>155.0</v>
      </c>
      <c r="E39" s="37" t="n">
        <f>10</f>
        <v>10.0</v>
      </c>
      <c r="F39" s="25" t="n">
        <f>340</f>
        <v>340.0</v>
      </c>
      <c r="G39" s="37" t="n">
        <f>215</f>
        <v>215.0</v>
      </c>
      <c r="H39" s="25" t="n">
        <f>495</f>
        <v>495.0</v>
      </c>
      <c r="I39" s="37" t="n">
        <f>225</f>
        <v>225.0</v>
      </c>
      <c r="J39" s="25" t="n">
        <f>38200000</f>
        <v>3.82E7</v>
      </c>
      <c r="K39" s="37" t="n">
        <f>5100000</f>
        <v>5100000.0</v>
      </c>
      <c r="L39" s="25" t="n">
        <f>36030000</f>
        <v>3.603E7</v>
      </c>
      <c r="M39" s="37" t="n">
        <f>23050000</f>
        <v>2.305E7</v>
      </c>
      <c r="N39" s="25" t="n">
        <f>74230000</f>
        <v>7.423E7</v>
      </c>
      <c r="O39" s="37" t="n">
        <f>28150000</f>
        <v>2.815E7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783</f>
        <v>783.0</v>
      </c>
      <c r="E41" s="36" t="n">
        <f>0</f>
        <v>0.0</v>
      </c>
      <c r="F41" s="21" t="n">
        <f>14759</f>
        <v>14759.0</v>
      </c>
      <c r="G41" s="36" t="n">
        <f>0</f>
        <v>0.0</v>
      </c>
      <c r="H41" s="21" t="n">
        <f>15542</f>
        <v>15542.0</v>
      </c>
      <c r="I41" s="36" t="n">
        <f>0</f>
        <v>0.0</v>
      </c>
      <c r="J41" s="21" t="n">
        <f>14094428</f>
        <v>1.4094428E7</v>
      </c>
      <c r="K41" s="36" t="n">
        <f>0</f>
        <v>0.0</v>
      </c>
      <c r="L41" s="21" t="n">
        <f>109638370</f>
        <v>1.0963837E8</v>
      </c>
      <c r="M41" s="36" t="n">
        <f>0</f>
        <v>0.0</v>
      </c>
      <c r="N41" s="21" t="n">
        <f>123732798</f>
        <v>1.23732798E8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1390</f>
        <v>1390.0</v>
      </c>
      <c r="E42" s="36" t="n">
        <f>100</f>
        <v>100.0</v>
      </c>
      <c r="F42" s="21" t="n">
        <f>1768</f>
        <v>1768.0</v>
      </c>
      <c r="G42" s="36" t="n">
        <f>0</f>
        <v>0.0</v>
      </c>
      <c r="H42" s="21" t="n">
        <f>3158</f>
        <v>3158.0</v>
      </c>
      <c r="I42" s="36" t="n">
        <f>100</f>
        <v>100.0</v>
      </c>
      <c r="J42" s="21" t="n">
        <f>59812544</f>
        <v>5.9812544E7</v>
      </c>
      <c r="K42" s="36" t="n">
        <f>32830000</f>
        <v>3.283E7</v>
      </c>
      <c r="L42" s="21" t="n">
        <f>63811224</f>
        <v>6.3811224E7</v>
      </c>
      <c r="M42" s="36" t="n">
        <f>0</f>
        <v>0.0</v>
      </c>
      <c r="N42" s="21" t="n">
        <f>123623768</f>
        <v>1.23623768E8</v>
      </c>
      <c r="O42" s="36" t="n">
        <f>32830000</f>
        <v>3.283E7</v>
      </c>
    </row>
    <row r="43" spans="1:15" ht="24.9" customHeight="1">
      <c r="A43" s="38"/>
      <c r="B43" s="62"/>
      <c r="C43" s="24" t="s">
        <v>18</v>
      </c>
      <c r="D43" s="25" t="n">
        <f>2173</f>
        <v>2173.0</v>
      </c>
      <c r="E43" s="37" t="n">
        <f>100</f>
        <v>100.0</v>
      </c>
      <c r="F43" s="25" t="n">
        <f>16527</f>
        <v>16527.0</v>
      </c>
      <c r="G43" s="37" t="n">
        <f>0</f>
        <v>0.0</v>
      </c>
      <c r="H43" s="25" t="n">
        <f>18700</f>
        <v>18700.0</v>
      </c>
      <c r="I43" s="37" t="n">
        <f>100</f>
        <v>100.0</v>
      </c>
      <c r="J43" s="25" t="n">
        <f>73906972</f>
        <v>7.3906972E7</v>
      </c>
      <c r="K43" s="37" t="n">
        <f>32830000</f>
        <v>3.283E7</v>
      </c>
      <c r="L43" s="25" t="n">
        <f>173449594</f>
        <v>1.73449594E8</v>
      </c>
      <c r="M43" s="37" t="n">
        <f>0</f>
        <v>0.0</v>
      </c>
      <c r="N43" s="25" t="n">
        <f>247356566</f>
        <v>2.47356566E8</v>
      </c>
      <c r="O43" s="37" t="n">
        <f>32830000</f>
        <v>3.283E7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