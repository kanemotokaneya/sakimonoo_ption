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<sst xmlns="http://schemas.openxmlformats.org/spreadsheetml/2006/main" count="528" uniqueCount="129">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</sst>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DATE(2026,06,11)</f>
        <v>46184.0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DATE(2026,06,11)</f>
        <v>46184.0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1764087.0</f>
        <v>1764087.0</v>
      </c>
      <c r="E12" s="18" t="n">
        <f>72356.0</f>
        <v>72356.0</v>
      </c>
      <c r="F12" s="19" t="n">
        <f>1.0</f>
        <v>1.0</v>
      </c>
      <c r="G12" s="17" t="n">
        <f>15250879739179.0</f>
        <v>1.5250879739179E13</v>
      </c>
      <c r="H12" s="18" t="n">
        <f>1745008225104.0</f>
        <v>1.745008225104E12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822048.0</f>
        <v>822048.0</v>
      </c>
      <c r="E13" s="22" t="n">
        <f>49356.0</f>
        <v>49356.0</v>
      </c>
      <c r="F13" s="23" t="n">
        <f>1.0</f>
        <v>1.0</v>
      </c>
      <c r="G13" s="21" t="n">
        <f>19023286962535.0</f>
        <v>1.9023286962535E13</v>
      </c>
      <c r="H13" s="22" t="n">
        <f>1986275810040.0</f>
        <v>1.98627581004E12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765153.0</f>
        <v>765153.0</v>
      </c>
      <c r="E14" s="22" t="n">
        <f>88340.0</f>
        <v>88340.0</v>
      </c>
      <c r="F14" s="23" t="n">
        <f>1.0</f>
        <v>1.0</v>
      </c>
      <c r="G14" s="21" t="n">
        <f>14573923252445.0</f>
        <v>1.4573923252445E13</v>
      </c>
      <c r="H14" s="22" t="n">
        <f>4431995439295.0</f>
        <v>4.431995439295E12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3351288.0</f>
        <v>3351288.0</v>
      </c>
      <c r="E15" s="26" t="n">
        <f>210052.0</f>
        <v>210052.0</v>
      </c>
      <c r="F15" s="27" t="n">
        <f>1.0</f>
        <v>1.0</v>
      </c>
      <c r="G15" s="25" t="n">
        <f>48848089954159.0</f>
        <v>4.8848089954159E13</v>
      </c>
      <c r="H15" s="26" t="n">
        <f>8163279474439.0</f>
        <v>8.163279474439E12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52498.0</f>
        <v>52498.0</v>
      </c>
      <c r="E16" s="18" t="n">
        <f>8807.0</f>
        <v>8807.0</v>
      </c>
      <c r="F16" s="19" t="n">
        <f>0.03</f>
        <v>0.03</v>
      </c>
      <c r="G16" s="17" t="n">
        <f>6200582802375.0</f>
        <v>6.200582802375E12</v>
      </c>
      <c r="H16" s="18" t="n">
        <f>1122496991500.0</f>
        <v>1.1224969915E12</v>
      </c>
      <c r="I16" s="19" t="n">
        <f>0.407</f>
        <v>0.407</v>
      </c>
    </row>
    <row r="17" spans="1:9" ht="24.9" customHeight="1">
      <c r="A17" s="41"/>
      <c r="B17" s="39"/>
      <c r="C17" s="20" t="s">
        <v>16</v>
      </c>
      <c r="D17" s="21" t="n">
        <f>110901.0</f>
        <v>110901.0</v>
      </c>
      <c r="E17" s="22" t="n">
        <f>12677.0</f>
        <v>12677.0</v>
      </c>
      <c r="F17" s="23" t="n">
        <f>0.135</f>
        <v>0.135</v>
      </c>
      <c r="G17" s="21" t="n">
        <f>13961096369375.0</f>
        <v>1.3961096369375E13</v>
      </c>
      <c r="H17" s="22" t="n">
        <f>1623156140000.0</f>
        <v>1.62315614E12</v>
      </c>
      <c r="I17" s="23" t="n">
        <f>0.734</f>
        <v>0.734</v>
      </c>
    </row>
    <row r="18" spans="1:9" ht="24.9" customHeight="1">
      <c r="A18" s="41"/>
      <c r="B18" s="39"/>
      <c r="C18" s="20" t="s">
        <v>17</v>
      </c>
      <c r="D18" s="21" t="n">
        <f>63943.0</f>
        <v>63943.0</v>
      </c>
      <c r="E18" s="22" t="n">
        <f>19753.0</f>
        <v>19753.0</v>
      </c>
      <c r="F18" s="23" t="n">
        <f>0.084</f>
        <v>0.084</v>
      </c>
      <c r="G18" s="21" t="n">
        <f>7857180268550.0</f>
        <v>7.85718026855E12</v>
      </c>
      <c r="H18" s="22" t="n">
        <f>2530668059800.0</f>
        <v>2.5306680598E12</v>
      </c>
      <c r="I18" s="23" t="n">
        <f>0.539</f>
        <v>0.539</v>
      </c>
    </row>
    <row r="19" spans="1:9" ht="24.9" customHeight="1">
      <c r="A19" s="41"/>
      <c r="B19" s="39"/>
      <c r="C19" s="24" t="s">
        <v>18</v>
      </c>
      <c r="D19" s="25" t="n">
        <f>227342.0</f>
        <v>227342.0</v>
      </c>
      <c r="E19" s="26" t="n">
        <f>41237.0</f>
        <v>41237.0</v>
      </c>
      <c r="F19" s="27" t="n">
        <f>0.068</f>
        <v>0.068</v>
      </c>
      <c r="G19" s="25" t="n">
        <f>28018859440300.0</f>
        <v>2.80188594403E13</v>
      </c>
      <c r="H19" s="26" t="n">
        <f>5276321191300.0</f>
        <v>5.2763211913E12</v>
      </c>
      <c r="I19" s="27" t="n">
        <f>0.574</f>
        <v>0.574</v>
      </c>
    </row>
    <row r="20" spans="1:9" ht="24.9" customHeight="1">
      <c r="A20" s="41"/>
      <c r="B20" s="39" t="s">
        <v>21</v>
      </c>
      <c r="C20" s="16" t="s">
        <v>15</v>
      </c>
      <c r="D20" s="17" t="n">
        <f>1681104.0</f>
        <v>1681104.0</v>
      </c>
      <c r="E20" s="18" t="n">
        <f>63546.0</f>
        <v>63546.0</v>
      </c>
      <c r="F20" s="19" t="n">
        <f>0.953</f>
        <v>0.953</v>
      </c>
      <c r="G20" s="17" t="n">
        <f>8726198320654.0</f>
        <v>8.726198320654E12</v>
      </c>
      <c r="H20" s="18" t="n">
        <f>622506244004.0</f>
        <v>6.22506244004E11</v>
      </c>
      <c r="I20" s="19" t="n">
        <f>0.572</f>
        <v>0.572</v>
      </c>
    </row>
    <row r="21" spans="1:9" ht="24.9" customHeight="1">
      <c r="A21" s="41"/>
      <c r="B21" s="39"/>
      <c r="C21" s="20" t="s">
        <v>16</v>
      </c>
      <c r="D21" s="21" t="n">
        <f>692373.0</f>
        <v>692373.0</v>
      </c>
      <c r="E21" s="22" t="n">
        <f>36679.0</f>
        <v>36679.0</v>
      </c>
      <c r="F21" s="23" t="n">
        <f>0.842</f>
        <v>0.842</v>
      </c>
      <c r="G21" s="21" t="n">
        <f>4853843195210.0</f>
        <v>4.85384319521E12</v>
      </c>
      <c r="H21" s="22" t="n">
        <f>363119670040.0</f>
        <v>3.6311967004E11</v>
      </c>
      <c r="I21" s="23" t="n">
        <f>0.255</f>
        <v>0.255</v>
      </c>
    </row>
    <row r="22" spans="1:9" ht="24.9" customHeight="1">
      <c r="A22" s="41"/>
      <c r="B22" s="39"/>
      <c r="C22" s="20" t="s">
        <v>17</v>
      </c>
      <c r="D22" s="21" t="n">
        <f>682225.0</f>
        <v>682225.0</v>
      </c>
      <c r="E22" s="22" t="n">
        <f>68242.0</f>
        <v>68242.0</v>
      </c>
      <c r="F22" s="23" t="n">
        <f>0.892</f>
        <v>0.892</v>
      </c>
      <c r="G22" s="21" t="n">
        <f>6558284154145.0</f>
        <v>6.558284154145E12</v>
      </c>
      <c r="H22" s="22" t="n">
        <f>1900570488495.0</f>
        <v>1.900570488495E12</v>
      </c>
      <c r="I22" s="23" t="n">
        <f>0.45</f>
        <v>0.45</v>
      </c>
    </row>
    <row r="23" spans="1:9" ht="24.9" customHeight="1">
      <c r="A23" s="41"/>
      <c r="B23" s="39"/>
      <c r="C23" s="24" t="s">
        <v>18</v>
      </c>
      <c r="D23" s="25" t="n">
        <f>3055702.0</f>
        <v>3055702.0</v>
      </c>
      <c r="E23" s="26" t="n">
        <f>168467.0</f>
        <v>168467.0</v>
      </c>
      <c r="F23" s="27" t="n">
        <f>0.912</f>
        <v>0.912</v>
      </c>
      <c r="G23" s="25" t="n">
        <f>20138325670009.0</f>
        <v>2.0138325670009E13</v>
      </c>
      <c r="H23" s="26" t="n">
        <f>2886196402539.0</f>
        <v>2.886196402539E12</v>
      </c>
      <c r="I23" s="27" t="n">
        <f>0.412</f>
        <v>0.412</v>
      </c>
    </row>
    <row r="24" spans="1:9" ht="24.9" customHeight="1">
      <c r="A24" s="41"/>
      <c r="B24" s="39" t="s">
        <v>22</v>
      </c>
      <c r="C24" s="16" t="s">
        <v>15</v>
      </c>
      <c r="D24" s="17" t="n">
        <f>29977.0</f>
        <v>29977.0</v>
      </c>
      <c r="E24" s="18" t="n">
        <f>0.0</f>
        <v>0.0</v>
      </c>
      <c r="F24" s="19" t="n">
        <f>0.017</f>
        <v>0.017</v>
      </c>
      <c r="G24" s="17" t="n">
        <f>322045955050.0</f>
        <v>3.2204595505E11</v>
      </c>
      <c r="H24" s="18" t="n">
        <f>0.0</f>
        <v>0.0</v>
      </c>
      <c r="I24" s="19" t="n">
        <f>0.021</f>
        <v>0.021</v>
      </c>
    </row>
    <row r="25" spans="1:9" ht="24.9" customHeight="1">
      <c r="A25" s="41"/>
      <c r="B25" s="39"/>
      <c r="C25" s="20" t="s">
        <v>16</v>
      </c>
      <c r="D25" s="21" t="n">
        <f>18305.0</f>
        <v>18305.0</v>
      </c>
      <c r="E25" s="22" t="n">
        <f>0.0</f>
        <v>0.0</v>
      </c>
      <c r="F25" s="23" t="n">
        <f>0.022</f>
        <v>0.022</v>
      </c>
      <c r="G25" s="21" t="n">
        <f>206395043450.0</f>
        <v>2.0639504345E11</v>
      </c>
      <c r="H25" s="22" t="n">
        <f>0.0</f>
        <v>0.0</v>
      </c>
      <c r="I25" s="23" t="n">
        <f>0.011</f>
        <v>0.011</v>
      </c>
    </row>
    <row r="26" spans="1:9" ht="24.9" customHeight="1">
      <c r="A26" s="41"/>
      <c r="B26" s="39"/>
      <c r="C26" s="20" t="s">
        <v>17</v>
      </c>
      <c r="D26" s="21" t="n">
        <f>14846.0</f>
        <v>14846.0</v>
      </c>
      <c r="E26" s="22" t="n">
        <f>343.0</f>
        <v>343.0</v>
      </c>
      <c r="F26" s="23" t="n">
        <f>0.019</f>
        <v>0.019</v>
      </c>
      <c r="G26" s="21" t="n">
        <f>141471929750.0</f>
        <v>1.4147192975E11</v>
      </c>
      <c r="H26" s="22" t="n">
        <f>748141000.0</f>
        <v>7.48141E8</v>
      </c>
      <c r="I26" s="23" t="n">
        <f>0.01</f>
        <v>0.01</v>
      </c>
    </row>
    <row r="27" spans="1:9" ht="24.9" customHeight="1">
      <c r="A27" s="42"/>
      <c r="B27" s="39"/>
      <c r="C27" s="24" t="s">
        <v>18</v>
      </c>
      <c r="D27" s="25" t="n">
        <f>63128.0</f>
        <v>63128.0</v>
      </c>
      <c r="E27" s="26" t="n">
        <f>343.0</f>
        <v>343.0</v>
      </c>
      <c r="F27" s="27" t="n">
        <f>0.019</f>
        <v>0.019</v>
      </c>
      <c r="G27" s="25" t="n">
        <f>669912928250.0</f>
        <v>6.6991292825E11</v>
      </c>
      <c r="H27" s="26" t="n">
        <f>748141000.0</f>
        <v>7.48141E8</v>
      </c>
      <c r="I27" s="27" t="n">
        <f>0.014</f>
        <v>0.014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508.0</f>
        <v>508.0</v>
      </c>
      <c r="E28" s="18" t="n">
        <f>3.0</f>
        <v>3.0</v>
      </c>
      <c r="F28" s="19" t="n">
        <f>0.0</f>
        <v>0.0</v>
      </c>
      <c r="G28" s="17" t="n">
        <f>2052661100.0</f>
        <v>2.0526611E9</v>
      </c>
      <c r="H28" s="18" t="n">
        <f>4989600.0</f>
        <v>4989600.0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469.0</f>
        <v>469.0</v>
      </c>
      <c r="E29" s="22" t="n">
        <f>0.0</f>
        <v>0.0</v>
      </c>
      <c r="F29" s="23" t="n">
        <f>0.001</f>
        <v>0.001</v>
      </c>
      <c r="G29" s="21" t="n">
        <f>1952354500.0</f>
        <v>1.9523545E9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4139.0</f>
        <v>4139.0</v>
      </c>
      <c r="E30" s="22" t="n">
        <f>2.0</f>
        <v>2.0</v>
      </c>
      <c r="F30" s="23" t="n">
        <f>0.005</f>
        <v>0.005</v>
      </c>
      <c r="G30" s="21" t="n">
        <f>16986900000.0</f>
        <v>1.69869E10</v>
      </c>
      <c r="H30" s="22" t="n">
        <f>8750000.0</f>
        <v>8750000.0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5116.0</f>
        <v>5116.0</v>
      </c>
      <c r="E31" s="26" t="n">
        <f>5.0</f>
        <v>5.0</v>
      </c>
      <c r="F31" s="27" t="n">
        <f>0.002</f>
        <v>0.002</v>
      </c>
      <c r="G31" s="25" t="n">
        <f>20991915600.0</f>
        <v>2.09919156E10</v>
      </c>
      <c r="H31" s="26" t="n">
        <f>13739600.0</f>
        <v>1.37396E7</v>
      </c>
      <c r="I31" s="27" t="n">
        <f>0.0</f>
        <v>0.0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46184.0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46184.0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43464</f>
        <v>43464.0</v>
      </c>
      <c r="E11" s="18" t="n">
        <f>6188</f>
        <v>6188.0</v>
      </c>
      <c r="F11" s="19" t="n">
        <f>1</f>
        <v>1.0</v>
      </c>
      <c r="G11" s="17" t="n">
        <f>4415371970</f>
        <v>4.41537197E9</v>
      </c>
      <c r="H11" s="18" t="n">
        <f>1598784170</f>
        <v>1.59878417E9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83691</f>
        <v>83691.0</v>
      </c>
      <c r="E12" s="22" t="n">
        <f>23192</f>
        <v>23192.0</v>
      </c>
      <c r="F12" s="23" t="n">
        <f>1</f>
        <v>1.0</v>
      </c>
      <c r="G12" s="21" t="n">
        <f>11494676093</f>
        <v>1.1494676093E10</v>
      </c>
      <c r="H12" s="22" t="n">
        <f>7987100088</f>
        <v>7.987100088E9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77705</f>
        <v>77705.0</v>
      </c>
      <c r="E13" s="22" t="n">
        <f>35621</f>
        <v>35621.0</v>
      </c>
      <c r="F13" s="23" t="n">
        <f>1</f>
        <v>1.0</v>
      </c>
      <c r="G13" s="21" t="n">
        <f>26317288260</f>
        <v>2.631728826E10</v>
      </c>
      <c r="H13" s="22" t="n">
        <f>20691529059</f>
        <v>2.0691529059E10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204860</f>
        <v>204860.0</v>
      </c>
      <c r="E14" s="26" t="n">
        <f>65001</f>
        <v>65001.0</v>
      </c>
      <c r="F14" s="27" t="n">
        <f>1</f>
        <v>1.0</v>
      </c>
      <c r="G14" s="25" t="n">
        <f>42227336323</f>
        <v>4.2227336323E10</v>
      </c>
      <c r="H14" s="26" t="n">
        <f>30277413317</f>
        <v>3.0277413317E10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25</f>
        <v>25.0</v>
      </c>
      <c r="E15" s="18" t="n">
        <f>0</f>
        <v>0.0</v>
      </c>
      <c r="F15" s="19" t="n">
        <f>0.001</f>
        <v>0.001</v>
      </c>
      <c r="G15" s="17" t="n">
        <f>8750000</f>
        <v>8750000.0</v>
      </c>
      <c r="H15" s="18" t="n">
        <f>0</f>
        <v>0.0</v>
      </c>
      <c r="I15" s="19" t="n">
        <f>0.002</f>
        <v>0.002</v>
      </c>
    </row>
    <row r="16" spans="1:9" ht="24.9" customHeight="1">
      <c r="A16" s="41"/>
      <c r="B16" s="39"/>
      <c r="C16" s="20" t="s">
        <v>16</v>
      </c>
      <c r="D16" s="21" t="n">
        <f>117</f>
        <v>117.0</v>
      </c>
      <c r="E16" s="22" t="n">
        <f>60</f>
        <v>60.0</v>
      </c>
      <c r="F16" s="23" t="n">
        <f>0.001</f>
        <v>0.001</v>
      </c>
      <c r="G16" s="21" t="n">
        <f>21590000</f>
        <v>2.159E7</v>
      </c>
      <c r="H16" s="22" t="n">
        <f>11550000</f>
        <v>1.155E7</v>
      </c>
      <c r="I16" s="23" t="n">
        <f>0.002</f>
        <v>0.002</v>
      </c>
    </row>
    <row r="17" spans="1:9" ht="24.9" customHeight="1">
      <c r="A17" s="41"/>
      <c r="B17" s="39"/>
      <c r="C17" s="20" t="s">
        <v>17</v>
      </c>
      <c r="D17" s="21" t="n">
        <f>11</f>
        <v>11.0</v>
      </c>
      <c r="E17" s="22" t="n">
        <f>0</f>
        <v>0.0</v>
      </c>
      <c r="F17" s="23" t="n">
        <f>0</f>
        <v>0.0</v>
      </c>
      <c r="G17" s="21" t="n">
        <f>1270000</f>
        <v>1270000.0</v>
      </c>
      <c r="H17" s="22" t="n">
        <f>0</f>
        <v>0.0</v>
      </c>
      <c r="I17" s="23" t="n">
        <f>0</f>
        <v>0.0</v>
      </c>
    </row>
    <row r="18" spans="1:9" ht="24.9" customHeight="1">
      <c r="A18" s="41"/>
      <c r="B18" s="39"/>
      <c r="C18" s="24" t="s">
        <v>18</v>
      </c>
      <c r="D18" s="25" t="n">
        <f>153</f>
        <v>153.0</v>
      </c>
      <c r="E18" s="26" t="n">
        <f>60</f>
        <v>60.0</v>
      </c>
      <c r="F18" s="27" t="n">
        <f>0.001</f>
        <v>0.001</v>
      </c>
      <c r="G18" s="25" t="n">
        <f>31610000</f>
        <v>3.161E7</v>
      </c>
      <c r="H18" s="26" t="n">
        <f>11550000</f>
        <v>1.155E7</v>
      </c>
      <c r="I18" s="27" t="n">
        <f>0.001</f>
        <v>0.001</v>
      </c>
    </row>
    <row r="19" spans="1:9" ht="24.9" customHeight="1">
      <c r="A19" s="41"/>
      <c r="B19" s="39" t="s">
        <v>31</v>
      </c>
      <c r="C19" s="16" t="s">
        <v>15</v>
      </c>
      <c r="D19" s="17" t="n">
        <f>43439</f>
        <v>43439.0</v>
      </c>
      <c r="E19" s="18" t="n">
        <f>6188</f>
        <v>6188.0</v>
      </c>
      <c r="F19" s="19" t="n">
        <f>0.999</f>
        <v>0.999</v>
      </c>
      <c r="G19" s="17" t="n">
        <f>4406621970</f>
        <v>4.40662197E9</v>
      </c>
      <c r="H19" s="18" t="n">
        <f>1598784170</f>
        <v>1.59878417E9</v>
      </c>
      <c r="I19" s="19" t="n">
        <f>0.998</f>
        <v>0.998</v>
      </c>
    </row>
    <row r="20" spans="1:9" ht="24.9" customHeight="1">
      <c r="A20" s="41"/>
      <c r="B20" s="39"/>
      <c r="C20" s="20" t="s">
        <v>16</v>
      </c>
      <c r="D20" s="21" t="n">
        <f>40732</f>
        <v>40732.0</v>
      </c>
      <c r="E20" s="22" t="n">
        <f>11732</f>
        <v>11732.0</v>
      </c>
      <c r="F20" s="23" t="n">
        <f>0.487</f>
        <v>0.487</v>
      </c>
      <c r="G20" s="21" t="n">
        <f>11348081188</f>
        <v>1.1348081188E10</v>
      </c>
      <c r="H20" s="22" t="n">
        <f>7914690088</f>
        <v>7.914690088E9</v>
      </c>
      <c r="I20" s="23" t="n">
        <f>0.987</f>
        <v>0.987</v>
      </c>
    </row>
    <row r="21" spans="1:9" ht="24.9" customHeight="1">
      <c r="A21" s="41"/>
      <c r="B21" s="39"/>
      <c r="C21" s="20" t="s">
        <v>17</v>
      </c>
      <c r="D21" s="21" t="n">
        <f>61593</f>
        <v>61593.0</v>
      </c>
      <c r="E21" s="22" t="n">
        <f>23721</f>
        <v>23721.0</v>
      </c>
      <c r="F21" s="23" t="n">
        <f>0.793</f>
        <v>0.793</v>
      </c>
      <c r="G21" s="21" t="n">
        <f>25976237859</f>
        <v>2.5976237859E10</v>
      </c>
      <c r="H21" s="22" t="n">
        <f>20438529059</f>
        <v>2.0438529059E10</v>
      </c>
      <c r="I21" s="23" t="n">
        <f>0.987</f>
        <v>0.987</v>
      </c>
    </row>
    <row r="22" spans="1:9" ht="24.9" customHeight="1">
      <c r="A22" s="41"/>
      <c r="B22" s="39"/>
      <c r="C22" s="24" t="s">
        <v>18</v>
      </c>
      <c r="D22" s="25" t="n">
        <f>145764</f>
        <v>145764.0</v>
      </c>
      <c r="E22" s="26" t="n">
        <f>41641</f>
        <v>41641.0</v>
      </c>
      <c r="F22" s="27" t="n">
        <f>0.712</f>
        <v>0.712</v>
      </c>
      <c r="G22" s="25" t="n">
        <f>41730941017</f>
        <v>4.1730941017E10</v>
      </c>
      <c r="H22" s="26" t="n">
        <f>29952003317</f>
        <v>2.9952003317E10</v>
      </c>
      <c r="I22" s="27" t="n">
        <f>0.988</f>
        <v>0.988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42842</f>
        <v>42842.0</v>
      </c>
      <c r="E24" s="22" t="n">
        <f>11400</f>
        <v>11400.0</v>
      </c>
      <c r="F24" s="23" t="n">
        <f>0.512</f>
        <v>0.512</v>
      </c>
      <c r="G24" s="21" t="n">
        <f>125004905</f>
        <v>1.25004905E8</v>
      </c>
      <c r="H24" s="22" t="n">
        <f>60860000</f>
        <v>6.086E7</v>
      </c>
      <c r="I24" s="23" t="n">
        <f>0.011</f>
        <v>0.011</v>
      </c>
    </row>
    <row r="25" spans="1:9" ht="24.9" customHeight="1">
      <c r="A25" s="41"/>
      <c r="B25" s="39"/>
      <c r="C25" s="20" t="s">
        <v>17</v>
      </c>
      <c r="D25" s="21" t="n">
        <f>16101</f>
        <v>16101.0</v>
      </c>
      <c r="E25" s="22" t="n">
        <f>11900</f>
        <v>11900.0</v>
      </c>
      <c r="F25" s="23" t="n">
        <f>0.207</f>
        <v>0.207</v>
      </c>
      <c r="G25" s="21" t="n">
        <f>339780401</f>
        <v>3.39780401E8</v>
      </c>
      <c r="H25" s="22" t="n">
        <f>253000000</f>
        <v>2.53E8</v>
      </c>
      <c r="I25" s="23" t="n">
        <f>0.013</f>
        <v>0.013</v>
      </c>
    </row>
    <row r="26" spans="1:9" ht="24.9" customHeight="1">
      <c r="A26" s="41"/>
      <c r="B26" s="39"/>
      <c r="C26" s="24" t="s">
        <v>18</v>
      </c>
      <c r="D26" s="25" t="n">
        <f>58943</f>
        <v>58943.0</v>
      </c>
      <c r="E26" s="26" t="n">
        <f>23300</f>
        <v>23300.0</v>
      </c>
      <c r="F26" s="27" t="n">
        <f>0.288</f>
        <v>0.288</v>
      </c>
      <c r="G26" s="25" t="n">
        <f>464785306</f>
        <v>4.64785306E8</v>
      </c>
      <c r="H26" s="26" t="n">
        <f>313860000</f>
        <v>3.1386E8</v>
      </c>
      <c r="I26" s="27" t="n">
        <f>0.011</f>
        <v>0.011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46184.0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46184.0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37507.0</v>
      </c>
      <c r="F12" s="18" t="n">
        <f>3719</f>
        <v>3719.0</v>
      </c>
      <c r="G12" s="17" t="n">
        <v>2.39841209034E12</v>
      </c>
      <c r="H12" s="18" t="n">
        <f>239046939340</f>
        <v>2.3904693934E11</v>
      </c>
    </row>
    <row r="13" spans="1:8" ht="24.9" customHeight="1">
      <c r="A13" s="51"/>
      <c r="B13" s="57"/>
      <c r="C13" s="39"/>
      <c r="D13" s="20" t="s">
        <v>16</v>
      </c>
      <c r="E13" s="21" t="n">
        <v>26822.0</v>
      </c>
      <c r="F13" s="22" t="n">
        <f>2349</f>
        <v>2349.0</v>
      </c>
      <c r="G13" s="21" t="n">
        <v>1.6994008242E12</v>
      </c>
      <c r="H13" s="22" t="n">
        <f>148782528200</f>
        <v>1.487825282E11</v>
      </c>
    </row>
    <row r="14" spans="1:8" ht="24.9" customHeight="1">
      <c r="A14" s="51"/>
      <c r="B14" s="57"/>
      <c r="C14" s="39"/>
      <c r="D14" s="20" t="s">
        <v>17</v>
      </c>
      <c r="E14" s="21" t="n">
        <v>37674.0</v>
      </c>
      <c r="F14" s="22" t="n">
        <f>14137</f>
        <v>14137.0</v>
      </c>
      <c r="G14" s="21" t="n">
        <v>2.41272801961E12</v>
      </c>
      <c r="H14" s="22" t="n">
        <f>904510537610</f>
        <v>9.0451053761E11</v>
      </c>
    </row>
    <row r="15" spans="1:8" ht="24.9" customHeight="1">
      <c r="A15" s="51"/>
      <c r="B15" s="57"/>
      <c r="C15" s="39"/>
      <c r="D15" s="24" t="s">
        <v>18</v>
      </c>
      <c r="E15" s="25" t="n">
        <v>102003.0</v>
      </c>
      <c r="F15" s="26" t="n">
        <f>20205</f>
        <v>20205.0</v>
      </c>
      <c r="G15" s="25" t="n">
        <v>6.51054093415E12</v>
      </c>
      <c r="H15" s="26" t="n">
        <f>1292340005150</f>
        <v>1.29234000515E12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613664.0</v>
      </c>
      <c r="F16" s="18" t="n">
        <f>59083</f>
        <v>59083.0</v>
      </c>
      <c r="G16" s="17" t="n">
        <v>3.923908214314E12</v>
      </c>
      <c r="H16" s="18" t="n">
        <f>377946861814</f>
        <v>3.77946861814E11</v>
      </c>
    </row>
    <row r="17" spans="1:8" ht="24.9" customHeight="1">
      <c r="A17" s="51"/>
      <c r="B17" s="57"/>
      <c r="C17" s="39"/>
      <c r="D17" s="20" t="s">
        <v>16</v>
      </c>
      <c r="E17" s="21" t="n">
        <v>268138.0</v>
      </c>
      <c r="F17" s="22" t="n">
        <f>27174</f>
        <v>27174.0</v>
      </c>
      <c r="G17" s="21" t="n">
        <v>1.69841514057E12</v>
      </c>
      <c r="H17" s="22" t="n">
        <f>171985581270</f>
        <v>1.7198558127E11</v>
      </c>
    </row>
    <row r="18" spans="1:8" ht="24.9" customHeight="1">
      <c r="A18" s="51"/>
      <c r="B18" s="57"/>
      <c r="C18" s="39"/>
      <c r="D18" s="20" t="s">
        <v>17</v>
      </c>
      <c r="E18" s="21" t="n">
        <v>251685.0</v>
      </c>
      <c r="F18" s="22" t="n">
        <f>30508</f>
        <v>30508.0</v>
      </c>
      <c r="G18" s="21" t="n">
        <v>1.612090087103E12</v>
      </c>
      <c r="H18" s="22" t="n">
        <f>195323092303</f>
        <v>1.95323092303E11</v>
      </c>
    </row>
    <row r="19" spans="1:8" ht="24.9" customHeight="1">
      <c r="A19" s="51"/>
      <c r="B19" s="57"/>
      <c r="C19" s="39"/>
      <c r="D19" s="24" t="s">
        <v>18</v>
      </c>
      <c r="E19" s="25" t="n">
        <v>1133487.0</v>
      </c>
      <c r="F19" s="26" t="n">
        <f>116765</f>
        <v>116765.0</v>
      </c>
      <c r="G19" s="25" t="n">
        <v>7.234413441987E12</v>
      </c>
      <c r="H19" s="26" t="n">
        <f>745255535387</f>
        <v>7.45255535387E11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961198.0</v>
      </c>
      <c r="F20" s="18" t="str">
        <f>"－"</f>
        <v>－</v>
      </c>
      <c r="G20" s="17" t="n">
        <v>6.141474305E11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337520.0</v>
      </c>
      <c r="F21" s="22" t="str">
        <f>"－"</f>
        <v>－</v>
      </c>
      <c r="G21" s="21" t="n">
        <v>2.1392780122E11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310476.0</v>
      </c>
      <c r="F22" s="22" t="str">
        <f>"－"</f>
        <v>－</v>
      </c>
      <c r="G22" s="21" t="n">
        <v>1.987207831E11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1609194.0</v>
      </c>
      <c r="F23" s="26" t="str">
        <f>"－"</f>
        <v>－</v>
      </c>
      <c r="G23" s="25" t="n">
        <v>1.02679601482E12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44421.0</v>
      </c>
      <c r="F24" s="18" t="n">
        <f>48</f>
        <v>48.0</v>
      </c>
      <c r="G24" s="17" t="n">
        <v>1.7034953437E12</v>
      </c>
      <c r="H24" s="18" t="n">
        <f>1848385700</f>
        <v>1.8483857E9</v>
      </c>
    </row>
    <row r="25" spans="1:8" ht="24.9" customHeight="1">
      <c r="A25" s="51"/>
      <c r="B25" s="57"/>
      <c r="C25" s="39"/>
      <c r="D25" s="20" t="s">
        <v>16</v>
      </c>
      <c r="E25" s="21" t="n">
        <v>30678.0</v>
      </c>
      <c r="F25" s="22" t="n">
        <f>911</f>
        <v>911.0</v>
      </c>
      <c r="G25" s="21" t="n">
        <v>1.1660288105E12</v>
      </c>
      <c r="H25" s="22" t="n">
        <f>34654813500</f>
        <v>3.46548135E10</v>
      </c>
    </row>
    <row r="26" spans="1:8" ht="24.9" customHeight="1">
      <c r="A26" s="51"/>
      <c r="B26" s="57"/>
      <c r="C26" s="39"/>
      <c r="D26" s="20" t="s">
        <v>17</v>
      </c>
      <c r="E26" s="21" t="n">
        <v>59333.0</v>
      </c>
      <c r="F26" s="22" t="n">
        <f>20788</f>
        <v>20788.0</v>
      </c>
      <c r="G26" s="21" t="n">
        <v>2.2703704375E12</v>
      </c>
      <c r="H26" s="22" t="n">
        <f>794975790500</f>
        <v>7.949757905E11</v>
      </c>
    </row>
    <row r="27" spans="1:8" ht="24.9" customHeight="1">
      <c r="A27" s="51"/>
      <c r="B27" s="57"/>
      <c r="C27" s="39"/>
      <c r="D27" s="24" t="s">
        <v>18</v>
      </c>
      <c r="E27" s="25" t="n">
        <v>134432.0</v>
      </c>
      <c r="F27" s="26" t="n">
        <f>21747</f>
        <v>21747.0</v>
      </c>
      <c r="G27" s="25" t="n">
        <v>5.1398945917E12</v>
      </c>
      <c r="H27" s="26" t="n">
        <f>831478989700</f>
        <v>8.314789897E11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15939.0</v>
      </c>
      <c r="F28" s="18" t="n">
        <f>316</f>
        <v>316.0</v>
      </c>
      <c r="G28" s="17" t="n">
        <v>6.11393372E10</v>
      </c>
      <c r="H28" s="18" t="n">
        <f>1211464450</f>
        <v>1.21146445E9</v>
      </c>
    </row>
    <row r="29" spans="1:8" ht="24.9" customHeight="1">
      <c r="A29" s="51"/>
      <c r="B29" s="57"/>
      <c r="C29" s="39"/>
      <c r="D29" s="20" t="s">
        <v>16</v>
      </c>
      <c r="E29" s="21" t="n">
        <v>14213.0</v>
      </c>
      <c r="F29" s="22" t="n">
        <f>215</f>
        <v>215.0</v>
      </c>
      <c r="G29" s="21" t="n">
        <v>5.40197509E10</v>
      </c>
      <c r="H29" s="22" t="n">
        <f>816024550</f>
        <v>8.1602455E8</v>
      </c>
    </row>
    <row r="30" spans="1:8" ht="24.9" customHeight="1">
      <c r="A30" s="51"/>
      <c r="B30" s="57"/>
      <c r="C30" s="39"/>
      <c r="D30" s="20" t="s">
        <v>17</v>
      </c>
      <c r="E30" s="21" t="n">
        <v>10102.0</v>
      </c>
      <c r="F30" s="22" t="n">
        <f>175</f>
        <v>175.0</v>
      </c>
      <c r="G30" s="21" t="n">
        <v>3.864369565E10</v>
      </c>
      <c r="H30" s="22" t="n">
        <f>668847600</f>
        <v>6.688476E8</v>
      </c>
    </row>
    <row r="31" spans="1:8" ht="24.9" customHeight="1">
      <c r="A31" s="51"/>
      <c r="B31" s="57"/>
      <c r="C31" s="39"/>
      <c r="D31" s="24" t="s">
        <v>18</v>
      </c>
      <c r="E31" s="25" t="n">
        <v>40254.0</v>
      </c>
      <c r="F31" s="26" t="n">
        <f>706</f>
        <v>706.0</v>
      </c>
      <c r="G31" s="25" t="n">
        <v>1.5380278375E11</v>
      </c>
      <c r="H31" s="26" t="n">
        <f>2696336600</f>
        <v>2.6963366E9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5277.0</v>
      </c>
      <c r="F36" s="18" t="n">
        <f>0</f>
        <v>0.0</v>
      </c>
      <c r="G36" s="17" t="n">
        <v>1.83033615E10</v>
      </c>
      <c r="H36" s="18" t="n">
        <f>0</f>
        <v>0.0</v>
      </c>
    </row>
    <row r="37" spans="1:8" ht="24.9" customHeight="1">
      <c r="A37" s="51"/>
      <c r="B37" s="57"/>
      <c r="C37" s="39"/>
      <c r="D37" s="20" t="s">
        <v>16</v>
      </c>
      <c r="E37" s="21" t="n">
        <v>1850.0</v>
      </c>
      <c r="F37" s="22" t="n">
        <f>0</f>
        <v>0.0</v>
      </c>
      <c r="G37" s="21" t="n">
        <v>6.3551845E9</v>
      </c>
      <c r="H37" s="22" t="n">
        <f>0</f>
        <v>0.0</v>
      </c>
    </row>
    <row r="38" spans="1:8" ht="24.9" customHeight="1">
      <c r="A38" s="51"/>
      <c r="B38" s="57"/>
      <c r="C38" s="39"/>
      <c r="D38" s="20" t="s">
        <v>17</v>
      </c>
      <c r="E38" s="21" t="n">
        <v>3195.0</v>
      </c>
      <c r="F38" s="22" t="n">
        <f>269</f>
        <v>269.0</v>
      </c>
      <c r="G38" s="21" t="n">
        <v>1.105914135E10</v>
      </c>
      <c r="H38" s="22" t="n">
        <f>929359250</f>
        <v>9.2935925E8</v>
      </c>
    </row>
    <row r="39" spans="1:8" ht="24.9" customHeight="1">
      <c r="A39" s="51"/>
      <c r="B39" s="57"/>
      <c r="C39" s="39"/>
      <c r="D39" s="24" t="s">
        <v>18</v>
      </c>
      <c r="E39" s="25" t="n">
        <v>10322.0</v>
      </c>
      <c r="F39" s="26" t="n">
        <f>269</f>
        <v>269.0</v>
      </c>
      <c r="G39" s="25" t="n">
        <v>3.571768735E10</v>
      </c>
      <c r="H39" s="26" t="n">
        <f>929359250</f>
        <v>9.2935925E8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360.0</v>
      </c>
      <c r="F44" s="18" t="n">
        <f>360</f>
        <v>360.0</v>
      </c>
      <c r="G44" s="17" t="n">
        <v>2.41164E9</v>
      </c>
      <c r="H44" s="18" t="n">
        <f>2411640000</f>
        <v>2.41164E9</v>
      </c>
    </row>
    <row r="45" spans="1:8" ht="24.9" customHeight="1">
      <c r="A45" s="51"/>
      <c r="B45" s="57"/>
      <c r="C45" s="39"/>
      <c r="D45" s="20" t="s">
        <v>16</v>
      </c>
      <c r="E45" s="21" t="n">
        <v>128.0</v>
      </c>
      <c r="F45" s="22" t="n">
        <f>106</f>
        <v>106.0</v>
      </c>
      <c r="G45" s="21" t="n">
        <v>8.460928E8</v>
      </c>
      <c r="H45" s="22" t="n">
        <f>698692800</f>
        <v>6.986928E8</v>
      </c>
    </row>
    <row r="46" spans="1:8" ht="24.9" customHeight="1">
      <c r="A46" s="51"/>
      <c r="B46" s="57"/>
      <c r="C46" s="39"/>
      <c r="D46" s="20" t="s">
        <v>17</v>
      </c>
      <c r="E46" s="21" t="n">
        <v>839.0</v>
      </c>
      <c r="F46" s="22" t="n">
        <f>27</f>
        <v>27.0</v>
      </c>
      <c r="G46" s="21" t="n">
        <v>5.6186496E9</v>
      </c>
      <c r="H46" s="22" t="n">
        <f>177843600</f>
        <v>1.778436E8</v>
      </c>
    </row>
    <row r="47" spans="1:8" ht="24.9" customHeight="1">
      <c r="A47" s="51"/>
      <c r="B47" s="57"/>
      <c r="C47" s="39"/>
      <c r="D47" s="24" t="s">
        <v>18</v>
      </c>
      <c r="E47" s="25" t="n">
        <v>1327.0</v>
      </c>
      <c r="F47" s="26" t="n">
        <f>493</f>
        <v>493.0</v>
      </c>
      <c r="G47" s="25" t="n">
        <v>8.8763824E9</v>
      </c>
      <c r="H47" s="26" t="n">
        <f>3288176400</f>
        <v>3.2881764E9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19.0</v>
      </c>
      <c r="F48" s="18" t="n">
        <f>5</f>
        <v>5.0</v>
      </c>
      <c r="G48" s="17" t="n">
        <v>3.34591E7</v>
      </c>
      <c r="H48" s="18" t="n">
        <f>8779000</f>
        <v>8779000.0</v>
      </c>
    </row>
    <row r="49" spans="1:8" ht="24.9" customHeight="1">
      <c r="A49" s="51"/>
      <c r="B49" s="57"/>
      <c r="C49" s="39"/>
      <c r="D49" s="20" t="s">
        <v>16</v>
      </c>
      <c r="E49" s="21" t="n">
        <v>5150.0</v>
      </c>
      <c r="F49" s="22" t="n">
        <f>1864</f>
        <v>1864.0</v>
      </c>
      <c r="G49" s="21" t="n">
        <v>9.12575782E9</v>
      </c>
      <c r="H49" s="22" t="n">
        <f>3304017920</f>
        <v>3.30401792E9</v>
      </c>
    </row>
    <row r="50" spans="1:8" ht="24.9" customHeight="1">
      <c r="A50" s="51"/>
      <c r="B50" s="57"/>
      <c r="C50" s="39"/>
      <c r="D50" s="20" t="s">
        <v>17</v>
      </c>
      <c r="E50" s="21" t="n">
        <v>2436.0</v>
      </c>
      <c r="F50" s="22" t="n">
        <f>2171</f>
        <v>2171.0</v>
      </c>
      <c r="G50" s="21" t="n">
        <v>4.322449632E9</v>
      </c>
      <c r="H50" s="22" t="n">
        <f>3853285632</f>
        <v>3.853285632E9</v>
      </c>
    </row>
    <row r="51" spans="1:8" ht="24.9" customHeight="1">
      <c r="A51" s="51"/>
      <c r="B51" s="57"/>
      <c r="C51" s="39"/>
      <c r="D51" s="24" t="s">
        <v>18</v>
      </c>
      <c r="E51" s="25" t="n">
        <v>7605.0</v>
      </c>
      <c r="F51" s="26" t="n">
        <f>4040</f>
        <v>4040.0</v>
      </c>
      <c r="G51" s="25" t="n">
        <v>1.3481666552E10</v>
      </c>
      <c r="H51" s="26" t="n">
        <f>7166082552</f>
        <v>7.166082552E9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1432.0</v>
      </c>
      <c r="F56" s="18" t="n">
        <f>10</f>
        <v>10.0</v>
      </c>
      <c r="G56" s="17" t="n">
        <v>1.0182326E9</v>
      </c>
      <c r="H56" s="18" t="n">
        <f>6949100</f>
        <v>6949100.0</v>
      </c>
    </row>
    <row r="57" spans="1:8" ht="24.9" customHeight="1">
      <c r="A57" s="51"/>
      <c r="B57" s="57"/>
      <c r="C57" s="39"/>
      <c r="D57" s="20" t="s">
        <v>16</v>
      </c>
      <c r="E57" s="21" t="n">
        <v>7806.0</v>
      </c>
      <c r="F57" s="22" t="n">
        <f>4058</f>
        <v>4058.0</v>
      </c>
      <c r="G57" s="21" t="n">
        <v>5.48067E9</v>
      </c>
      <c r="H57" s="22" t="n">
        <f>2868007000</f>
        <v>2.868007E9</v>
      </c>
    </row>
    <row r="58" spans="1:8" ht="24.9" customHeight="1">
      <c r="A58" s="51"/>
      <c r="B58" s="57"/>
      <c r="C58" s="39"/>
      <c r="D58" s="20" t="s">
        <v>17</v>
      </c>
      <c r="E58" s="21" t="n">
        <v>6446.0</v>
      </c>
      <c r="F58" s="22" t="n">
        <f>164</f>
        <v>164.0</v>
      </c>
      <c r="G58" s="21" t="n">
        <v>4.54881529E9</v>
      </c>
      <c r="H58" s="22" t="n">
        <f>116671290</f>
        <v>1.1667129E8</v>
      </c>
    </row>
    <row r="59" spans="1:8" ht="24.9" customHeight="1">
      <c r="A59" s="51"/>
      <c r="B59" s="57"/>
      <c r="C59" s="39"/>
      <c r="D59" s="24" t="s">
        <v>18</v>
      </c>
      <c r="E59" s="25" t="n">
        <v>15684.0</v>
      </c>
      <c r="F59" s="26" t="n">
        <f>4232</f>
        <v>4232.0</v>
      </c>
      <c r="G59" s="25" t="n">
        <v>1.104771789E10</v>
      </c>
      <c r="H59" s="26" t="n">
        <f>2991627390</f>
        <v>2.99162739E9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288.0</v>
      </c>
      <c r="F60" s="18" t="n">
        <f>5</f>
        <v>5.0</v>
      </c>
      <c r="G60" s="17" t="n">
        <v>1.4528048E9</v>
      </c>
      <c r="H60" s="18" t="n">
        <f>25224600</f>
        <v>2.52246E7</v>
      </c>
    </row>
    <row r="61" spans="1:8" ht="24.9" customHeight="1">
      <c r="A61" s="51"/>
      <c r="B61" s="57"/>
      <c r="C61" s="39"/>
      <c r="D61" s="20" t="s">
        <v>16</v>
      </c>
      <c r="E61" s="21" t="n">
        <v>47.0</v>
      </c>
      <c r="F61" s="22" t="n">
        <f>2</f>
        <v>2.0</v>
      </c>
      <c r="G61" s="21" t="n">
        <v>2.352127E8</v>
      </c>
      <c r="H61" s="22" t="n">
        <f>10004800</f>
        <v>1.00048E7</v>
      </c>
    </row>
    <row r="62" spans="1:8" ht="24.9" customHeight="1">
      <c r="A62" s="51"/>
      <c r="B62" s="57"/>
      <c r="C62" s="39"/>
      <c r="D62" s="20" t="s">
        <v>17</v>
      </c>
      <c r="E62" s="21" t="n">
        <v>36.0</v>
      </c>
      <c r="F62" s="22" t="n">
        <f>3</f>
        <v>3.0</v>
      </c>
      <c r="G62" s="21" t="n">
        <v>1.8098031E8</v>
      </c>
      <c r="H62" s="22" t="n">
        <f>15060710</f>
        <v>1.506071E7</v>
      </c>
    </row>
    <row r="63" spans="1:8" ht="24.9" customHeight="1">
      <c r="A63" s="51"/>
      <c r="B63" s="57"/>
      <c r="C63" s="39"/>
      <c r="D63" s="24" t="s">
        <v>18</v>
      </c>
      <c r="E63" s="25" t="n">
        <v>371.0</v>
      </c>
      <c r="F63" s="26" t="n">
        <f>10</f>
        <v>10.0</v>
      </c>
      <c r="G63" s="25" t="n">
        <v>1.86899781E9</v>
      </c>
      <c r="H63" s="26" t="n">
        <f>50290110</f>
        <v>5.029011E7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1.0</v>
      </c>
      <c r="F76" s="18" t="n">
        <f>0</f>
        <v>0.0</v>
      </c>
      <c r="G76" s="17" t="n">
        <v>383500.0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21.0</v>
      </c>
      <c r="F77" s="22" t="n">
        <f>0</f>
        <v>0.0</v>
      </c>
      <c r="G77" s="21" t="n">
        <v>7950000.0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3.0</v>
      </c>
      <c r="F78" s="22" t="n">
        <f>0</f>
        <v>0.0</v>
      </c>
      <c r="G78" s="21" t="n">
        <v>1095000.0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25.0</v>
      </c>
      <c r="F79" s="26" t="n">
        <f>0</f>
        <v>0.0</v>
      </c>
      <c r="G79" s="25" t="n">
        <v>9428500.0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39.0</v>
      </c>
      <c r="F92" s="18" t="n">
        <f>0</f>
        <v>0.0</v>
      </c>
      <c r="G92" s="17" t="n">
        <v>6.25554E7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0.0</v>
      </c>
      <c r="F93" s="22" t="n">
        <f>0</f>
        <v>0.0</v>
      </c>
      <c r="G93" s="21" t="n">
        <v>0.0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0.0</v>
      </c>
      <c r="F94" s="22" t="n">
        <f>0</f>
        <v>0.0</v>
      </c>
      <c r="G94" s="21" t="n">
        <v>0.0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39.0</v>
      </c>
      <c r="F95" s="26" t="n">
        <f>0</f>
        <v>0.0</v>
      </c>
      <c r="G95" s="25" t="n">
        <v>6.25554E7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71.0</v>
      </c>
      <c r="F96" s="18" t="n">
        <f>0</f>
        <v>0.0</v>
      </c>
      <c r="G96" s="17" t="n">
        <v>1.680131E8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0.0</v>
      </c>
      <c r="F98" s="22" t="n">
        <f>0</f>
        <v>0.0</v>
      </c>
      <c r="G98" s="21" t="n">
        <v>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71.0</v>
      </c>
      <c r="F99" s="26" t="n">
        <f>0</f>
        <v>0.0</v>
      </c>
      <c r="G99" s="25" t="n">
        <v>1.680131E8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888.0</v>
      </c>
      <c r="F100" s="18" t="n">
        <f>0</f>
        <v>0.0</v>
      </c>
      <c r="G100" s="17" t="n">
        <v>1.6454546E9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888.0</v>
      </c>
      <c r="F103" s="26" t="n">
        <f>0</f>
        <v>0.0</v>
      </c>
      <c r="G103" s="25" t="n">
        <v>1.6454546E9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47590.0</v>
      </c>
      <c r="F108" s="18" t="n">
        <f>8760</f>
        <v>8760.0</v>
      </c>
      <c r="G108" s="17" t="n">
        <v>6.0963773835E12</v>
      </c>
      <c r="H108" s="18" t="n">
        <f>1122060643500</f>
        <v>1.1220606435E12</v>
      </c>
    </row>
    <row r="109" spans="1:8" ht="24.9" customHeight="1">
      <c r="A109" s="51"/>
      <c r="B109" s="57"/>
      <c r="C109" s="39"/>
      <c r="D109" s="20" t="s">
        <v>16</v>
      </c>
      <c r="E109" s="21" t="n">
        <v>108547.0</v>
      </c>
      <c r="F109" s="22" t="n">
        <f>12677</f>
        <v>12677.0</v>
      </c>
      <c r="G109" s="21" t="n">
        <v>1.390293507E13</v>
      </c>
      <c r="H109" s="22" t="n">
        <f>1623156140000</f>
        <v>1.62315614E12</v>
      </c>
    </row>
    <row r="110" spans="1:8" ht="24.9" customHeight="1">
      <c r="A110" s="51"/>
      <c r="B110" s="57"/>
      <c r="C110" s="39"/>
      <c r="D110" s="20" t="s">
        <v>17</v>
      </c>
      <c r="E110" s="21" t="n">
        <v>61010.0</v>
      </c>
      <c r="F110" s="22" t="n">
        <f>19753</f>
        <v>19753.0</v>
      </c>
      <c r="G110" s="21" t="n">
        <v>7.8167275098E12</v>
      </c>
      <c r="H110" s="22" t="n">
        <f>2530668059800</f>
        <v>2.5306680598E12</v>
      </c>
    </row>
    <row r="111" spans="1:8" ht="24.9" customHeight="1">
      <c r="A111" s="51"/>
      <c r="B111" s="57"/>
      <c r="C111" s="39"/>
      <c r="D111" s="24" t="s">
        <v>18</v>
      </c>
      <c r="E111" s="25" t="n">
        <v>217147.0</v>
      </c>
      <c r="F111" s="26" t="n">
        <f>41190</f>
        <v>41190.0</v>
      </c>
      <c r="G111" s="25" t="n">
        <v>2.78160399633E13</v>
      </c>
      <c r="H111" s="26" t="n">
        <f>5275884843300</f>
        <v>5.2758848433E12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1.0</v>
      </c>
      <c r="F112" s="18" t="n">
        <f>0</f>
        <v>0.0</v>
      </c>
      <c r="G112" s="17" t="n">
        <v>1.2757E7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0.0</v>
      </c>
      <c r="F113" s="22" t="n">
        <f>0</f>
        <v>0.0</v>
      </c>
      <c r="G113" s="21" t="n">
        <v>0.0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0.0</v>
      </c>
      <c r="F114" s="22" t="n">
        <f>0</f>
        <v>0.0</v>
      </c>
      <c r="G114" s="21" t="n">
        <v>0.0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1.0</v>
      </c>
      <c r="F115" s="26" t="n">
        <f>0</f>
        <v>0.0</v>
      </c>
      <c r="G115" s="25" t="n">
        <v>1.2757E7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1113.0</v>
      </c>
      <c r="F116" s="18" t="n">
        <f>47</f>
        <v>47.0</v>
      </c>
      <c r="G116" s="17" t="n">
        <v>1.0301645E10</v>
      </c>
      <c r="H116" s="18" t="n">
        <f>436348000</f>
        <v>4.36348E8</v>
      </c>
    </row>
    <row r="117" spans="1:8" ht="24.9" customHeight="1">
      <c r="A117" s="51"/>
      <c r="B117" s="57"/>
      <c r="C117" s="39"/>
      <c r="D117" s="20" t="s">
        <v>16</v>
      </c>
      <c r="E117" s="21" t="n">
        <v>2.0</v>
      </c>
      <c r="F117" s="22" t="n">
        <f>0</f>
        <v>0.0</v>
      </c>
      <c r="G117" s="21" t="n">
        <v>1.8495E7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2069.0</v>
      </c>
      <c r="F118" s="22" t="n">
        <f>0</f>
        <v>0.0</v>
      </c>
      <c r="G118" s="21" t="n">
        <v>1.9064565E10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3184.0</v>
      </c>
      <c r="F119" s="26" t="n">
        <f>47</f>
        <v>47.0</v>
      </c>
      <c r="G119" s="25" t="n">
        <v>2.9384705E10</v>
      </c>
      <c r="H119" s="26" t="n">
        <f>436348000</f>
        <v>4.36348E8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3794.0</v>
      </c>
      <c r="F120" s="18" t="n">
        <f>0</f>
        <v>0.0</v>
      </c>
      <c r="G120" s="17" t="n">
        <v>9.3891016875E10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2352.0</v>
      </c>
      <c r="F121" s="22" t="n">
        <f>0</f>
        <v>0.0</v>
      </c>
      <c r="G121" s="21" t="n">
        <v>5.8142804375E10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864.0</v>
      </c>
      <c r="F122" s="22" t="n">
        <f>0</f>
        <v>0.0</v>
      </c>
      <c r="G122" s="21" t="n">
        <v>2.138819375E10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7010.0</v>
      </c>
      <c r="F123" s="26" t="n">
        <f>0</f>
        <v>0.0</v>
      </c>
      <c r="G123" s="25" t="n">
        <v>1.73422015E11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12710.0</v>
      </c>
      <c r="F124" s="18" t="n">
        <f>0</f>
        <v>0.0</v>
      </c>
      <c r="G124" s="17" t="n">
        <v>2.78272766E11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8517.0</v>
      </c>
      <c r="F125" s="22" t="n">
        <f>0</f>
        <v>0.0</v>
      </c>
      <c r="G125" s="21" t="n">
        <v>1.82329957E11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5549.0</v>
      </c>
      <c r="F126" s="22" t="n">
        <f>1</f>
        <v>1.0</v>
      </c>
      <c r="G126" s="21" t="n">
        <v>1.1924161E11</v>
      </c>
      <c r="H126" s="22" t="n">
        <f>21391000</f>
        <v>2.1391E7</v>
      </c>
    </row>
    <row r="127" spans="1:8" ht="24.9" customHeight="1">
      <c r="A127" s="51"/>
      <c r="B127" s="57"/>
      <c r="C127" s="39"/>
      <c r="D127" s="24" t="s">
        <v>18</v>
      </c>
      <c r="E127" s="25" t="n">
        <v>26776.0</v>
      </c>
      <c r="F127" s="26" t="n">
        <f>1</f>
        <v>1.0</v>
      </c>
      <c r="G127" s="25" t="n">
        <v>5.79844333E11</v>
      </c>
      <c r="H127" s="26" t="n">
        <f>21391000</f>
        <v>2.1391E7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241.0</v>
      </c>
      <c r="F128" s="18" t="n">
        <f>0</f>
        <v>0.0</v>
      </c>
      <c r="G128" s="17" t="n">
        <v>5.305841E8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438.0</v>
      </c>
      <c r="F129" s="22" t="n">
        <f>0</f>
        <v>0.0</v>
      </c>
      <c r="G129" s="21" t="n">
        <v>9.422805E8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1147.0</v>
      </c>
      <c r="F130" s="22" t="n">
        <f>0</f>
        <v>0.0</v>
      </c>
      <c r="G130" s="21" t="n">
        <v>2.4711953E9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1826.0</v>
      </c>
      <c r="F131" s="26" t="n">
        <f>0</f>
        <v>0.0</v>
      </c>
      <c r="G131" s="25" t="n">
        <v>3.9440599E9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11737.0</v>
      </c>
      <c r="F132" s="18" t="n">
        <f>0</f>
        <v>0.0</v>
      </c>
      <c r="G132" s="17" t="n">
        <v>2.57318413E10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5723.0</v>
      </c>
      <c r="F133" s="22" t="n">
        <f>0</f>
        <v>0.0</v>
      </c>
      <c r="G133" s="21" t="n">
        <v>1.228438955E10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4122.0</v>
      </c>
      <c r="F134" s="22" t="n">
        <f>0</f>
        <v>0.0</v>
      </c>
      <c r="G134" s="21" t="n">
        <v>8.8659612E9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21582.0</v>
      </c>
      <c r="F135" s="26" t="n">
        <f>0</f>
        <v>0.0</v>
      </c>
      <c r="G135" s="25" t="n">
        <v>4.688219205E10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571.0</v>
      </c>
      <c r="F136" s="18" t="n">
        <f>0</f>
        <v>0.0</v>
      </c>
      <c r="G136" s="17" t="n">
        <v>1.2405048E9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492.0</v>
      </c>
      <c r="F137" s="22" t="n">
        <f>0</f>
        <v>0.0</v>
      </c>
      <c r="G137" s="21" t="n">
        <v>1.0405278E9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108.0</v>
      </c>
      <c r="F138" s="22" t="n">
        <f>0</f>
        <v>0.0</v>
      </c>
      <c r="G138" s="21" t="n">
        <v>2.301888E8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1171.0</v>
      </c>
      <c r="F139" s="26" t="n">
        <f>0</f>
        <v>0.0</v>
      </c>
      <c r="G139" s="25" t="n">
        <v>2.5112214E9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1.0</v>
      </c>
      <c r="F142" s="22" t="n">
        <f>0</f>
        <v>0.0</v>
      </c>
      <c r="G142" s="21" t="n">
        <v>9900000.0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1.0</v>
      </c>
      <c r="F143" s="26" t="n">
        <f>0</f>
        <v>0.0</v>
      </c>
      <c r="G143" s="25" t="n">
        <v>9900000.0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3620.0</v>
      </c>
      <c r="F144" s="18" t="n">
        <f>0</f>
        <v>0.0</v>
      </c>
      <c r="G144" s="17" t="n">
        <v>1.52783995E10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2076.0</v>
      </c>
      <c r="F145" s="22" t="n">
        <f>0</f>
        <v>0.0</v>
      </c>
      <c r="G145" s="21" t="n">
        <v>8.6588575E9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1901.0</v>
      </c>
      <c r="F146" s="22" t="n">
        <f>0</f>
        <v>0.0</v>
      </c>
      <c r="G146" s="21" t="n">
        <v>7.9776855E9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7597.0</v>
      </c>
      <c r="F147" s="26" t="n">
        <f>0</f>
        <v>0.0</v>
      </c>
      <c r="G147" s="25" t="n">
        <v>3.19149425E10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340.0</v>
      </c>
      <c r="F148" s="18" t="n">
        <f>0</f>
        <v>0.0</v>
      </c>
      <c r="G148" s="17" t="n">
        <v>2.9192E8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347.0</v>
      </c>
      <c r="F149" s="22" t="n">
        <f>0</f>
        <v>0.0</v>
      </c>
      <c r="G149" s="21" t="n">
        <v>2.945124E8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735.0</v>
      </c>
      <c r="F150" s="22" t="n">
        <f>0</f>
        <v>0.0</v>
      </c>
      <c r="G150" s="21" t="n">
        <v>6.278276E8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1422.0</v>
      </c>
      <c r="F151" s="26" t="n">
        <f>0</f>
        <v>0.0</v>
      </c>
      <c r="G151" s="25" t="n">
        <v>1.21426E9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601.0</v>
      </c>
      <c r="F152" s="18" t="n">
        <f>0</f>
        <v>0.0</v>
      </c>
      <c r="G152" s="17" t="n">
        <v>5.0767415E8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306.0</v>
      </c>
      <c r="F153" s="22" t="n">
        <f>0</f>
        <v>0.0</v>
      </c>
      <c r="G153" s="21" t="n">
        <v>2.552384E8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255.0</v>
      </c>
      <c r="F154" s="22" t="n">
        <f>0</f>
        <v>0.0</v>
      </c>
      <c r="G154" s="21" t="n">
        <v>2.1360135E8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1162.0</v>
      </c>
      <c r="F155" s="26" t="n">
        <f>0</f>
        <v>0.0</v>
      </c>
      <c r="G155" s="25" t="n">
        <v>9.765139E8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108.0</v>
      </c>
      <c r="F156" s="18" t="n">
        <f>0</f>
        <v>0.0</v>
      </c>
      <c r="G156" s="17" t="n">
        <v>9.03472E7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201.0</v>
      </c>
      <c r="F157" s="22" t="n">
        <f>0</f>
        <v>0.0</v>
      </c>
      <c r="G157" s="21" t="n">
        <v>1.644678E8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260.0</v>
      </c>
      <c r="F158" s="22" t="n">
        <f>0</f>
        <v>0.0</v>
      </c>
      <c r="G158" s="21" t="n">
        <v>2.156465E8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569.0</v>
      </c>
      <c r="F159" s="26" t="n">
        <f>0</f>
        <v>0.0</v>
      </c>
      <c r="G159" s="25" t="n">
        <v>4.704615E8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49.0</v>
      </c>
      <c r="F168" s="18" t="n">
        <f>0</f>
        <v>0.0</v>
      </c>
      <c r="G168" s="17" t="n">
        <v>1.01918E8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193.0</v>
      </c>
      <c r="F169" s="22" t="n">
        <f>0</f>
        <v>0.0</v>
      </c>
      <c r="G169" s="21" t="n">
        <v>4.037885E8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748.0</v>
      </c>
      <c r="F170" s="22" t="n">
        <f>342</f>
        <v>342.0</v>
      </c>
      <c r="G170" s="21" t="n">
        <v>1.5832515E9</v>
      </c>
      <c r="H170" s="22" t="n">
        <f>726750000</f>
        <v>7.2675E8</v>
      </c>
    </row>
    <row r="171" spans="1:8" ht="24.9" customHeight="1">
      <c r="A171" s="51"/>
      <c r="B171" s="57"/>
      <c r="C171" s="39"/>
      <c r="D171" s="24" t="s">
        <v>18</v>
      </c>
      <c r="E171" s="25" t="n">
        <v>990.0</v>
      </c>
      <c r="F171" s="26" t="n">
        <f>342</f>
        <v>342.0</v>
      </c>
      <c r="G171" s="25" t="n">
        <v>2.088958E9</v>
      </c>
      <c r="H171" s="26" t="n">
        <f>726750000</f>
        <v>7.2675E8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12.0</v>
      </c>
      <c r="F177" s="22" t="n">
        <f>0</f>
        <v>0.0</v>
      </c>
      <c r="G177" s="21" t="n">
        <v>2.1024E7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20.0</v>
      </c>
      <c r="F178" s="22" t="n">
        <f>0</f>
        <v>0.0</v>
      </c>
      <c r="G178" s="21" t="n">
        <v>3.5062E7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32.0</v>
      </c>
      <c r="F179" s="26" t="n">
        <f>0</f>
        <v>0.0</v>
      </c>
      <c r="G179" s="25" t="n">
        <v>5.6086E7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505.0</v>
      </c>
      <c r="F204" s="18" t="n">
        <f>0</f>
        <v>0.0</v>
      </c>
      <c r="G204" s="17" t="n">
        <v>2.0476715E9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469.0</v>
      </c>
      <c r="F205" s="22" t="n">
        <f>0</f>
        <v>0.0</v>
      </c>
      <c r="G205" s="21" t="n">
        <v>1.9523545E9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4139.0</v>
      </c>
      <c r="F206" s="22" t="n">
        <f>2</f>
        <v>2.0</v>
      </c>
      <c r="G206" s="21" t="n">
        <v>1.69869E10</v>
      </c>
      <c r="H206" s="22" t="n">
        <f>8750000</f>
        <v>8750000.0</v>
      </c>
    </row>
    <row r="207" spans="1:8" ht="24.9" customHeight="1">
      <c r="A207" s="57"/>
      <c r="B207" s="59"/>
      <c r="C207" s="39"/>
      <c r="D207" s="24" t="s">
        <v>18</v>
      </c>
      <c r="E207" s="25" t="n">
        <v>5113.0</v>
      </c>
      <c r="F207" s="26" t="n">
        <f>2</f>
        <v>2.0</v>
      </c>
      <c r="G207" s="25" t="n">
        <v>2.0986926E10</v>
      </c>
      <c r="H207" s="26" t="n">
        <f>8750000</f>
        <v>8750000.0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3.0</v>
      </c>
      <c r="F208" s="18" t="n">
        <f>3</f>
        <v>3.0</v>
      </c>
      <c r="G208" s="17" t="n">
        <v>4989600.0</v>
      </c>
      <c r="H208" s="18" t="n">
        <f>4989600</f>
        <v>4989600.0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3.0</v>
      </c>
      <c r="F211" s="26" t="n">
        <f>3</f>
        <v>3.0</v>
      </c>
      <c r="G211" s="25" t="n">
        <v>4989600.0</v>
      </c>
      <c r="H211" s="26" t="n">
        <f>4989600</f>
        <v>4989600.0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46184.0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46184.0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8024</f>
        <v>8024.0</v>
      </c>
      <c r="E12" s="35" t="n">
        <f>1976</f>
        <v>1976.0</v>
      </c>
      <c r="F12" s="17" t="n">
        <f>5478</f>
        <v>5478.0</v>
      </c>
      <c r="G12" s="35" t="n">
        <f>1022</f>
        <v>1022.0</v>
      </c>
      <c r="H12" s="17" t="n">
        <f>13502</f>
        <v>13502.0</v>
      </c>
      <c r="I12" s="35" t="n">
        <f>2998</f>
        <v>2998.0</v>
      </c>
      <c r="J12" s="17" t="n">
        <f>1495169810</f>
        <v>1.49516981E9</v>
      </c>
      <c r="K12" s="35" t="n">
        <f>572786810</f>
        <v>5.7278681E8</v>
      </c>
      <c r="L12" s="17" t="n">
        <f>1941447690</f>
        <v>1.94144769E9</v>
      </c>
      <c r="M12" s="35" t="n">
        <f>992593690</f>
        <v>9.9259369E8</v>
      </c>
      <c r="N12" s="17" t="n">
        <f>3436617500</f>
        <v>3.4366175E9</v>
      </c>
      <c r="O12" s="35" t="n">
        <f>1565380500</f>
        <v>1.5653805E9</v>
      </c>
    </row>
    <row r="13" spans="1:15" ht="24.9" customHeight="1">
      <c r="A13" s="38"/>
      <c r="B13" s="62"/>
      <c r="C13" s="20" t="s">
        <v>16</v>
      </c>
      <c r="D13" s="21" t="n">
        <f>15088</f>
        <v>15088.0</v>
      </c>
      <c r="E13" s="36" t="n">
        <f>8630</f>
        <v>8630.0</v>
      </c>
      <c r="F13" s="21" t="n">
        <f>6236</f>
        <v>6236.0</v>
      </c>
      <c r="G13" s="36" t="n">
        <f>1462</f>
        <v>1462.0</v>
      </c>
      <c r="H13" s="21" t="n">
        <f>21324</f>
        <v>21324.0</v>
      </c>
      <c r="I13" s="36" t="n">
        <f>10092</f>
        <v>10092.0</v>
      </c>
      <c r="J13" s="21" t="n">
        <f>8848564548</f>
        <v>8.848564548E9</v>
      </c>
      <c r="K13" s="36" t="n">
        <f>7206744548</f>
        <v>7.206744548E9</v>
      </c>
      <c r="L13" s="21" t="n">
        <f>2005530890</f>
        <v>2.00553089E9</v>
      </c>
      <c r="M13" s="36" t="n">
        <f>681506890</f>
        <v>6.8150689E8</v>
      </c>
      <c r="N13" s="21" t="n">
        <f>10854095438</f>
        <v>1.0854095438E10</v>
      </c>
      <c r="O13" s="36" t="n">
        <f>7888251438</f>
        <v>7.888251438E9</v>
      </c>
    </row>
    <row r="14" spans="1:15" ht="24.9" customHeight="1">
      <c r="A14" s="38"/>
      <c r="B14" s="62"/>
      <c r="C14" s="20" t="s">
        <v>17</v>
      </c>
      <c r="D14" s="21" t="n">
        <f>20140</f>
        <v>20140.0</v>
      </c>
      <c r="E14" s="36" t="n">
        <f>10083</f>
        <v>10083.0</v>
      </c>
      <c r="F14" s="21" t="n">
        <f>16450</f>
        <v>16450.0</v>
      </c>
      <c r="G14" s="36" t="n">
        <f>8388</f>
        <v>8388.0</v>
      </c>
      <c r="H14" s="21" t="n">
        <f>36590</f>
        <v>36590.0</v>
      </c>
      <c r="I14" s="36" t="n">
        <f>18471</f>
        <v>18471.0</v>
      </c>
      <c r="J14" s="21" t="n">
        <f>11866656350</f>
        <v>1.186665635E10</v>
      </c>
      <c r="K14" s="36" t="n">
        <f>9835635350</f>
        <v>9.83563535E9</v>
      </c>
      <c r="L14" s="21" t="n">
        <f>13178229849</f>
        <v>1.3178229849E10</v>
      </c>
      <c r="M14" s="36" t="n">
        <f>10161804849</f>
        <v>1.0161804849E10</v>
      </c>
      <c r="N14" s="21" t="n">
        <f>25044886199</f>
        <v>2.5044886199E10</v>
      </c>
      <c r="O14" s="36" t="n">
        <f>19997440199</f>
        <v>1.9997440199E10</v>
      </c>
    </row>
    <row r="15" spans="1:15" ht="24.9" customHeight="1">
      <c r="A15" s="38"/>
      <c r="B15" s="62"/>
      <c r="C15" s="24" t="s">
        <v>18</v>
      </c>
      <c r="D15" s="25" t="n">
        <f>43252</f>
        <v>43252.0</v>
      </c>
      <c r="E15" s="37" t="n">
        <f>20689</f>
        <v>20689.0</v>
      </c>
      <c r="F15" s="25" t="n">
        <f>28164</f>
        <v>28164.0</v>
      </c>
      <c r="G15" s="37" t="n">
        <f>10872</f>
        <v>10872.0</v>
      </c>
      <c r="H15" s="25" t="n">
        <f>71416</f>
        <v>71416.0</v>
      </c>
      <c r="I15" s="37" t="n">
        <f>31561</f>
        <v>31561.0</v>
      </c>
      <c r="J15" s="25" t="n">
        <f>22210390708</f>
        <v>2.2210390708E10</v>
      </c>
      <c r="K15" s="37" t="n">
        <f>17615166708</f>
        <v>1.7615166708E10</v>
      </c>
      <c r="L15" s="25" t="n">
        <f>17125208429</f>
        <v>1.7125208429E10</v>
      </c>
      <c r="M15" s="37" t="n">
        <f>11835905429</f>
        <v>1.1835905429E10</v>
      </c>
      <c r="N15" s="25" t="n">
        <f>39335599137</f>
        <v>3.9335599137E10</v>
      </c>
      <c r="O15" s="37" t="n">
        <f>29451072137</f>
        <v>2.9451072137E10</v>
      </c>
    </row>
    <row r="16" spans="1:15" ht="24.9" customHeight="1">
      <c r="A16" s="38"/>
      <c r="B16" s="61" t="s">
        <v>105</v>
      </c>
      <c r="C16" s="16" t="s">
        <v>15</v>
      </c>
      <c r="D16" s="17" t="n">
        <f>15490</f>
        <v>15490.0</v>
      </c>
      <c r="E16" s="35" t="n">
        <f>1410</f>
        <v>1410.0</v>
      </c>
      <c r="F16" s="17" t="n">
        <f>14447</f>
        <v>14447.0</v>
      </c>
      <c r="G16" s="35" t="n">
        <f>1780</f>
        <v>1780.0</v>
      </c>
      <c r="H16" s="17" t="n">
        <f>29937</f>
        <v>29937.0</v>
      </c>
      <c r="I16" s="35" t="n">
        <f>3190</f>
        <v>3190.0</v>
      </c>
      <c r="J16" s="17" t="n">
        <f>512001730</f>
        <v>5.1200173E8</v>
      </c>
      <c r="K16" s="35" t="n">
        <f>19511030</f>
        <v>1.951103E7</v>
      </c>
      <c r="L16" s="17" t="n">
        <f>458002740</f>
        <v>4.5800274E8</v>
      </c>
      <c r="M16" s="35" t="n">
        <f>13892640</f>
        <v>1.389264E7</v>
      </c>
      <c r="N16" s="17" t="n">
        <f>970004470</f>
        <v>9.7000447E8</v>
      </c>
      <c r="O16" s="35" t="n">
        <f>33403670</f>
        <v>3.340367E7</v>
      </c>
    </row>
    <row r="17" spans="1:15" ht="24.9" customHeight="1">
      <c r="A17" s="38"/>
      <c r="B17" s="62"/>
      <c r="C17" s="20" t="s">
        <v>16</v>
      </c>
      <c r="D17" s="21" t="n">
        <f>9775</f>
        <v>9775.0</v>
      </c>
      <c r="E17" s="36" t="n">
        <f>840</f>
        <v>840.0</v>
      </c>
      <c r="F17" s="21" t="n">
        <f>9633</f>
        <v>9633.0</v>
      </c>
      <c r="G17" s="36" t="n">
        <f>800</f>
        <v>800.0</v>
      </c>
      <c r="H17" s="21" t="n">
        <f>19408</f>
        <v>19408.0</v>
      </c>
      <c r="I17" s="36" t="n">
        <f>1640</f>
        <v>1640.0</v>
      </c>
      <c r="J17" s="21" t="n">
        <f>275577430</f>
        <v>2.7557743E8</v>
      </c>
      <c r="K17" s="36" t="n">
        <f>16121630</f>
        <v>1.612163E7</v>
      </c>
      <c r="L17" s="21" t="n">
        <f>218408320</f>
        <v>2.1840832E8</v>
      </c>
      <c r="M17" s="36" t="n">
        <f>10317020</f>
        <v>1.031702E7</v>
      </c>
      <c r="N17" s="21" t="n">
        <f>493985750</f>
        <v>4.9398575E8</v>
      </c>
      <c r="O17" s="36" t="n">
        <f>26438650</f>
        <v>2.643865E7</v>
      </c>
    </row>
    <row r="18" spans="1:15" ht="24.9" customHeight="1">
      <c r="A18" s="38"/>
      <c r="B18" s="62"/>
      <c r="C18" s="20" t="s">
        <v>17</v>
      </c>
      <c r="D18" s="21" t="n">
        <f>11814</f>
        <v>11814.0</v>
      </c>
      <c r="E18" s="36" t="n">
        <f>940</f>
        <v>940.0</v>
      </c>
      <c r="F18" s="21" t="n">
        <f>9592</f>
        <v>9592.0</v>
      </c>
      <c r="G18" s="36" t="n">
        <f>760</f>
        <v>760.0</v>
      </c>
      <c r="H18" s="21" t="n">
        <f>21406</f>
        <v>21406.0</v>
      </c>
      <c r="I18" s="36" t="n">
        <f>1700</f>
        <v>1700.0</v>
      </c>
      <c r="J18" s="21" t="n">
        <f>260670770</f>
        <v>2.6067077E8</v>
      </c>
      <c r="K18" s="36" t="n">
        <f>3680770</f>
        <v>3680770.0</v>
      </c>
      <c r="L18" s="21" t="n">
        <f>235165890</f>
        <v>2.3516589E8</v>
      </c>
      <c r="M18" s="36" t="n">
        <f>4183090</f>
        <v>4183090.0</v>
      </c>
      <c r="N18" s="21" t="n">
        <f>495836660</f>
        <v>4.9583666E8</v>
      </c>
      <c r="O18" s="36" t="n">
        <f>7863860</f>
        <v>7863860.0</v>
      </c>
    </row>
    <row r="19" spans="1:15" ht="24.9" customHeight="1">
      <c r="A19" s="38"/>
      <c r="B19" s="62"/>
      <c r="C19" s="24" t="s">
        <v>18</v>
      </c>
      <c r="D19" s="25" t="n">
        <f>37079</f>
        <v>37079.0</v>
      </c>
      <c r="E19" s="37" t="n">
        <f>3190</f>
        <v>3190.0</v>
      </c>
      <c r="F19" s="25" t="n">
        <f>33672</f>
        <v>33672.0</v>
      </c>
      <c r="G19" s="37" t="n">
        <f>3340</f>
        <v>3340.0</v>
      </c>
      <c r="H19" s="25" t="n">
        <f>70751</f>
        <v>70751.0</v>
      </c>
      <c r="I19" s="37" t="n">
        <f>6530</f>
        <v>6530.0</v>
      </c>
      <c r="J19" s="25" t="n">
        <f>1048249930</f>
        <v>1.04824993E9</v>
      </c>
      <c r="K19" s="37" t="n">
        <f>39313430</f>
        <v>3.931343E7</v>
      </c>
      <c r="L19" s="25" t="n">
        <f>911576950</f>
        <v>9.1157695E8</v>
      </c>
      <c r="M19" s="37" t="n">
        <f>28392750</f>
        <v>2.839275E7</v>
      </c>
      <c r="N19" s="25" t="n">
        <f>1959826880</f>
        <v>1.95982688E9</v>
      </c>
      <c r="O19" s="37" t="n">
        <f>67706180</f>
        <v>6.770618E7</v>
      </c>
    </row>
    <row r="20" spans="1:15" ht="24.9" customHeight="1">
      <c r="A20" s="38"/>
      <c r="B20" s="61" t="s">
        <v>106</v>
      </c>
      <c r="C20" s="16" t="s">
        <v>15</v>
      </c>
      <c r="D20" s="17" t="n">
        <f>0</f>
        <v>0.0</v>
      </c>
      <c r="E20" s="35" t="n">
        <f>0</f>
        <v>0.0</v>
      </c>
      <c r="F20" s="17" t="n">
        <f>0</f>
        <v>0.0</v>
      </c>
      <c r="G20" s="35" t="n">
        <f>0</f>
        <v>0.0</v>
      </c>
      <c r="H20" s="17" t="n">
        <f>0</f>
        <v>0.0</v>
      </c>
      <c r="I20" s="35" t="n">
        <f>0</f>
        <v>0.0</v>
      </c>
      <c r="J20" s="17" t="n">
        <f>0</f>
        <v>0.0</v>
      </c>
      <c r="K20" s="35" t="n">
        <f>0</f>
        <v>0.0</v>
      </c>
      <c r="L20" s="17" t="n">
        <f>0</f>
        <v>0.0</v>
      </c>
      <c r="M20" s="35" t="n">
        <f>0</f>
        <v>0.0</v>
      </c>
      <c r="N20" s="17" t="n">
        <f>0</f>
        <v>0.0</v>
      </c>
      <c r="O20" s="35" t="n">
        <f>0</f>
        <v>0.0</v>
      </c>
    </row>
    <row r="21" spans="1:15" ht="24.9" customHeight="1">
      <c r="A21" s="38"/>
      <c r="B21" s="62"/>
      <c r="C21" s="20" t="s">
        <v>16</v>
      </c>
      <c r="D21" s="21" t="n">
        <f>0</f>
        <v>0.0</v>
      </c>
      <c r="E21" s="36" t="n">
        <f>0</f>
        <v>0.0</v>
      </c>
      <c r="F21" s="21" t="n">
        <f>0</f>
        <v>0.0</v>
      </c>
      <c r="G21" s="36" t="n">
        <f>0</f>
        <v>0.0</v>
      </c>
      <c r="H21" s="21" t="n">
        <f>0</f>
        <v>0.0</v>
      </c>
      <c r="I21" s="36" t="n">
        <f>0</f>
        <v>0.0</v>
      </c>
      <c r="J21" s="21" t="n">
        <f>0</f>
        <v>0.0</v>
      </c>
      <c r="K21" s="36" t="n">
        <f>0</f>
        <v>0.0</v>
      </c>
      <c r="L21" s="21" t="n">
        <f>0</f>
        <v>0.0</v>
      </c>
      <c r="M21" s="36" t="n">
        <f>0</f>
        <v>0.0</v>
      </c>
      <c r="N21" s="21" t="n">
        <f>0</f>
        <v>0.0</v>
      </c>
      <c r="O21" s="36" t="n">
        <f>0</f>
        <v>0.0</v>
      </c>
    </row>
    <row r="22" spans="1:15" ht="24.9" customHeight="1">
      <c r="A22" s="38"/>
      <c r="B22" s="62"/>
      <c r="C22" s="20" t="s">
        <v>17</v>
      </c>
      <c r="D22" s="21" t="n">
        <f>3445</f>
        <v>3445.0</v>
      </c>
      <c r="E22" s="36" t="n">
        <f>3400</f>
        <v>3400.0</v>
      </c>
      <c r="F22" s="21" t="n">
        <f>152</f>
        <v>152.0</v>
      </c>
      <c r="G22" s="36" t="n">
        <f>150</f>
        <v>150.0</v>
      </c>
      <c r="H22" s="21" t="n">
        <f>3597</f>
        <v>3597.0</v>
      </c>
      <c r="I22" s="36" t="n">
        <f>3550</f>
        <v>3550.0</v>
      </c>
      <c r="J22" s="21" t="n">
        <f>344800000</f>
        <v>3.448E8</v>
      </c>
      <c r="K22" s="36" t="n">
        <f>343225000</f>
        <v>3.43225E8</v>
      </c>
      <c r="L22" s="21" t="n">
        <f>90715000</f>
        <v>9.0715E7</v>
      </c>
      <c r="M22" s="36" t="n">
        <f>90000000</f>
        <v>9.0E7</v>
      </c>
      <c r="N22" s="21" t="n">
        <f>435515000</f>
        <v>4.35515E8</v>
      </c>
      <c r="O22" s="36" t="n">
        <f>433225000</f>
        <v>4.33225E8</v>
      </c>
    </row>
    <row r="23" spans="1:15" ht="24.9" customHeight="1">
      <c r="A23" s="38"/>
      <c r="B23" s="62"/>
      <c r="C23" s="24" t="s">
        <v>18</v>
      </c>
      <c r="D23" s="25" t="n">
        <f>3445</f>
        <v>3445.0</v>
      </c>
      <c r="E23" s="37" t="n">
        <f>3400</f>
        <v>3400.0</v>
      </c>
      <c r="F23" s="25" t="n">
        <f>152</f>
        <v>152.0</v>
      </c>
      <c r="G23" s="37" t="n">
        <f>150</f>
        <v>150.0</v>
      </c>
      <c r="H23" s="25" t="n">
        <f>3597</f>
        <v>3597.0</v>
      </c>
      <c r="I23" s="37" t="n">
        <f>3550</f>
        <v>3550.0</v>
      </c>
      <c r="J23" s="25" t="n">
        <f>344800000</f>
        <v>3.448E8</v>
      </c>
      <c r="K23" s="37" t="n">
        <f>343225000</f>
        <v>3.43225E8</v>
      </c>
      <c r="L23" s="25" t="n">
        <f>90715000</f>
        <v>9.0715E7</v>
      </c>
      <c r="M23" s="37" t="n">
        <f>90000000</f>
        <v>9.0E7</v>
      </c>
      <c r="N23" s="25" t="n">
        <f>435515000</f>
        <v>4.35515E8</v>
      </c>
      <c r="O23" s="37" t="n">
        <f>433225000</f>
        <v>4.33225E8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25</f>
        <v>25.0</v>
      </c>
      <c r="G36" s="18" t="n">
        <f>0</f>
        <v>0.0</v>
      </c>
      <c r="H36" s="17" t="n">
        <f>25</f>
        <v>25.0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8750000</f>
        <v>8750000.0</v>
      </c>
      <c r="M36" s="18" t="n">
        <f>0</f>
        <v>0.0</v>
      </c>
      <c r="N36" s="17" t="n">
        <f>8750000</f>
        <v>8750000.0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65</f>
        <v>65.0</v>
      </c>
      <c r="E37" s="22" t="n">
        <f>45</f>
        <v>45.0</v>
      </c>
      <c r="F37" s="21" t="n">
        <f>52</f>
        <v>52.0</v>
      </c>
      <c r="G37" s="22" t="n">
        <f>15</f>
        <v>15.0</v>
      </c>
      <c r="H37" s="21" t="n">
        <f>117</f>
        <v>117.0</v>
      </c>
      <c r="I37" s="22" t="n">
        <f>60</f>
        <v>60.0</v>
      </c>
      <c r="J37" s="21" t="n">
        <f>13200000</f>
        <v>1.32E7</v>
      </c>
      <c r="K37" s="22" t="n">
        <f>9300000</f>
        <v>9300000.0</v>
      </c>
      <c r="L37" s="21" t="n">
        <f>8390000</f>
        <v>8390000.0</v>
      </c>
      <c r="M37" s="22" t="n">
        <f>2250000</f>
        <v>2250000.0</v>
      </c>
      <c r="N37" s="21" t="n">
        <f>21590000</f>
        <v>2.159E7</v>
      </c>
      <c r="O37" s="22" t="n">
        <f>11550000</f>
        <v>1.155E7</v>
      </c>
    </row>
    <row r="38" spans="1:15" ht="24.9" customHeight="1">
      <c r="A38" s="38"/>
      <c r="B38" s="62"/>
      <c r="C38" s="20" t="s">
        <v>17</v>
      </c>
      <c r="D38" s="21" t="n">
        <f>10</f>
        <v>10.0</v>
      </c>
      <c r="E38" s="36" t="n">
        <f>0</f>
        <v>0.0</v>
      </c>
      <c r="F38" s="21" t="n">
        <f>1</f>
        <v>1.0</v>
      </c>
      <c r="G38" s="36" t="n">
        <f>0</f>
        <v>0.0</v>
      </c>
      <c r="H38" s="21" t="n">
        <f>11</f>
        <v>11.0</v>
      </c>
      <c r="I38" s="36" t="n">
        <f>0</f>
        <v>0.0</v>
      </c>
      <c r="J38" s="21" t="n">
        <f>1100000</f>
        <v>1100000.0</v>
      </c>
      <c r="K38" s="36" t="n">
        <f>0</f>
        <v>0.0</v>
      </c>
      <c r="L38" s="21" t="n">
        <f>170000</f>
        <v>170000.0</v>
      </c>
      <c r="M38" s="36" t="n">
        <f>0</f>
        <v>0.0</v>
      </c>
      <c r="N38" s="21" t="n">
        <f>1270000</f>
        <v>1270000.0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75</f>
        <v>75.0</v>
      </c>
      <c r="E39" s="37" t="n">
        <f>45</f>
        <v>45.0</v>
      </c>
      <c r="F39" s="25" t="n">
        <f>78</f>
        <v>78.0</v>
      </c>
      <c r="G39" s="37" t="n">
        <f>15</f>
        <v>15.0</v>
      </c>
      <c r="H39" s="25" t="n">
        <f>153</f>
        <v>153.0</v>
      </c>
      <c r="I39" s="37" t="n">
        <f>60</f>
        <v>60.0</v>
      </c>
      <c r="J39" s="25" t="n">
        <f>14300000</f>
        <v>1.43E7</v>
      </c>
      <c r="K39" s="37" t="n">
        <f>9300000</f>
        <v>9300000.0</v>
      </c>
      <c r="L39" s="25" t="n">
        <f>17310000</f>
        <v>1.731E7</v>
      </c>
      <c r="M39" s="37" t="n">
        <f>2250000</f>
        <v>2250000.0</v>
      </c>
      <c r="N39" s="25" t="n">
        <f>31610000</f>
        <v>3.161E7</v>
      </c>
      <c r="O39" s="37" t="n">
        <f>11550000</f>
        <v>1.155E7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7649</f>
        <v>7649.0</v>
      </c>
      <c r="E41" s="36" t="n">
        <f>1400</f>
        <v>1400.0</v>
      </c>
      <c r="F41" s="21" t="n">
        <f>35193</f>
        <v>35193.0</v>
      </c>
      <c r="G41" s="36" t="n">
        <f>10000</f>
        <v>10000.0</v>
      </c>
      <c r="H41" s="21" t="n">
        <f>42842</f>
        <v>42842.0</v>
      </c>
      <c r="I41" s="36" t="n">
        <f>11400</f>
        <v>11400.0</v>
      </c>
      <c r="J41" s="21" t="n">
        <f>51045906</f>
        <v>5.1045906E7</v>
      </c>
      <c r="K41" s="36" t="n">
        <f>17780000</f>
        <v>1.778E7</v>
      </c>
      <c r="L41" s="21" t="n">
        <f>73958999</f>
        <v>7.3958999E7</v>
      </c>
      <c r="M41" s="36" t="n">
        <f>43080000</f>
        <v>4.308E7</v>
      </c>
      <c r="N41" s="21" t="n">
        <f>125004905</f>
        <v>1.25004905E8</v>
      </c>
      <c r="O41" s="36" t="n">
        <f>60860000</f>
        <v>6.086E7</v>
      </c>
    </row>
    <row r="42" spans="1:15" ht="24.9" customHeight="1">
      <c r="A42" s="38"/>
      <c r="B42" s="62"/>
      <c r="C42" s="20" t="s">
        <v>17</v>
      </c>
      <c r="D42" s="21" t="n">
        <f>9648</f>
        <v>9648.0</v>
      </c>
      <c r="E42" s="36" t="n">
        <f>7200</f>
        <v>7200.0</v>
      </c>
      <c r="F42" s="21" t="n">
        <f>6453</f>
        <v>6453.0</v>
      </c>
      <c r="G42" s="36" t="n">
        <f>4700</f>
        <v>4700.0</v>
      </c>
      <c r="H42" s="21" t="n">
        <f>16101</f>
        <v>16101.0</v>
      </c>
      <c r="I42" s="36" t="n">
        <f>11900</f>
        <v>11900.0</v>
      </c>
      <c r="J42" s="21" t="n">
        <f>191242224</f>
        <v>1.91242224E8</v>
      </c>
      <c r="K42" s="36" t="n">
        <f>127600000</f>
        <v>1.276E8</v>
      </c>
      <c r="L42" s="21" t="n">
        <f>148538177</f>
        <v>1.48538177E8</v>
      </c>
      <c r="M42" s="36" t="n">
        <f>125400000</f>
        <v>1.254E8</v>
      </c>
      <c r="N42" s="21" t="n">
        <f>339780401</f>
        <v>3.39780401E8</v>
      </c>
      <c r="O42" s="36" t="n">
        <f>253000000</f>
        <v>2.53E8</v>
      </c>
    </row>
    <row r="43" spans="1:15" ht="24.9" customHeight="1">
      <c r="A43" s="38"/>
      <c r="B43" s="62"/>
      <c r="C43" s="24" t="s">
        <v>18</v>
      </c>
      <c r="D43" s="25" t="n">
        <f>17297</f>
        <v>17297.0</v>
      </c>
      <c r="E43" s="37" t="n">
        <f>8600</f>
        <v>8600.0</v>
      </c>
      <c r="F43" s="25" t="n">
        <f>41646</f>
        <v>41646.0</v>
      </c>
      <c r="G43" s="37" t="n">
        <f>14700</f>
        <v>14700.0</v>
      </c>
      <c r="H43" s="25" t="n">
        <f>58943</f>
        <v>58943.0</v>
      </c>
      <c r="I43" s="37" t="n">
        <f>23300</f>
        <v>23300.0</v>
      </c>
      <c r="J43" s="25" t="n">
        <f>242288130</f>
        <v>2.4228813E8</v>
      </c>
      <c r="K43" s="37" t="n">
        <f>145380000</f>
        <v>1.4538E8</v>
      </c>
      <c r="L43" s="25" t="n">
        <f>222497176</f>
        <v>2.22497176E8</v>
      </c>
      <c r="M43" s="37" t="n">
        <f>168480000</f>
        <v>1.6848E8</v>
      </c>
      <c r="N43" s="25" t="n">
        <f>464785306</f>
        <v>4.64785306E8</v>
      </c>
      <c r="O43" s="37" t="n">
        <f>313860000</f>
        <v>3.1386E8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