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<sst xmlns="http://schemas.openxmlformats.org/spreadsheetml/2006/main" count="528" uniqueCount="129">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</sst>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DATE(2026,07,01)</f>
        <v>46204.0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DATE(2026,07,01)</f>
        <v>46204.0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586454.0</f>
        <v>586454.0</v>
      </c>
      <c r="E12" s="18" t="n">
        <f>27305.0</f>
        <v>27305.0</v>
      </c>
      <c r="F12" s="19" t="n">
        <f>1.0</f>
        <v>1.0</v>
      </c>
      <c r="G12" s="17" t="n">
        <f>4545910908516.0</f>
        <v>4.545910908516E12</v>
      </c>
      <c r="H12" s="18" t="n">
        <f>322369513016.0</f>
        <v>3.22369513016E11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538428.0</f>
        <v>538428.0</v>
      </c>
      <c r="E13" s="22" t="n">
        <f>24346.0</f>
        <v>24346.0</v>
      </c>
      <c r="F13" s="23" t="n">
        <f>1.0</f>
        <v>1.0</v>
      </c>
      <c r="G13" s="21" t="n">
        <f>5700160027292.0</f>
        <v>5.700160027292E12</v>
      </c>
      <c r="H13" s="22" t="n">
        <f>347002736992.0</f>
        <v>3.47002736992E11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498730.0</f>
        <v>498730.0</v>
      </c>
      <c r="E14" s="22" t="n">
        <f>40997.0</f>
        <v>40997.0</v>
      </c>
      <c r="F14" s="23" t="n">
        <f>1.0</f>
        <v>1.0</v>
      </c>
      <c r="G14" s="21" t="n">
        <f>6027867023107.0</f>
        <v>6.027867023107E12</v>
      </c>
      <c r="H14" s="22" t="n">
        <f>1104359960432.0</f>
        <v>1.104359960432E12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1623612.0</f>
        <v>1623612.0</v>
      </c>
      <c r="E15" s="26" t="n">
        <f>92648.0</f>
        <v>92648.0</v>
      </c>
      <c r="F15" s="27" t="n">
        <f>1.0</f>
        <v>1.0</v>
      </c>
      <c r="G15" s="25" t="n">
        <f>16273937958915.0</f>
        <v>1.6273937958915E13</v>
      </c>
      <c r="H15" s="26" t="n">
        <f>1773732210440.0</f>
        <v>1.77373221044E12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12156.0</f>
        <v>12156.0</v>
      </c>
      <c r="E16" s="18" t="n">
        <f>813.0</f>
        <v>813.0</v>
      </c>
      <c r="F16" s="19" t="n">
        <f>0.021</f>
        <v>0.021</v>
      </c>
      <c r="G16" s="17" t="n">
        <f>1460306436250.0</f>
        <v>1.46030643625E12</v>
      </c>
      <c r="H16" s="18" t="n">
        <f>103919830000.0</f>
        <v>1.0391983E11</v>
      </c>
      <c r="I16" s="19" t="n">
        <f>0.321</f>
        <v>0.321</v>
      </c>
    </row>
    <row r="17" spans="1:9" ht="24.9" customHeight="1">
      <c r="A17" s="41"/>
      <c r="B17" s="39"/>
      <c r="C17" s="20" t="s">
        <v>16</v>
      </c>
      <c r="D17" s="21" t="n">
        <f>24223.0</f>
        <v>24223.0</v>
      </c>
      <c r="E17" s="22" t="n">
        <f>1002.0</f>
        <v>1002.0</v>
      </c>
      <c r="F17" s="23" t="n">
        <f>0.045</f>
        <v>0.045</v>
      </c>
      <c r="G17" s="21" t="n">
        <f>2313367907500.0</f>
        <v>2.3133679075E12</v>
      </c>
      <c r="H17" s="22" t="n">
        <f>127796435000.0</f>
        <v>1.27796435E11</v>
      </c>
      <c r="I17" s="23" t="n">
        <f>0.406</f>
        <v>0.406</v>
      </c>
    </row>
    <row r="18" spans="1:9" ht="24.9" customHeight="1">
      <c r="A18" s="41"/>
      <c r="B18" s="39"/>
      <c r="C18" s="20" t="s">
        <v>17</v>
      </c>
      <c r="D18" s="21" t="n">
        <f>20703.0</f>
        <v>20703.0</v>
      </c>
      <c r="E18" s="22" t="n">
        <f>2245.0</f>
        <v>2245.0</v>
      </c>
      <c r="F18" s="23" t="n">
        <f>0.042</f>
        <v>0.042</v>
      </c>
      <c r="G18" s="21" t="n">
        <f>1978697713125.0</f>
        <v>1.978697713125E12</v>
      </c>
      <c r="H18" s="22" t="n">
        <f>284338862000.0</f>
        <v>2.84338862E11</v>
      </c>
      <c r="I18" s="23" t="n">
        <f>0.328</f>
        <v>0.328</v>
      </c>
    </row>
    <row r="19" spans="1:9" ht="24.9" customHeight="1">
      <c r="A19" s="41"/>
      <c r="B19" s="39"/>
      <c r="C19" s="24" t="s">
        <v>18</v>
      </c>
      <c r="D19" s="25" t="n">
        <f>57082.0</f>
        <v>57082.0</v>
      </c>
      <c r="E19" s="26" t="n">
        <f>4060.0</f>
        <v>4060.0</v>
      </c>
      <c r="F19" s="27" t="n">
        <f>0.035</f>
        <v>0.035</v>
      </c>
      <c r="G19" s="25" t="n">
        <f>5752372056875.0</f>
        <v>5.752372056875E12</v>
      </c>
      <c r="H19" s="26" t="n">
        <f>516055127000.0</f>
        <v>5.16055127E11</v>
      </c>
      <c r="I19" s="27" t="n">
        <f>0.353</f>
        <v>0.353</v>
      </c>
    </row>
    <row r="20" spans="1:9" ht="24.9" customHeight="1">
      <c r="A20" s="41"/>
      <c r="B20" s="39" t="s">
        <v>21</v>
      </c>
      <c r="C20" s="16" t="s">
        <v>15</v>
      </c>
      <c r="D20" s="17" t="n">
        <f>561670.0</f>
        <v>561670.0</v>
      </c>
      <c r="E20" s="18" t="n">
        <f>26492.0</f>
        <v>26492.0</v>
      </c>
      <c r="F20" s="19" t="n">
        <f>0.958</f>
        <v>0.958</v>
      </c>
      <c r="G20" s="17" t="n">
        <f>2960843361666.0</f>
        <v>2.960843361666E12</v>
      </c>
      <c r="H20" s="18" t="n">
        <f>218449683016.0</f>
        <v>2.18449683016E11</v>
      </c>
      <c r="I20" s="19" t="n">
        <f>0.651</f>
        <v>0.651</v>
      </c>
    </row>
    <row r="21" spans="1:9" ht="24.9" customHeight="1">
      <c r="A21" s="41"/>
      <c r="B21" s="39"/>
      <c r="C21" s="20" t="s">
        <v>16</v>
      </c>
      <c r="D21" s="21" t="n">
        <f>507639.0</f>
        <v>507639.0</v>
      </c>
      <c r="E21" s="22" t="n">
        <f>23344.0</f>
        <v>23344.0</v>
      </c>
      <c r="F21" s="23" t="n">
        <f>0.943</f>
        <v>0.943</v>
      </c>
      <c r="G21" s="21" t="n">
        <f>3329559995792.0</f>
        <v>3.329559995792E12</v>
      </c>
      <c r="H21" s="22" t="n">
        <f>219206301992.0</f>
        <v>2.19206301992E11</v>
      </c>
      <c r="I21" s="23" t="n">
        <f>0.584</f>
        <v>0.584</v>
      </c>
    </row>
    <row r="22" spans="1:9" ht="24.9" customHeight="1">
      <c r="A22" s="41"/>
      <c r="B22" s="39"/>
      <c r="C22" s="20" t="s">
        <v>17</v>
      </c>
      <c r="D22" s="21" t="n">
        <f>469560.0</f>
        <v>469560.0</v>
      </c>
      <c r="E22" s="22" t="n">
        <f>38424.0</f>
        <v>38424.0</v>
      </c>
      <c r="F22" s="23" t="n">
        <f>0.942</f>
        <v>0.942</v>
      </c>
      <c r="G22" s="21" t="n">
        <f>3989114947632.0</f>
        <v>3.989114947632E12</v>
      </c>
      <c r="H22" s="22" t="n">
        <f>818822897632.0</f>
        <v>8.18822897632E11</v>
      </c>
      <c r="I22" s="23" t="n">
        <f>0.662</f>
        <v>0.662</v>
      </c>
    </row>
    <row r="23" spans="1:9" ht="24.9" customHeight="1">
      <c r="A23" s="41"/>
      <c r="B23" s="39"/>
      <c r="C23" s="24" t="s">
        <v>18</v>
      </c>
      <c r="D23" s="25" t="n">
        <f>1538869.0</f>
        <v>1538869.0</v>
      </c>
      <c r="E23" s="26" t="n">
        <f>88260.0</f>
        <v>88260.0</v>
      </c>
      <c r="F23" s="27" t="n">
        <f>0.948</f>
        <v>0.948</v>
      </c>
      <c r="G23" s="25" t="n">
        <f>10279518305090.0</f>
        <v>1.027951830509E13</v>
      </c>
      <c r="H23" s="26" t="n">
        <f>1256478882640.0</f>
        <v>1.25647888264E12</v>
      </c>
      <c r="I23" s="27" t="n">
        <f>0.632</f>
        <v>0.632</v>
      </c>
    </row>
    <row r="24" spans="1:9" ht="24.9" customHeight="1">
      <c r="A24" s="41"/>
      <c r="B24" s="39" t="s">
        <v>22</v>
      </c>
      <c r="C24" s="16" t="s">
        <v>15</v>
      </c>
      <c r="D24" s="17" t="n">
        <f>12339.0</f>
        <v>12339.0</v>
      </c>
      <c r="E24" s="18" t="n">
        <f>0.0</f>
        <v>0.0</v>
      </c>
      <c r="F24" s="19" t="n">
        <f>0.021</f>
        <v>0.021</v>
      </c>
      <c r="G24" s="17" t="n">
        <f>123737987100.0</f>
        <v>1.237379871E11</v>
      </c>
      <c r="H24" s="18" t="n">
        <f>0.0</f>
        <v>0.0</v>
      </c>
      <c r="I24" s="19" t="n">
        <f>0.027</f>
        <v>0.027</v>
      </c>
    </row>
    <row r="25" spans="1:9" ht="24.9" customHeight="1">
      <c r="A25" s="41"/>
      <c r="B25" s="39"/>
      <c r="C25" s="20" t="s">
        <v>16</v>
      </c>
      <c r="D25" s="21" t="n">
        <f>6415.0</f>
        <v>6415.0</v>
      </c>
      <c r="E25" s="22" t="n">
        <f>0.0</f>
        <v>0.0</v>
      </c>
      <c r="F25" s="23" t="n">
        <f>0.012</f>
        <v>0.012</v>
      </c>
      <c r="G25" s="21" t="n">
        <f>56697443000.0</f>
        <v>5.6697443E10</v>
      </c>
      <c r="H25" s="22" t="n">
        <f>0.0</f>
        <v>0.0</v>
      </c>
      <c r="I25" s="23" t="n">
        <f>0.01</f>
        <v>0.01</v>
      </c>
    </row>
    <row r="26" spans="1:9" ht="24.9" customHeight="1">
      <c r="A26" s="41"/>
      <c r="B26" s="39"/>
      <c r="C26" s="20" t="s">
        <v>17</v>
      </c>
      <c r="D26" s="21" t="n">
        <f>7700.0</f>
        <v>7700.0</v>
      </c>
      <c r="E26" s="22" t="n">
        <f>308.0</f>
        <v>308.0</v>
      </c>
      <c r="F26" s="23" t="n">
        <f>0.015</f>
        <v>0.015</v>
      </c>
      <c r="G26" s="21" t="n">
        <f>57390129050.0</f>
        <v>5.739012905E10</v>
      </c>
      <c r="H26" s="22" t="n">
        <f>1172384000.0</f>
        <v>1.172384E9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26454.0</f>
        <v>26454.0</v>
      </c>
      <c r="E27" s="26" t="n">
        <f>308.0</f>
        <v>308.0</v>
      </c>
      <c r="F27" s="27" t="n">
        <f>0.016</f>
        <v>0.016</v>
      </c>
      <c r="G27" s="25" t="n">
        <f>237825559150.0</f>
        <v>2.3782555915E11</v>
      </c>
      <c r="H27" s="26" t="n">
        <f>1172384000.0</f>
        <v>1.172384E9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289.0</f>
        <v>289.0</v>
      </c>
      <c r="E28" s="18" t="n">
        <f>0.0</f>
        <v>0.0</v>
      </c>
      <c r="F28" s="19" t="n">
        <f>0.0</f>
        <v>0.0</v>
      </c>
      <c r="G28" s="17" t="n">
        <f>1023123500.0</f>
        <v>1.0231235E9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151.0</f>
        <v>151.0</v>
      </c>
      <c r="E29" s="22" t="n">
        <f>0.0</f>
        <v>0.0</v>
      </c>
      <c r="F29" s="23" t="n">
        <f>0.0</f>
        <v>0.0</v>
      </c>
      <c r="G29" s="21" t="n">
        <f>534681000.0</f>
        <v>5.34681E8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767.0</f>
        <v>767.0</v>
      </c>
      <c r="E30" s="22" t="n">
        <f>20.0</f>
        <v>20.0</v>
      </c>
      <c r="F30" s="23" t="n">
        <f>0.002</f>
        <v>0.002</v>
      </c>
      <c r="G30" s="21" t="n">
        <f>2664233300.0</f>
        <v>2.6642333E9</v>
      </c>
      <c r="H30" s="22" t="n">
        <f>25816800.0</f>
        <v>2.58168E7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1207.0</f>
        <v>1207.0</v>
      </c>
      <c r="E31" s="26" t="n">
        <f>20.0</f>
        <v>20.0</v>
      </c>
      <c r="F31" s="27" t="n">
        <f>0.001</f>
        <v>0.001</v>
      </c>
      <c r="G31" s="25" t="n">
        <f>4222037800.0</f>
        <v>4.2220378E9</v>
      </c>
      <c r="H31" s="26" t="n">
        <f>25816800.0</f>
        <v>2.58168E7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46204.0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46204.0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21897</f>
        <v>21897.0</v>
      </c>
      <c r="E11" s="18" t="n">
        <f>4357</f>
        <v>4357.0</v>
      </c>
      <c r="F11" s="19" t="n">
        <f>1</f>
        <v>1.0</v>
      </c>
      <c r="G11" s="17" t="n">
        <f>3335008240</f>
        <v>3.33500824E9</v>
      </c>
      <c r="H11" s="18" t="n">
        <f>1743010240</f>
        <v>1.74301024E9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59199</f>
        <v>59199.0</v>
      </c>
      <c r="E12" s="22" t="n">
        <f>10348</f>
        <v>10348.0</v>
      </c>
      <c r="F12" s="23" t="n">
        <f>1</f>
        <v>1.0</v>
      </c>
      <c r="G12" s="21" t="n">
        <f>13489913408</f>
        <v>1.3489913408E10</v>
      </c>
      <c r="H12" s="22" t="n">
        <f>10421789720</f>
        <v>1.042178972E10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42348</f>
        <v>42348.0</v>
      </c>
      <c r="E13" s="22" t="n">
        <f>19801</f>
        <v>19801.0</v>
      </c>
      <c r="F13" s="23" t="n">
        <f>1</f>
        <v>1.0</v>
      </c>
      <c r="G13" s="21" t="n">
        <f>17697098352</f>
        <v>1.7697098352E10</v>
      </c>
      <c r="H13" s="22" t="n">
        <f>15111951600</f>
        <v>1.51119516E10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123444</f>
        <v>123444.0</v>
      </c>
      <c r="E14" s="26" t="n">
        <f>34506</f>
        <v>34506.0</v>
      </c>
      <c r="F14" s="27" t="n">
        <f>1</f>
        <v>1.0</v>
      </c>
      <c r="G14" s="25" t="n">
        <f>34522020000</f>
        <v>3.452202E10</v>
      </c>
      <c r="H14" s="26" t="n">
        <f>27276751560</f>
        <v>2.727675156E10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25</f>
        <v>25.0</v>
      </c>
      <c r="E16" s="22" t="n">
        <f>0</f>
        <v>0.0</v>
      </c>
      <c r="F16" s="23" t="n">
        <f>0</f>
        <v>0.0</v>
      </c>
      <c r="G16" s="21" t="n">
        <f>7340000</f>
        <v>7340000.0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274</f>
        <v>274.0</v>
      </c>
      <c r="E17" s="22" t="n">
        <f>215</f>
        <v>215.0</v>
      </c>
      <c r="F17" s="23" t="n">
        <f>0.006</f>
        <v>0.006</v>
      </c>
      <c r="G17" s="21" t="n">
        <f>82860000</f>
        <v>8.286E7</v>
      </c>
      <c r="H17" s="22" t="n">
        <f>68450000</f>
        <v>6.845E7</v>
      </c>
      <c r="I17" s="23" t="n">
        <f>0.005</f>
        <v>0.005</v>
      </c>
    </row>
    <row r="18" spans="1:9" ht="24.9" customHeight="1">
      <c r="A18" s="41"/>
      <c r="B18" s="39"/>
      <c r="C18" s="24" t="s">
        <v>18</v>
      </c>
      <c r="D18" s="25" t="n">
        <f>299</f>
        <v>299.0</v>
      </c>
      <c r="E18" s="26" t="n">
        <f>215</f>
        <v>215.0</v>
      </c>
      <c r="F18" s="27" t="n">
        <f>0.002</f>
        <v>0.002</v>
      </c>
      <c r="G18" s="25" t="n">
        <f>90200000</f>
        <v>9.02E7</v>
      </c>
      <c r="H18" s="26" t="n">
        <f>68450000</f>
        <v>6.845E7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21897</f>
        <v>21897.0</v>
      </c>
      <c r="E19" s="18" t="n">
        <f>4357</f>
        <v>4357.0</v>
      </c>
      <c r="F19" s="19" t="n">
        <f>1</f>
        <v>1.0</v>
      </c>
      <c r="G19" s="17" t="n">
        <f>3335008240</f>
        <v>3.33500824E9</v>
      </c>
      <c r="H19" s="18" t="n">
        <f>1743010240</f>
        <v>1.74301024E9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36946</f>
        <v>36946.0</v>
      </c>
      <c r="E20" s="22" t="n">
        <f>10348</f>
        <v>10348.0</v>
      </c>
      <c r="F20" s="23" t="n">
        <f>0.624</f>
        <v>0.624</v>
      </c>
      <c r="G20" s="21" t="n">
        <f>13455234520</f>
        <v>1.345523452E10</v>
      </c>
      <c r="H20" s="22" t="n">
        <f>10421789720</f>
        <v>1.042178972E10</v>
      </c>
      <c r="I20" s="23" t="n">
        <f>0.997</f>
        <v>0.997</v>
      </c>
    </row>
    <row r="21" spans="1:9" ht="24.9" customHeight="1">
      <c r="A21" s="41"/>
      <c r="B21" s="39"/>
      <c r="C21" s="20" t="s">
        <v>17</v>
      </c>
      <c r="D21" s="21" t="n">
        <f>40468</f>
        <v>40468.0</v>
      </c>
      <c r="E21" s="22" t="n">
        <f>19586</f>
        <v>19586.0</v>
      </c>
      <c r="F21" s="23" t="n">
        <f>0.956</f>
        <v>0.956</v>
      </c>
      <c r="G21" s="21" t="n">
        <f>17607330600</f>
        <v>1.76073306E10</v>
      </c>
      <c r="H21" s="22" t="n">
        <f>15043501600</f>
        <v>1.50435016E10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99311</f>
        <v>99311.0</v>
      </c>
      <c r="E22" s="26" t="n">
        <f>34291</f>
        <v>34291.0</v>
      </c>
      <c r="F22" s="27" t="n">
        <f>0.805</f>
        <v>0.805</v>
      </c>
      <c r="G22" s="25" t="n">
        <f>34397573360</f>
        <v>3.439757336E10</v>
      </c>
      <c r="H22" s="26" t="n">
        <f>27208301560</f>
        <v>2.720830156E10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22228</f>
        <v>22228.0</v>
      </c>
      <c r="E24" s="22" t="n">
        <f>0</f>
        <v>0.0</v>
      </c>
      <c r="F24" s="23" t="n">
        <f>0.375</f>
        <v>0.375</v>
      </c>
      <c r="G24" s="21" t="n">
        <f>27338888</f>
        <v>2.7338888E7</v>
      </c>
      <c r="H24" s="22" t="n">
        <f>0</f>
        <v>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1606</f>
        <v>1606.0</v>
      </c>
      <c r="E25" s="22" t="n">
        <f>0</f>
        <v>0.0</v>
      </c>
      <c r="F25" s="23" t="n">
        <f>0.038</f>
        <v>0.038</v>
      </c>
      <c r="G25" s="21" t="n">
        <f>6907752</f>
        <v>6907752.0</v>
      </c>
      <c r="H25" s="22" t="n">
        <f>0</f>
        <v>0.0</v>
      </c>
      <c r="I25" s="23" t="n">
        <f>0</f>
        <v>0.0</v>
      </c>
    </row>
    <row r="26" spans="1:9" ht="24.9" customHeight="1">
      <c r="A26" s="41"/>
      <c r="B26" s="39"/>
      <c r="C26" s="24" t="s">
        <v>18</v>
      </c>
      <c r="D26" s="25" t="n">
        <f>23834</f>
        <v>23834.0</v>
      </c>
      <c r="E26" s="26" t="n">
        <f>0</f>
        <v>0.0</v>
      </c>
      <c r="F26" s="27" t="n">
        <f>0.193</f>
        <v>0.193</v>
      </c>
      <c r="G26" s="25" t="n">
        <f>34246640</f>
        <v>3.424664E7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46204.0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46204.0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8200.0</v>
      </c>
      <c r="F12" s="18" t="n">
        <f>482</f>
        <v>482.0</v>
      </c>
      <c r="G12" s="17" t="n">
        <v>5.798646319E11</v>
      </c>
      <c r="H12" s="18" t="n">
        <f>34092569900</f>
        <v>3.40925699E10</v>
      </c>
    </row>
    <row r="13" spans="1:8" ht="24.9" customHeight="1">
      <c r="A13" s="51"/>
      <c r="B13" s="57"/>
      <c r="C13" s="39"/>
      <c r="D13" s="20" t="s">
        <v>16</v>
      </c>
      <c r="E13" s="21" t="n">
        <v>12434.0</v>
      </c>
      <c r="F13" s="22" t="n">
        <f>782</f>
        <v>782.0</v>
      </c>
      <c r="G13" s="21" t="n">
        <v>8.87892951692E11</v>
      </c>
      <c r="H13" s="22" t="n">
        <f>55946285692</f>
        <v>5.5946285692E10</v>
      </c>
    </row>
    <row r="14" spans="1:8" ht="24.9" customHeight="1">
      <c r="A14" s="51"/>
      <c r="B14" s="57"/>
      <c r="C14" s="39"/>
      <c r="D14" s="20" t="s">
        <v>17</v>
      </c>
      <c r="E14" s="21" t="n">
        <v>15994.0</v>
      </c>
      <c r="F14" s="22" t="n">
        <f>3604</f>
        <v>3604.0</v>
      </c>
      <c r="G14" s="21" t="n">
        <v>1.129710272138E12</v>
      </c>
      <c r="H14" s="22" t="n">
        <f>254711492138</f>
        <v>2.54711492138E11</v>
      </c>
    </row>
    <row r="15" spans="1:8" ht="24.9" customHeight="1">
      <c r="A15" s="51"/>
      <c r="B15" s="57"/>
      <c r="C15" s="39"/>
      <c r="D15" s="24" t="s">
        <v>18</v>
      </c>
      <c r="E15" s="25" t="n">
        <v>36628.0</v>
      </c>
      <c r="F15" s="26" t="n">
        <f>4868</f>
        <v>4868.0</v>
      </c>
      <c r="G15" s="25" t="n">
        <v>2.59746785573E12</v>
      </c>
      <c r="H15" s="26" t="n">
        <f>344750347730</f>
        <v>3.4475034773E11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203462.0</v>
      </c>
      <c r="F16" s="18" t="n">
        <f>25562</f>
        <v>25562.0</v>
      </c>
      <c r="G16" s="17" t="n">
        <v>1.437022985576E12</v>
      </c>
      <c r="H16" s="18" t="n">
        <f>180303071576</f>
        <v>1.80303071576E11</v>
      </c>
    </row>
    <row r="17" spans="1:8" ht="24.9" customHeight="1">
      <c r="A17" s="51"/>
      <c r="B17" s="57"/>
      <c r="C17" s="39"/>
      <c r="D17" s="20" t="s">
        <v>16</v>
      </c>
      <c r="E17" s="21" t="n">
        <v>221098.0</v>
      </c>
      <c r="F17" s="22" t="n">
        <f>22186</f>
        <v>22186.0</v>
      </c>
      <c r="G17" s="21" t="n">
        <v>1.57771281685E12</v>
      </c>
      <c r="H17" s="22" t="n">
        <f>158225930850</f>
        <v>1.5822593085E11</v>
      </c>
    </row>
    <row r="18" spans="1:8" ht="24.9" customHeight="1">
      <c r="A18" s="51"/>
      <c r="B18" s="57"/>
      <c r="C18" s="39"/>
      <c r="D18" s="20" t="s">
        <v>17</v>
      </c>
      <c r="E18" s="21" t="n">
        <v>193413.0</v>
      </c>
      <c r="F18" s="22" t="n">
        <f>22123</f>
        <v>22123.0</v>
      </c>
      <c r="G18" s="21" t="n">
        <v>1.36564635657E12</v>
      </c>
      <c r="H18" s="22" t="n">
        <f>156121222070</f>
        <v>1.5612122207E11</v>
      </c>
    </row>
    <row r="19" spans="1:8" ht="24.9" customHeight="1">
      <c r="A19" s="51"/>
      <c r="B19" s="57"/>
      <c r="C19" s="39"/>
      <c r="D19" s="24" t="s">
        <v>18</v>
      </c>
      <c r="E19" s="25" t="n">
        <v>617973.0</v>
      </c>
      <c r="F19" s="26" t="n">
        <f>69871</f>
        <v>69871.0</v>
      </c>
      <c r="G19" s="25" t="n">
        <v>4.380382158996E12</v>
      </c>
      <c r="H19" s="26" t="n">
        <f>494650224496</f>
        <v>4.94650224496E11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327094.0</v>
      </c>
      <c r="F20" s="18" t="str">
        <f>"－"</f>
        <v>－</v>
      </c>
      <c r="G20" s="17" t="n">
        <v>2.309030777E11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248456.0</v>
      </c>
      <c r="F21" s="22" t="str">
        <f>"－"</f>
        <v>－</v>
      </c>
      <c r="G21" s="21" t="n">
        <v>1.7729996375E11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215751.0</v>
      </c>
      <c r="F22" s="22" t="str">
        <f>"－"</f>
        <v>－</v>
      </c>
      <c r="G22" s="21" t="n">
        <v>1.5234538685E11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791301.0</v>
      </c>
      <c r="F23" s="26" t="str">
        <f>"－"</f>
        <v>－</v>
      </c>
      <c r="G23" s="25" t="n">
        <v>5.605484283E11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17268.0</v>
      </c>
      <c r="F24" s="18" t="n">
        <f>66</f>
        <v>66.0</v>
      </c>
      <c r="G24" s="17" t="n">
        <v>6.928267016E11</v>
      </c>
      <c r="H24" s="18" t="n">
        <f>2644616600</f>
        <v>2.6446166E9</v>
      </c>
    </row>
    <row r="25" spans="1:8" ht="24.9" customHeight="1">
      <c r="A25" s="51"/>
      <c r="B25" s="57"/>
      <c r="C25" s="39"/>
      <c r="D25" s="20" t="s">
        <v>16</v>
      </c>
      <c r="E25" s="21" t="n">
        <v>16160.0</v>
      </c>
      <c r="F25" s="22" t="n">
        <f>101</f>
        <v>101.0</v>
      </c>
      <c r="G25" s="21" t="n">
        <v>6.529175015E11</v>
      </c>
      <c r="H25" s="22" t="n">
        <f>4084536500</f>
        <v>4.0845365E9</v>
      </c>
    </row>
    <row r="26" spans="1:8" ht="24.9" customHeight="1">
      <c r="A26" s="51"/>
      <c r="B26" s="57"/>
      <c r="C26" s="39"/>
      <c r="D26" s="20" t="s">
        <v>17</v>
      </c>
      <c r="E26" s="21" t="n">
        <v>32153.0</v>
      </c>
      <c r="F26" s="22" t="n">
        <f>9764</f>
        <v>9764.0</v>
      </c>
      <c r="G26" s="21" t="n">
        <v>1.2920015726E12</v>
      </c>
      <c r="H26" s="22" t="n">
        <f>392547542600</f>
        <v>3.925475426E11</v>
      </c>
    </row>
    <row r="27" spans="1:8" ht="24.9" customHeight="1">
      <c r="A27" s="51"/>
      <c r="B27" s="57"/>
      <c r="C27" s="39"/>
      <c r="D27" s="24" t="s">
        <v>18</v>
      </c>
      <c r="E27" s="25" t="n">
        <v>65581.0</v>
      </c>
      <c r="F27" s="26" t="n">
        <f>9931</f>
        <v>9931.0</v>
      </c>
      <c r="G27" s="25" t="n">
        <v>2.6377457757E12</v>
      </c>
      <c r="H27" s="26" t="n">
        <f>399276695700</f>
        <v>3.992766957E11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4469.0</v>
      </c>
      <c r="F28" s="18" t="n">
        <f>330</f>
        <v>330.0</v>
      </c>
      <c r="G28" s="17" t="n">
        <v>1.791479418E10</v>
      </c>
      <c r="H28" s="18" t="n">
        <f>1322583430</f>
        <v>1.32258343E9</v>
      </c>
    </row>
    <row r="29" spans="1:8" ht="24.9" customHeight="1">
      <c r="A29" s="51"/>
      <c r="B29" s="57"/>
      <c r="C29" s="39"/>
      <c r="D29" s="20" t="s">
        <v>16</v>
      </c>
      <c r="E29" s="21" t="n">
        <v>7322.0</v>
      </c>
      <c r="F29" s="22" t="n">
        <f>227</f>
        <v>227.0</v>
      </c>
      <c r="G29" s="21" t="n">
        <v>2.95835181E10</v>
      </c>
      <c r="H29" s="22" t="n">
        <f>916374850</f>
        <v>9.1637485E8</v>
      </c>
    </row>
    <row r="30" spans="1:8" ht="24.9" customHeight="1">
      <c r="A30" s="51"/>
      <c r="B30" s="57"/>
      <c r="C30" s="39"/>
      <c r="D30" s="20" t="s">
        <v>17</v>
      </c>
      <c r="E30" s="21" t="n">
        <v>8076.0</v>
      </c>
      <c r="F30" s="22" t="n">
        <f>413</f>
        <v>413.0</v>
      </c>
      <c r="G30" s="21" t="n">
        <v>3.243956025E10</v>
      </c>
      <c r="H30" s="22" t="n">
        <f>1659903500</f>
        <v>1.6599035E9</v>
      </c>
    </row>
    <row r="31" spans="1:8" ht="24.9" customHeight="1">
      <c r="A31" s="51"/>
      <c r="B31" s="57"/>
      <c r="C31" s="39"/>
      <c r="D31" s="24" t="s">
        <v>18</v>
      </c>
      <c r="E31" s="25" t="n">
        <v>19867.0</v>
      </c>
      <c r="F31" s="26" t="n">
        <f>970</f>
        <v>970.0</v>
      </c>
      <c r="G31" s="25" t="n">
        <v>7.993787253E10</v>
      </c>
      <c r="H31" s="26" t="n">
        <f>3898861780</f>
        <v>3.89886178E9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262.0</v>
      </c>
      <c r="F36" s="18" t="n">
        <f>3</f>
        <v>3.0</v>
      </c>
      <c r="G36" s="17" t="n">
        <v>9.5560101E8</v>
      </c>
      <c r="H36" s="18" t="n">
        <f>10954010</f>
        <v>1.095401E7</v>
      </c>
    </row>
    <row r="37" spans="1:8" ht="24.9" customHeight="1">
      <c r="A37" s="51"/>
      <c r="B37" s="57"/>
      <c r="C37" s="39"/>
      <c r="D37" s="20" t="s">
        <v>16</v>
      </c>
      <c r="E37" s="21" t="n">
        <v>800.0</v>
      </c>
      <c r="F37" s="22" t="n">
        <f>0</f>
        <v>0.0</v>
      </c>
      <c r="G37" s="21" t="n">
        <v>2.936871E9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1511.0</v>
      </c>
      <c r="F38" s="22" t="n">
        <f>1007</f>
        <v>1007.0</v>
      </c>
      <c r="G38" s="21" t="n">
        <v>5.519397904E9</v>
      </c>
      <c r="H38" s="22" t="n">
        <f>3679723904</f>
        <v>3.679723904E9</v>
      </c>
    </row>
    <row r="39" spans="1:8" ht="24.9" customHeight="1">
      <c r="A39" s="51"/>
      <c r="B39" s="57"/>
      <c r="C39" s="39"/>
      <c r="D39" s="24" t="s">
        <v>18</v>
      </c>
      <c r="E39" s="25" t="n">
        <v>2573.0</v>
      </c>
      <c r="F39" s="26" t="n">
        <f>1010</f>
        <v>1010.0</v>
      </c>
      <c r="G39" s="25" t="n">
        <v>9.411869914E9</v>
      </c>
      <c r="H39" s="26" t="n">
        <f>3690677914</f>
        <v>3.690677914E9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1461.0</v>
      </c>
      <c r="F46" s="22" t="n">
        <f>1461</f>
        <v>1461.0</v>
      </c>
      <c r="G46" s="21" t="n">
        <v>1.00191297E10</v>
      </c>
      <c r="H46" s="22" t="n">
        <f>10019129700</f>
        <v>1.00191297E10</v>
      </c>
    </row>
    <row r="47" spans="1:8" ht="24.9" customHeight="1">
      <c r="A47" s="51"/>
      <c r="B47" s="57"/>
      <c r="C47" s="39"/>
      <c r="D47" s="24" t="s">
        <v>18</v>
      </c>
      <c r="E47" s="25" t="n">
        <v>1461.0</v>
      </c>
      <c r="F47" s="26" t="n">
        <f>1461</f>
        <v>1461.0</v>
      </c>
      <c r="G47" s="25" t="n">
        <v>1.00191297E10</v>
      </c>
      <c r="H47" s="26" t="n">
        <f>10019129700</f>
        <v>1.00191297E10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34.0</v>
      </c>
      <c r="F48" s="18" t="n">
        <f>34</f>
        <v>34.0</v>
      </c>
      <c r="G48" s="17" t="n">
        <v>6.08848E7</v>
      </c>
      <c r="H48" s="18" t="n">
        <f>60884800</f>
        <v>6.08848E7</v>
      </c>
    </row>
    <row r="49" spans="1:8" ht="24.9" customHeight="1">
      <c r="A49" s="51"/>
      <c r="B49" s="57"/>
      <c r="C49" s="39"/>
      <c r="D49" s="20" t="s">
        <v>16</v>
      </c>
      <c r="E49" s="21" t="n">
        <v>158.0</v>
      </c>
      <c r="F49" s="22" t="n">
        <f>0</f>
        <v>0.0</v>
      </c>
      <c r="G49" s="21" t="n">
        <v>2.816445E8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261.0</v>
      </c>
      <c r="F50" s="22" t="n">
        <f>36</f>
        <v>36.0</v>
      </c>
      <c r="G50" s="21" t="n">
        <v>4.6371272E8</v>
      </c>
      <c r="H50" s="22" t="n">
        <f>63664220</f>
        <v>6.366422E7</v>
      </c>
    </row>
    <row r="51" spans="1:8" ht="24.9" customHeight="1">
      <c r="A51" s="51"/>
      <c r="B51" s="57"/>
      <c r="C51" s="39"/>
      <c r="D51" s="24" t="s">
        <v>18</v>
      </c>
      <c r="E51" s="25" t="n">
        <v>453.0</v>
      </c>
      <c r="F51" s="26" t="n">
        <f>70</f>
        <v>70.0</v>
      </c>
      <c r="G51" s="25" t="n">
        <v>8.0624202E8</v>
      </c>
      <c r="H51" s="26" t="n">
        <f>124549020</f>
        <v>1.2454902E8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482.0</v>
      </c>
      <c r="F56" s="18" t="n">
        <f>14</f>
        <v>14.0</v>
      </c>
      <c r="G56" s="17" t="n">
        <v>3.35035E8</v>
      </c>
      <c r="H56" s="18" t="n">
        <f>9741000</f>
        <v>9741000.0</v>
      </c>
    </row>
    <row r="57" spans="1:8" ht="24.9" customHeight="1">
      <c r="A57" s="51"/>
      <c r="B57" s="57"/>
      <c r="C57" s="39"/>
      <c r="D57" s="20" t="s">
        <v>16</v>
      </c>
      <c r="E57" s="21" t="n">
        <v>1153.0</v>
      </c>
      <c r="F57" s="22" t="n">
        <f>48</f>
        <v>48.0</v>
      </c>
      <c r="G57" s="21" t="n">
        <v>7.972781E8</v>
      </c>
      <c r="H57" s="22" t="n">
        <f>33174100</f>
        <v>3.31741E7</v>
      </c>
    </row>
    <row r="58" spans="1:8" ht="24.9" customHeight="1">
      <c r="A58" s="51"/>
      <c r="B58" s="57"/>
      <c r="C58" s="39"/>
      <c r="D58" s="20" t="s">
        <v>17</v>
      </c>
      <c r="E58" s="21" t="n">
        <v>604.0</v>
      </c>
      <c r="F58" s="22" t="n">
        <f>14</f>
        <v>14.0</v>
      </c>
      <c r="G58" s="21" t="n">
        <v>4.167972E8</v>
      </c>
      <c r="H58" s="22" t="n">
        <f>9717200</f>
        <v>9717200.0</v>
      </c>
    </row>
    <row r="59" spans="1:8" ht="24.9" customHeight="1">
      <c r="A59" s="51"/>
      <c r="B59" s="57"/>
      <c r="C59" s="39"/>
      <c r="D59" s="24" t="s">
        <v>18</v>
      </c>
      <c r="E59" s="25" t="n">
        <v>2239.0</v>
      </c>
      <c r="F59" s="26" t="n">
        <f>76</f>
        <v>76.0</v>
      </c>
      <c r="G59" s="25" t="n">
        <v>1.5491103E9</v>
      </c>
      <c r="H59" s="26" t="n">
        <f>52632300</f>
        <v>5.26323E7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87.0</v>
      </c>
      <c r="F60" s="18" t="n">
        <f>1</f>
        <v>1.0</v>
      </c>
      <c r="G60" s="17" t="n">
        <v>4.578053E8</v>
      </c>
      <c r="H60" s="18" t="n">
        <f>5261700</f>
        <v>5261700.0</v>
      </c>
    </row>
    <row r="61" spans="1:8" ht="24.9" customHeight="1">
      <c r="A61" s="51"/>
      <c r="B61" s="57"/>
      <c r="C61" s="39"/>
      <c r="D61" s="20" t="s">
        <v>16</v>
      </c>
      <c r="E61" s="21" t="n">
        <v>12.0</v>
      </c>
      <c r="F61" s="22" t="n">
        <f>0</f>
        <v>0.0</v>
      </c>
      <c r="G61" s="21" t="n">
        <v>6.30874E7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6.0</v>
      </c>
      <c r="F62" s="22" t="n">
        <f>2</f>
        <v>2.0</v>
      </c>
      <c r="G62" s="21" t="n">
        <v>3.15006E7</v>
      </c>
      <c r="H62" s="22" t="n">
        <f>10502300</f>
        <v>1.05023E7</v>
      </c>
    </row>
    <row r="63" spans="1:8" ht="24.9" customHeight="1">
      <c r="A63" s="51"/>
      <c r="B63" s="57"/>
      <c r="C63" s="39"/>
      <c r="D63" s="24" t="s">
        <v>18</v>
      </c>
      <c r="E63" s="25" t="n">
        <v>105.0</v>
      </c>
      <c r="F63" s="26" t="n">
        <f>3</f>
        <v>3.0</v>
      </c>
      <c r="G63" s="25" t="n">
        <v>5.523933E8</v>
      </c>
      <c r="H63" s="26" t="n">
        <f>15764000</f>
        <v>1.5764E7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3.0</v>
      </c>
      <c r="F76" s="18" t="n">
        <f>0</f>
        <v>0.0</v>
      </c>
      <c r="G76" s="17" t="n">
        <v>1141500.0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10.0</v>
      </c>
      <c r="F78" s="22" t="n">
        <f>0</f>
        <v>0.0</v>
      </c>
      <c r="G78" s="21" t="n">
        <v>3780500.0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13.0</v>
      </c>
      <c r="F79" s="26" t="n">
        <f>0</f>
        <v>0.0</v>
      </c>
      <c r="G79" s="25" t="n">
        <v>4922000.0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301.0</v>
      </c>
      <c r="F92" s="18" t="n">
        <f>0</f>
        <v>0.0</v>
      </c>
      <c r="G92" s="17" t="n">
        <v>4.859287E8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46.0</v>
      </c>
      <c r="F93" s="22" t="n">
        <f>0</f>
        <v>0.0</v>
      </c>
      <c r="G93" s="21" t="n">
        <v>7.43629E7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320.0</v>
      </c>
      <c r="F94" s="22" t="n">
        <f>0</f>
        <v>0.0</v>
      </c>
      <c r="G94" s="21" t="n">
        <v>5.174806E8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667.0</v>
      </c>
      <c r="F95" s="26" t="n">
        <f>0</f>
        <v>0.0</v>
      </c>
      <c r="G95" s="25" t="n">
        <v>1.0777722E9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8.0</v>
      </c>
      <c r="F100" s="18" t="n">
        <f>0</f>
        <v>0.0</v>
      </c>
      <c r="G100" s="17" t="n">
        <v>1.47744E7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8.0</v>
      </c>
      <c r="F103" s="26" t="n">
        <f>0</f>
        <v>0.0</v>
      </c>
      <c r="G103" s="25" t="n">
        <v>1.47744E7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11260.0</v>
      </c>
      <c r="F108" s="18" t="n">
        <f>813</f>
        <v>813.0</v>
      </c>
      <c r="G108" s="17" t="n">
        <v>1.43816306E12</v>
      </c>
      <c r="H108" s="18" t="n">
        <f>103919830000</f>
        <v>1.0391983E11</v>
      </c>
    </row>
    <row r="109" spans="1:8" ht="24.9" customHeight="1">
      <c r="A109" s="51"/>
      <c r="B109" s="57"/>
      <c r="C109" s="39"/>
      <c r="D109" s="20" t="s">
        <v>16</v>
      </c>
      <c r="E109" s="21" t="n">
        <v>16685.0</v>
      </c>
      <c r="F109" s="22" t="n">
        <f>1002</f>
        <v>1002.0</v>
      </c>
      <c r="G109" s="21" t="n">
        <v>2.126887975E12</v>
      </c>
      <c r="H109" s="22" t="n">
        <f>127796435000</f>
        <v>1.27796435E11</v>
      </c>
    </row>
    <row r="110" spans="1:8" ht="24.9" customHeight="1">
      <c r="A110" s="51"/>
      <c r="B110" s="57"/>
      <c r="C110" s="39"/>
      <c r="D110" s="20" t="s">
        <v>17</v>
      </c>
      <c r="E110" s="21" t="n">
        <v>14340.0</v>
      </c>
      <c r="F110" s="22" t="n">
        <f>2229</f>
        <v>2229.0</v>
      </c>
      <c r="G110" s="21" t="n">
        <v>1.82836824E12</v>
      </c>
      <c r="H110" s="22" t="n">
        <f>284192750000</f>
        <v>2.8419275E11</v>
      </c>
    </row>
    <row r="111" spans="1:8" ht="24.9" customHeight="1">
      <c r="A111" s="51"/>
      <c r="B111" s="57"/>
      <c r="C111" s="39"/>
      <c r="D111" s="24" t="s">
        <v>18</v>
      </c>
      <c r="E111" s="25" t="n">
        <v>42285.0</v>
      </c>
      <c r="F111" s="26" t="n">
        <f>4044</f>
        <v>4044.0</v>
      </c>
      <c r="G111" s="25" t="n">
        <v>5.393419275E12</v>
      </c>
      <c r="H111" s="26" t="n">
        <f>515909015000</f>
        <v>5.15909015E11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1.2747E7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1.2747E7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449.0</v>
      </c>
      <c r="F118" s="22" t="n">
        <f>16</f>
        <v>16.0</v>
      </c>
      <c r="G118" s="21" t="n">
        <v>4.090293E9</v>
      </c>
      <c r="H118" s="22" t="n">
        <f>146112000</f>
        <v>1.46112E8</v>
      </c>
    </row>
    <row r="119" spans="1:8" ht="24.9" customHeight="1">
      <c r="A119" s="51"/>
      <c r="B119" s="58"/>
      <c r="C119" s="39"/>
      <c r="D119" s="24" t="s">
        <v>18</v>
      </c>
      <c r="E119" s="25" t="n">
        <v>449.0</v>
      </c>
      <c r="F119" s="26" t="n">
        <f>16</f>
        <v>16.0</v>
      </c>
      <c r="G119" s="25" t="n">
        <v>4.090293E9</v>
      </c>
      <c r="H119" s="26" t="n">
        <f>146112000</f>
        <v>1.46112E8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896.0</v>
      </c>
      <c r="F120" s="18" t="n">
        <f>0</f>
        <v>0.0</v>
      </c>
      <c r="G120" s="17" t="n">
        <v>2.214337625E10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7538.0</v>
      </c>
      <c r="F121" s="22" t="n">
        <f>0</f>
        <v>0.0</v>
      </c>
      <c r="G121" s="21" t="n">
        <v>1.864799325E11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5913.0</v>
      </c>
      <c r="F122" s="22" t="n">
        <f>0</f>
        <v>0.0</v>
      </c>
      <c r="G122" s="21" t="n">
        <v>1.46226433125E11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14347.0</v>
      </c>
      <c r="F123" s="26" t="n">
        <f>0</f>
        <v>0.0</v>
      </c>
      <c r="G123" s="25" t="n">
        <v>3.54849741875E11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4903.0</v>
      </c>
      <c r="F124" s="18" t="n">
        <f>0</f>
        <v>0.0</v>
      </c>
      <c r="G124" s="17" t="n">
        <v>1.05420443E11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2188.0</v>
      </c>
      <c r="F125" s="22" t="n">
        <f>0</f>
        <v>0.0</v>
      </c>
      <c r="G125" s="21" t="n">
        <v>4.6670692E10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2135.0</v>
      </c>
      <c r="F126" s="22" t="n">
        <f>28</f>
        <v>28.0</v>
      </c>
      <c r="G126" s="21" t="n">
        <v>4.535764E10</v>
      </c>
      <c r="H126" s="22" t="n">
        <f>586192000</f>
        <v>5.86192E8</v>
      </c>
    </row>
    <row r="127" spans="1:8" ht="24.9" customHeight="1">
      <c r="A127" s="51"/>
      <c r="B127" s="57"/>
      <c r="C127" s="39"/>
      <c r="D127" s="24" t="s">
        <v>18</v>
      </c>
      <c r="E127" s="25" t="n">
        <v>9226.0</v>
      </c>
      <c r="F127" s="26" t="n">
        <f>28</f>
        <v>28.0</v>
      </c>
      <c r="G127" s="25" t="n">
        <v>1.97448775E11</v>
      </c>
      <c r="H127" s="26" t="n">
        <f>586192000</f>
        <v>5.86192E8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58.0</v>
      </c>
      <c r="F128" s="18" t="n">
        <f>0</f>
        <v>0.0</v>
      </c>
      <c r="G128" s="17" t="n">
        <v>1.239833E8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73.0</v>
      </c>
      <c r="F129" s="22" t="n">
        <f>0</f>
        <v>0.0</v>
      </c>
      <c r="G129" s="21" t="n">
        <v>1.556343E8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72.0</v>
      </c>
      <c r="F130" s="22" t="n">
        <f>0</f>
        <v>0.0</v>
      </c>
      <c r="G130" s="21" t="n">
        <v>1.524664E8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203.0</v>
      </c>
      <c r="F131" s="26" t="n">
        <f>0</f>
        <v>0.0</v>
      </c>
      <c r="G131" s="25" t="n">
        <v>4.32084E8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5216.0</v>
      </c>
      <c r="F132" s="18" t="n">
        <f>0</f>
        <v>0.0</v>
      </c>
      <c r="G132" s="17" t="n">
        <v>1.12142239E10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1827.0</v>
      </c>
      <c r="F133" s="22" t="n">
        <f>0</f>
        <v>0.0</v>
      </c>
      <c r="G133" s="21" t="n">
        <v>3.89738685E9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1897.0</v>
      </c>
      <c r="F134" s="22" t="n">
        <f>280</f>
        <v>280.0</v>
      </c>
      <c r="G134" s="21" t="n">
        <v>4.02244045E9</v>
      </c>
      <c r="H134" s="22" t="n">
        <f>586192000</f>
        <v>5.86192E8</v>
      </c>
    </row>
    <row r="135" spans="1:8" ht="24.9" customHeight="1">
      <c r="A135" s="51"/>
      <c r="B135" s="57"/>
      <c r="C135" s="39"/>
      <c r="D135" s="24" t="s">
        <v>18</v>
      </c>
      <c r="E135" s="25" t="n">
        <v>8940.0</v>
      </c>
      <c r="F135" s="26" t="n">
        <f>280</f>
        <v>280.0</v>
      </c>
      <c r="G135" s="25" t="n">
        <v>1.91340512E10</v>
      </c>
      <c r="H135" s="26" t="n">
        <f>586192000</f>
        <v>5.86192E8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34.0</v>
      </c>
      <c r="F136" s="18" t="n">
        <f>0</f>
        <v>0.0</v>
      </c>
      <c r="G136" s="17" t="n">
        <v>7.22168E7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39.0</v>
      </c>
      <c r="F137" s="22" t="n">
        <f>0</f>
        <v>0.0</v>
      </c>
      <c r="G137" s="21" t="n">
        <v>8.20844E7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9.0</v>
      </c>
      <c r="F138" s="22" t="n">
        <f>0</f>
        <v>0.0</v>
      </c>
      <c r="G138" s="21" t="n">
        <v>1.88944E7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82.0</v>
      </c>
      <c r="F139" s="26" t="n">
        <f>0</f>
        <v>0.0</v>
      </c>
      <c r="G139" s="25" t="n">
        <v>1.731956E8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1541.0</v>
      </c>
      <c r="F144" s="18" t="n">
        <f>0</f>
        <v>0.0</v>
      </c>
      <c r="G144" s="17" t="n">
        <v>6.1326005E9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1194.0</v>
      </c>
      <c r="F145" s="22" t="n">
        <f>0</f>
        <v>0.0</v>
      </c>
      <c r="G145" s="21" t="n">
        <v>4.665516E9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1098.0</v>
      </c>
      <c r="F146" s="22" t="n">
        <f>0</f>
        <v>0.0</v>
      </c>
      <c r="G146" s="21" t="n">
        <v>4.276508E9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3833.0</v>
      </c>
      <c r="F147" s="26" t="n">
        <f>0</f>
        <v>0.0</v>
      </c>
      <c r="G147" s="25" t="n">
        <v>1.50746245E10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30.0</v>
      </c>
      <c r="F148" s="18" t="n">
        <f>0</f>
        <v>0.0</v>
      </c>
      <c r="G148" s="17" t="n">
        <v>2.4375E7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221.0</v>
      </c>
      <c r="F149" s="22" t="n">
        <f>0</f>
        <v>0.0</v>
      </c>
      <c r="G149" s="21" t="n">
        <v>1.767253E8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320.0</v>
      </c>
      <c r="F150" s="22" t="n">
        <f>0</f>
        <v>0.0</v>
      </c>
      <c r="G150" s="21" t="n">
        <v>2.552723E8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571.0</v>
      </c>
      <c r="F151" s="26" t="n">
        <f>0</f>
        <v>0.0</v>
      </c>
      <c r="G151" s="25" t="n">
        <v>4.563726E8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212.0</v>
      </c>
      <c r="F152" s="18" t="n">
        <f>0</f>
        <v>0.0</v>
      </c>
      <c r="G152" s="17" t="n">
        <v>1.684617E8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248.0</v>
      </c>
      <c r="F153" s="22" t="n">
        <f>0</f>
        <v>0.0</v>
      </c>
      <c r="G153" s="21" t="n">
        <v>1.9493615E8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239.0</v>
      </c>
      <c r="F154" s="22" t="n">
        <f>0</f>
        <v>0.0</v>
      </c>
      <c r="G154" s="21" t="n">
        <v>1.875825E8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699.0</v>
      </c>
      <c r="F155" s="26" t="n">
        <f>0</f>
        <v>0.0</v>
      </c>
      <c r="G155" s="25" t="n">
        <v>5.5098035E8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91.0</v>
      </c>
      <c r="F156" s="18" t="n">
        <f>0</f>
        <v>0.0</v>
      </c>
      <c r="G156" s="17" t="n">
        <v>7.26834E7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341.0</v>
      </c>
      <c r="F157" s="22" t="n">
        <f>0</f>
        <v>0.0</v>
      </c>
      <c r="G157" s="21" t="n">
        <v>2.67301E8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658.0</v>
      </c>
      <c r="F158" s="22" t="n">
        <f>0</f>
        <v>0.0</v>
      </c>
      <c r="G158" s="21" t="n">
        <v>5.071355E8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1090.0</v>
      </c>
      <c r="F159" s="26" t="n">
        <f>0</f>
        <v>0.0</v>
      </c>
      <c r="G159" s="25" t="n">
        <v>8.471199E8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226.0</v>
      </c>
      <c r="F168" s="18" t="n">
        <f>0</f>
        <v>0.0</v>
      </c>
      <c r="G168" s="17" t="n">
        <v>4.613175E8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284.0</v>
      </c>
      <c r="F169" s="22" t="n">
        <f>0</f>
        <v>0.0</v>
      </c>
      <c r="G169" s="21" t="n">
        <v>5.87167E8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1260.0</v>
      </c>
      <c r="F170" s="22" t="n">
        <f>0</f>
        <v>0.0</v>
      </c>
      <c r="G170" s="21" t="n">
        <v>2.5921695E9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1770.0</v>
      </c>
      <c r="F171" s="26" t="n">
        <f>0</f>
        <v>0.0</v>
      </c>
      <c r="G171" s="25" t="n">
        <v>3.640654E9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28.0</v>
      </c>
      <c r="F176" s="18" t="n">
        <f>0</f>
        <v>0.0</v>
      </c>
      <c r="G176" s="17" t="n">
        <v>4.7682E7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12.0</v>
      </c>
      <c r="F178" s="22" t="n">
        <f>0</f>
        <v>0.0</v>
      </c>
      <c r="G178" s="21" t="n">
        <v>2.002E7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40.0</v>
      </c>
      <c r="F179" s="26" t="n">
        <f>0</f>
        <v>0.0</v>
      </c>
      <c r="G179" s="25" t="n">
        <v>6.7702E7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289.0</v>
      </c>
      <c r="F204" s="18" t="n">
        <f>0</f>
        <v>0.0</v>
      </c>
      <c r="G204" s="17" t="n">
        <v>1.0231235E9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151.0</v>
      </c>
      <c r="F205" s="22" t="n">
        <f>0</f>
        <v>0.0</v>
      </c>
      <c r="G205" s="21" t="n">
        <v>5.34681E8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747.0</v>
      </c>
      <c r="F206" s="22" t="n">
        <f>0</f>
        <v>0.0</v>
      </c>
      <c r="G206" s="21" t="n">
        <v>2.6384165E9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1187.0</v>
      </c>
      <c r="F207" s="26" t="n">
        <f>0</f>
        <v>0.0</v>
      </c>
      <c r="G207" s="25" t="n">
        <v>4.196221E9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20.0</v>
      </c>
      <c r="F210" s="22" t="n">
        <f>20</f>
        <v>20.0</v>
      </c>
      <c r="G210" s="21" t="n">
        <v>2.58168E7</v>
      </c>
      <c r="H210" s="22" t="n">
        <f>25816800</f>
        <v>2.58168E7</v>
      </c>
    </row>
    <row r="211" spans="1:8" ht="24.9" customHeight="1">
      <c r="A211" s="57"/>
      <c r="B211" s="59"/>
      <c r="C211" s="39"/>
      <c r="D211" s="24" t="s">
        <v>18</v>
      </c>
      <c r="E211" s="25" t="n">
        <v>20.0</v>
      </c>
      <c r="F211" s="26" t="n">
        <f>20</f>
        <v>20.0</v>
      </c>
      <c r="G211" s="25" t="n">
        <v>2.58168E7</v>
      </c>
      <c r="H211" s="26" t="n">
        <f>25816800</f>
        <v>2.58168E7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46204.0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46204.0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4201</f>
        <v>4201.0</v>
      </c>
      <c r="E12" s="35" t="n">
        <f>2325</f>
        <v>2325.0</v>
      </c>
      <c r="F12" s="17" t="n">
        <f>1589</f>
        <v>1589.0</v>
      </c>
      <c r="G12" s="35" t="n">
        <f>244</f>
        <v>244.0</v>
      </c>
      <c r="H12" s="17" t="n">
        <f>5790</f>
        <v>5790.0</v>
      </c>
      <c r="I12" s="35" t="n">
        <f>2569</f>
        <v>2569.0</v>
      </c>
      <c r="J12" s="17" t="n">
        <f>1770268570</f>
        <v>1.77026857E9</v>
      </c>
      <c r="K12" s="35" t="n">
        <f>1272306570</f>
        <v>1.27230657E9</v>
      </c>
      <c r="L12" s="17" t="n">
        <f>618999390</f>
        <v>6.1899939E8</v>
      </c>
      <c r="M12" s="35" t="n">
        <f>88438390</f>
        <v>8.843839E7</v>
      </c>
      <c r="N12" s="17" t="n">
        <f>2389267960</f>
        <v>2.38926796E9</v>
      </c>
      <c r="O12" s="35" t="n">
        <f>1360744960</f>
        <v>1.36074496E9</v>
      </c>
    </row>
    <row r="13" spans="1:15" ht="24.9" customHeight="1">
      <c r="A13" s="38"/>
      <c r="B13" s="62"/>
      <c r="C13" s="20" t="s">
        <v>16</v>
      </c>
      <c r="D13" s="21" t="n">
        <f>9394</f>
        <v>9394.0</v>
      </c>
      <c r="E13" s="36" t="n">
        <f>5000</f>
        <v>5000.0</v>
      </c>
      <c r="F13" s="21" t="n">
        <f>6267</f>
        <v>6267.0</v>
      </c>
      <c r="G13" s="36" t="n">
        <f>2888</f>
        <v>2888.0</v>
      </c>
      <c r="H13" s="21" t="n">
        <f>15661</f>
        <v>15661.0</v>
      </c>
      <c r="I13" s="36" t="n">
        <f>7888</f>
        <v>7888.0</v>
      </c>
      <c r="J13" s="21" t="n">
        <f>6306478130</f>
        <v>6.30647813E9</v>
      </c>
      <c r="K13" s="36" t="n">
        <f>5353803130</f>
        <v>5.35380313E9</v>
      </c>
      <c r="L13" s="21" t="n">
        <f>6451649460</f>
        <v>6.45164946E9</v>
      </c>
      <c r="M13" s="36" t="n">
        <f>5022091460</f>
        <v>5.02209146E9</v>
      </c>
      <c r="N13" s="21" t="n">
        <f>12758127590</f>
        <v>1.275812759E10</v>
      </c>
      <c r="O13" s="36" t="n">
        <f>10375894590</f>
        <v>1.037589459E10</v>
      </c>
    </row>
    <row r="14" spans="1:15" ht="24.9" customHeight="1">
      <c r="A14" s="38"/>
      <c r="B14" s="62"/>
      <c r="C14" s="20" t="s">
        <v>17</v>
      </c>
      <c r="D14" s="21" t="n">
        <f>17199</f>
        <v>17199.0</v>
      </c>
      <c r="E14" s="36" t="n">
        <f>14052</f>
        <v>14052.0</v>
      </c>
      <c r="F14" s="21" t="n">
        <f>5109</f>
        <v>5109.0</v>
      </c>
      <c r="G14" s="36" t="n">
        <f>3384</f>
        <v>3384.0</v>
      </c>
      <c r="H14" s="21" t="n">
        <f>22308</f>
        <v>22308.0</v>
      </c>
      <c r="I14" s="36" t="n">
        <f>17436</f>
        <v>17436.0</v>
      </c>
      <c r="J14" s="21" t="n">
        <f>12348206190</f>
        <v>1.234820619E10</v>
      </c>
      <c r="K14" s="36" t="n">
        <f>11096224190</f>
        <v>1.109622419E10</v>
      </c>
      <c r="L14" s="21" t="n">
        <f>4770594120</f>
        <v>4.77059412E9</v>
      </c>
      <c r="M14" s="36" t="n">
        <f>3930841120</f>
        <v>3.93084112E9</v>
      </c>
      <c r="N14" s="21" t="n">
        <f>17118800310</f>
        <v>1.711880031E10</v>
      </c>
      <c r="O14" s="36" t="n">
        <f>15027065310</f>
        <v>1.502706531E10</v>
      </c>
    </row>
    <row r="15" spans="1:15" ht="24.9" customHeight="1">
      <c r="A15" s="38"/>
      <c r="B15" s="62"/>
      <c r="C15" s="24" t="s">
        <v>18</v>
      </c>
      <c r="D15" s="25" t="n">
        <f>30794</f>
        <v>30794.0</v>
      </c>
      <c r="E15" s="37" t="n">
        <f>21377</f>
        <v>21377.0</v>
      </c>
      <c r="F15" s="25" t="n">
        <f>12965</f>
        <v>12965.0</v>
      </c>
      <c r="G15" s="37" t="n">
        <f>6516</f>
        <v>6516.0</v>
      </c>
      <c r="H15" s="25" t="n">
        <f>43759</f>
        <v>43759.0</v>
      </c>
      <c r="I15" s="37" t="n">
        <f>27893</f>
        <v>27893.0</v>
      </c>
      <c r="J15" s="25" t="n">
        <f>20424952890</f>
        <v>2.042495289E10</v>
      </c>
      <c r="K15" s="37" t="n">
        <f>17722333890</f>
        <v>1.772233389E10</v>
      </c>
      <c r="L15" s="25" t="n">
        <f>11841242970</f>
        <v>1.184124297E10</v>
      </c>
      <c r="M15" s="37" t="n">
        <f>9041370970</f>
        <v>9.04137097E9</v>
      </c>
      <c r="N15" s="25" t="n">
        <f>32266195860</f>
        <v>3.226619586E10</v>
      </c>
      <c r="O15" s="37" t="n">
        <f>26763704860</f>
        <v>2.676370486E10</v>
      </c>
    </row>
    <row r="16" spans="1:15" ht="24.9" customHeight="1">
      <c r="A16" s="38"/>
      <c r="B16" s="61" t="s">
        <v>105</v>
      </c>
      <c r="C16" s="16" t="s">
        <v>15</v>
      </c>
      <c r="D16" s="17" t="n">
        <f>7686</f>
        <v>7686.0</v>
      </c>
      <c r="E16" s="35" t="n">
        <f>680</f>
        <v>680.0</v>
      </c>
      <c r="F16" s="17" t="n">
        <f>7853</f>
        <v>7853.0</v>
      </c>
      <c r="G16" s="35" t="n">
        <f>540</f>
        <v>540.0</v>
      </c>
      <c r="H16" s="17" t="n">
        <f>15539</f>
        <v>15539.0</v>
      </c>
      <c r="I16" s="35" t="n">
        <f>1220</f>
        <v>1220.0</v>
      </c>
      <c r="J16" s="17" t="n">
        <f>224855570</f>
        <v>2.2485557E8</v>
      </c>
      <c r="K16" s="35" t="n">
        <f>15761770</f>
        <v>1.576177E7</v>
      </c>
      <c r="L16" s="17" t="n">
        <f>380510710</f>
        <v>3.8051071E8</v>
      </c>
      <c r="M16" s="35" t="n">
        <f>26129510</f>
        <v>2.612951E7</v>
      </c>
      <c r="N16" s="17" t="n">
        <f>605366280</f>
        <v>6.0536628E8</v>
      </c>
      <c r="O16" s="35" t="n">
        <f>41891280</f>
        <v>4.189128E7</v>
      </c>
    </row>
    <row r="17" spans="1:15" ht="24.9" customHeight="1">
      <c r="A17" s="38"/>
      <c r="B17" s="62"/>
      <c r="C17" s="20" t="s">
        <v>16</v>
      </c>
      <c r="D17" s="21" t="n">
        <f>11950</f>
        <v>11950.0</v>
      </c>
      <c r="E17" s="36" t="n">
        <f>1750</f>
        <v>1750.0</v>
      </c>
      <c r="F17" s="21" t="n">
        <f>9255</f>
        <v>9255.0</v>
      </c>
      <c r="G17" s="36" t="n">
        <f>630</f>
        <v>630.0</v>
      </c>
      <c r="H17" s="21" t="n">
        <f>21205</f>
        <v>21205.0</v>
      </c>
      <c r="I17" s="36" t="n">
        <f>2380</f>
        <v>2380.0</v>
      </c>
      <c r="J17" s="21" t="n">
        <f>254649660</f>
        <v>2.5464966E8</v>
      </c>
      <c r="K17" s="36" t="n">
        <f>13164860</f>
        <v>1.316486E7</v>
      </c>
      <c r="L17" s="21" t="n">
        <f>421537270</f>
        <v>4.2153727E8</v>
      </c>
      <c r="M17" s="36" t="n">
        <f>11810270</f>
        <v>1.181027E7</v>
      </c>
      <c r="N17" s="21" t="n">
        <f>676186930</f>
        <v>6.7618693E8</v>
      </c>
      <c r="O17" s="36" t="n">
        <f>24975130</f>
        <v>2.497513E7</v>
      </c>
    </row>
    <row r="18" spans="1:15" ht="24.9" customHeight="1">
      <c r="A18" s="38"/>
      <c r="B18" s="62"/>
      <c r="C18" s="20" t="s">
        <v>17</v>
      </c>
      <c r="D18" s="21" t="n">
        <f>10849</f>
        <v>10849.0</v>
      </c>
      <c r="E18" s="36" t="n">
        <f>1200</f>
        <v>1200.0</v>
      </c>
      <c r="F18" s="21" t="n">
        <f>7311</f>
        <v>7311.0</v>
      </c>
      <c r="G18" s="36" t="n">
        <f>950</f>
        <v>950.0</v>
      </c>
      <c r="H18" s="21" t="n">
        <f>18160</f>
        <v>18160.0</v>
      </c>
      <c r="I18" s="36" t="n">
        <f>2150</f>
        <v>2150.0</v>
      </c>
      <c r="J18" s="21" t="n">
        <f>254613440</f>
        <v>2.5461344E8</v>
      </c>
      <c r="K18" s="36" t="n">
        <f>8134940</f>
        <v>8134940.0</v>
      </c>
      <c r="L18" s="21" t="n">
        <f>233916850</f>
        <v>2.3391685E8</v>
      </c>
      <c r="M18" s="36" t="n">
        <f>8301350</f>
        <v>8301350.0</v>
      </c>
      <c r="N18" s="21" t="n">
        <f>488530290</f>
        <v>4.8853029E8</v>
      </c>
      <c r="O18" s="36" t="n">
        <f>16436290</f>
        <v>1.643629E7</v>
      </c>
    </row>
    <row r="19" spans="1:15" ht="24.9" customHeight="1">
      <c r="A19" s="38"/>
      <c r="B19" s="62"/>
      <c r="C19" s="24" t="s">
        <v>18</v>
      </c>
      <c r="D19" s="25" t="n">
        <f>30485</f>
        <v>30485.0</v>
      </c>
      <c r="E19" s="37" t="n">
        <f>3630</f>
        <v>3630.0</v>
      </c>
      <c r="F19" s="25" t="n">
        <f>24419</f>
        <v>24419.0</v>
      </c>
      <c r="G19" s="37" t="n">
        <f>2120</f>
        <v>2120.0</v>
      </c>
      <c r="H19" s="25" t="n">
        <f>54904</f>
        <v>54904.0</v>
      </c>
      <c r="I19" s="37" t="n">
        <f>5750</f>
        <v>5750.0</v>
      </c>
      <c r="J19" s="25" t="n">
        <f>734118670</f>
        <v>7.3411867E8</v>
      </c>
      <c r="K19" s="37" t="n">
        <f>37061570</f>
        <v>3.706157E7</v>
      </c>
      <c r="L19" s="25" t="n">
        <f>1035964830</f>
        <v>1.03596483E9</v>
      </c>
      <c r="M19" s="37" t="n">
        <f>46241130</f>
        <v>4.624113E7</v>
      </c>
      <c r="N19" s="25" t="n">
        <f>1770083500</f>
        <v>1.7700835E9</v>
      </c>
      <c r="O19" s="37" t="n">
        <f>83302700</f>
        <v>8.33027E7</v>
      </c>
    </row>
    <row r="20" spans="1:15" ht="24.9" customHeight="1">
      <c r="A20" s="38"/>
      <c r="B20" s="61" t="s">
        <v>106</v>
      </c>
      <c r="C20" s="16" t="s">
        <v>15</v>
      </c>
      <c r="D20" s="17" t="n">
        <f>568</f>
        <v>568.0</v>
      </c>
      <c r="E20" s="35" t="n">
        <f>568</f>
        <v>568.0</v>
      </c>
      <c r="F20" s="17" t="n">
        <f>0</f>
        <v>0.0</v>
      </c>
      <c r="G20" s="35" t="n">
        <f>0</f>
        <v>0.0</v>
      </c>
      <c r="H20" s="17" t="n">
        <f>568</f>
        <v>568.0</v>
      </c>
      <c r="I20" s="35" t="n">
        <f>568</f>
        <v>568.0</v>
      </c>
      <c r="J20" s="17" t="n">
        <f>340374000</f>
        <v>3.40374E8</v>
      </c>
      <c r="K20" s="35" t="n">
        <f>340374000</f>
        <v>3.40374E8</v>
      </c>
      <c r="L20" s="17" t="n">
        <f>0</f>
        <v>0.0</v>
      </c>
      <c r="M20" s="35" t="n">
        <f>0</f>
        <v>0.0</v>
      </c>
      <c r="N20" s="17" t="n">
        <f>340374000</f>
        <v>3.40374E8</v>
      </c>
      <c r="O20" s="35" t="n">
        <f>340374000</f>
        <v>3.40374E8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80</f>
        <v>80.0</v>
      </c>
      <c r="G21" s="36" t="n">
        <f>80</f>
        <v>80.0</v>
      </c>
      <c r="H21" s="21" t="n">
        <f>80</f>
        <v>80.0</v>
      </c>
      <c r="I21" s="36" t="n">
        <f>80</f>
        <v>80.0</v>
      </c>
      <c r="J21" s="21" t="n">
        <f>0</f>
        <v>0.0</v>
      </c>
      <c r="K21" s="36" t="n">
        <f>0</f>
        <v>0.0</v>
      </c>
      <c r="L21" s="21" t="n">
        <f>20920000</f>
        <v>2.092E7</v>
      </c>
      <c r="M21" s="36" t="n">
        <f>20920000</f>
        <v>2.092E7</v>
      </c>
      <c r="N21" s="21" t="n">
        <f>20920000</f>
        <v>2.092E7</v>
      </c>
      <c r="O21" s="36" t="n">
        <f>20920000</f>
        <v>2.092E7</v>
      </c>
    </row>
    <row r="22" spans="1:15" ht="24.9" customHeight="1">
      <c r="A22" s="38"/>
      <c r="B22" s="62"/>
      <c r="C22" s="20" t="s">
        <v>17</v>
      </c>
      <c r="D22" s="21" t="n">
        <f>0</f>
        <v>0.0</v>
      </c>
      <c r="E22" s="36" t="n">
        <f>0</f>
        <v>0.0</v>
      </c>
      <c r="F22" s="21" t="n">
        <f>0</f>
        <v>0.0</v>
      </c>
      <c r="G22" s="36" t="n">
        <f>0</f>
        <v>0.0</v>
      </c>
      <c r="H22" s="21" t="n">
        <f>0</f>
        <v>0.0</v>
      </c>
      <c r="I22" s="36" t="n">
        <f>0</f>
        <v>0.0</v>
      </c>
      <c r="J22" s="21" t="n">
        <f>0</f>
        <v>0.0</v>
      </c>
      <c r="K22" s="36" t="n">
        <f>0</f>
        <v>0.0</v>
      </c>
      <c r="L22" s="21" t="n">
        <f>0</f>
        <v>0.0</v>
      </c>
      <c r="M22" s="36" t="n">
        <f>0</f>
        <v>0.0</v>
      </c>
      <c r="N22" s="21" t="n">
        <f>0</f>
        <v>0.0</v>
      </c>
      <c r="O22" s="36" t="n">
        <f>0</f>
        <v>0.0</v>
      </c>
    </row>
    <row r="23" spans="1:15" ht="24.9" customHeight="1">
      <c r="A23" s="38"/>
      <c r="B23" s="62"/>
      <c r="C23" s="24" t="s">
        <v>18</v>
      </c>
      <c r="D23" s="25" t="n">
        <f>568</f>
        <v>568.0</v>
      </c>
      <c r="E23" s="37" t="n">
        <f>568</f>
        <v>568.0</v>
      </c>
      <c r="F23" s="25" t="n">
        <f>80</f>
        <v>80.0</v>
      </c>
      <c r="G23" s="37" t="n">
        <f>80</f>
        <v>80.0</v>
      </c>
      <c r="H23" s="25" t="n">
        <f>648</f>
        <v>648.0</v>
      </c>
      <c r="I23" s="37" t="n">
        <f>648</f>
        <v>648.0</v>
      </c>
      <c r="J23" s="25" t="n">
        <f>340374000</f>
        <v>3.40374E8</v>
      </c>
      <c r="K23" s="37" t="n">
        <f>340374000</f>
        <v>3.40374E8</v>
      </c>
      <c r="L23" s="25" t="n">
        <f>20920000</f>
        <v>2.092E7</v>
      </c>
      <c r="M23" s="37" t="n">
        <f>20920000</f>
        <v>2.092E7</v>
      </c>
      <c r="N23" s="25" t="n">
        <f>361294000</f>
        <v>3.61294E8</v>
      </c>
      <c r="O23" s="37" t="n">
        <f>361294000</f>
        <v>3.61294E8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</f>
        <v>5.0</v>
      </c>
      <c r="E37" s="22" t="n">
        <f>0</f>
        <v>0.0</v>
      </c>
      <c r="F37" s="21" t="n">
        <f>20</f>
        <v>20.0</v>
      </c>
      <c r="G37" s="22" t="n">
        <f>0</f>
        <v>0.0</v>
      </c>
      <c r="H37" s="21" t="n">
        <f>25</f>
        <v>25.0</v>
      </c>
      <c r="I37" s="22" t="n">
        <f>0</f>
        <v>0.0</v>
      </c>
      <c r="J37" s="21" t="n">
        <f>2200000</f>
        <v>2200000.0</v>
      </c>
      <c r="K37" s="22" t="n">
        <f>0</f>
        <v>0.0</v>
      </c>
      <c r="L37" s="21" t="n">
        <f>5140000</f>
        <v>5140000.0</v>
      </c>
      <c r="M37" s="22" t="n">
        <f>0</f>
        <v>0.0</v>
      </c>
      <c r="N37" s="21" t="n">
        <f>7340000</f>
        <v>7340000.0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205</f>
        <v>205.0</v>
      </c>
      <c r="E38" s="36" t="n">
        <f>170</f>
        <v>170.0</v>
      </c>
      <c r="F38" s="21" t="n">
        <f>69</f>
        <v>69.0</v>
      </c>
      <c r="G38" s="36" t="n">
        <f>45</f>
        <v>45.0</v>
      </c>
      <c r="H38" s="21" t="n">
        <f>274</f>
        <v>274.0</v>
      </c>
      <c r="I38" s="36" t="n">
        <f>215</f>
        <v>215.0</v>
      </c>
      <c r="J38" s="21" t="n">
        <f>55500000</f>
        <v>5.55E7</v>
      </c>
      <c r="K38" s="36" t="n">
        <f>47150000</f>
        <v>4.715E7</v>
      </c>
      <c r="L38" s="21" t="n">
        <f>27360000</f>
        <v>2.736E7</v>
      </c>
      <c r="M38" s="36" t="n">
        <f>21300000</f>
        <v>2.13E7</v>
      </c>
      <c r="N38" s="21" t="n">
        <f>82860000</f>
        <v>8.286E7</v>
      </c>
      <c r="O38" s="36" t="n">
        <f>68450000</f>
        <v>6.845E7</v>
      </c>
    </row>
    <row r="39" spans="1:15" ht="24.9" customHeight="1">
      <c r="A39" s="38"/>
      <c r="B39" s="62"/>
      <c r="C39" s="24" t="s">
        <v>18</v>
      </c>
      <c r="D39" s="25" t="n">
        <f>210</f>
        <v>210.0</v>
      </c>
      <c r="E39" s="37" t="n">
        <f>170</f>
        <v>170.0</v>
      </c>
      <c r="F39" s="25" t="n">
        <f>89</f>
        <v>89.0</v>
      </c>
      <c r="G39" s="37" t="n">
        <f>45</f>
        <v>45.0</v>
      </c>
      <c r="H39" s="25" t="n">
        <f>299</f>
        <v>299.0</v>
      </c>
      <c r="I39" s="37" t="n">
        <f>215</f>
        <v>215.0</v>
      </c>
      <c r="J39" s="25" t="n">
        <f>57700000</f>
        <v>5.77E7</v>
      </c>
      <c r="K39" s="37" t="n">
        <f>47150000</f>
        <v>4.715E7</v>
      </c>
      <c r="L39" s="25" t="n">
        <f>32500000</f>
        <v>3.25E7</v>
      </c>
      <c r="M39" s="37" t="n">
        <f>21300000</f>
        <v>2.13E7</v>
      </c>
      <c r="N39" s="25" t="n">
        <f>90200000</f>
        <v>9.02E7</v>
      </c>
      <c r="O39" s="37" t="n">
        <f>68450000</f>
        <v>6.845E7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11305</f>
        <v>11305.0</v>
      </c>
      <c r="E41" s="36" t="n">
        <f>0</f>
        <v>0.0</v>
      </c>
      <c r="F41" s="21" t="n">
        <f>10923</f>
        <v>10923.0</v>
      </c>
      <c r="G41" s="36" t="n">
        <f>0</f>
        <v>0.0</v>
      </c>
      <c r="H41" s="21" t="n">
        <f>22228</f>
        <v>22228.0</v>
      </c>
      <c r="I41" s="36" t="n">
        <f>0</f>
        <v>0.0</v>
      </c>
      <c r="J41" s="21" t="n">
        <f>18984348</f>
        <v>1.8984348E7</v>
      </c>
      <c r="K41" s="36" t="n">
        <f>0</f>
        <v>0.0</v>
      </c>
      <c r="L41" s="21" t="n">
        <f>8354540</f>
        <v>8354540.0</v>
      </c>
      <c r="M41" s="36" t="n">
        <f>0</f>
        <v>0.0</v>
      </c>
      <c r="N41" s="21" t="n">
        <f>27338888</f>
        <v>2.7338888E7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1308</f>
        <v>1308.0</v>
      </c>
      <c r="E42" s="36" t="n">
        <f>0</f>
        <v>0.0</v>
      </c>
      <c r="F42" s="21" t="n">
        <f>298</f>
        <v>298.0</v>
      </c>
      <c r="G42" s="36" t="n">
        <f>0</f>
        <v>0.0</v>
      </c>
      <c r="H42" s="21" t="n">
        <f>1606</f>
        <v>1606.0</v>
      </c>
      <c r="I42" s="36" t="n">
        <f>0</f>
        <v>0.0</v>
      </c>
      <c r="J42" s="21" t="n">
        <f>3569750</f>
        <v>3569750.0</v>
      </c>
      <c r="K42" s="36" t="n">
        <f>0</f>
        <v>0.0</v>
      </c>
      <c r="L42" s="21" t="n">
        <f>3338002</f>
        <v>3338002.0</v>
      </c>
      <c r="M42" s="36" t="n">
        <f>0</f>
        <v>0.0</v>
      </c>
      <c r="N42" s="21" t="n">
        <f>6907752</f>
        <v>6907752.0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12613</f>
        <v>12613.0</v>
      </c>
      <c r="E43" s="37" t="n">
        <f>0</f>
        <v>0.0</v>
      </c>
      <c r="F43" s="25" t="n">
        <f>11221</f>
        <v>11221.0</v>
      </c>
      <c r="G43" s="37" t="n">
        <f>0</f>
        <v>0.0</v>
      </c>
      <c r="H43" s="25" t="n">
        <f>23834</f>
        <v>23834.0</v>
      </c>
      <c r="I43" s="37" t="n">
        <f>0</f>
        <v>0.0</v>
      </c>
      <c r="J43" s="25" t="n">
        <f>22554098</f>
        <v>2.2554098E7</v>
      </c>
      <c r="K43" s="37" t="n">
        <f>0</f>
        <v>0.0</v>
      </c>
      <c r="L43" s="25" t="n">
        <f>11692542</f>
        <v>1.1692542E7</v>
      </c>
      <c r="M43" s="37" t="n">
        <f>0</f>
        <v>0.0</v>
      </c>
      <c r="N43" s="25" t="n">
        <f>34246640</f>
        <v>3.424664E7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