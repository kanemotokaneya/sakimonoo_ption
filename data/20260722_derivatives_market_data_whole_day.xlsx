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<sst xmlns="http://schemas.openxmlformats.org/spreadsheetml/2006/main" count="528" uniqueCount="129">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</sst>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DATE(2026,07,22)</f>
        <v>46225.0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DATE(2026,07,22)</f>
        <v>46225.0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680854.0</f>
        <v>680854.0</v>
      </c>
      <c r="E12" s="18" t="n">
        <f>31568.0</f>
        <v>31568.0</v>
      </c>
      <c r="F12" s="19" t="n">
        <f>1.0</f>
        <v>1.0</v>
      </c>
      <c r="G12" s="17" t="n">
        <f>4802204207760.0</f>
        <v>4.80220420776E12</v>
      </c>
      <c r="H12" s="18" t="n">
        <f>309304900710.0</f>
        <v>3.0930490071E11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456482.0</f>
        <v>456482.0</v>
      </c>
      <c r="E13" s="22" t="n">
        <f>23140.0</f>
        <v>23140.0</v>
      </c>
      <c r="F13" s="23" t="n">
        <f>1.0</f>
        <v>1.0</v>
      </c>
      <c r="G13" s="21" t="n">
        <f>4380552465745.0</f>
        <v>4.380552465745E12</v>
      </c>
      <c r="H13" s="22" t="n">
        <f>505458298470.0</f>
        <v>5.0545829847E11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617694.0</f>
        <v>617694.0</v>
      </c>
      <c r="E14" s="22" t="n">
        <f>36388.0</f>
        <v>36388.0</v>
      </c>
      <c r="F14" s="23" t="n">
        <f>1.0</f>
        <v>1.0</v>
      </c>
      <c r="G14" s="21" t="n">
        <f>6228342718436.0</f>
        <v>6.228342718436E12</v>
      </c>
      <c r="H14" s="22" t="n">
        <f>948865769536.0</f>
        <v>9.48865769536E11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1755030.0</f>
        <v>1755030.0</v>
      </c>
      <c r="E15" s="26" t="n">
        <f>91096.0</f>
        <v>91096.0</v>
      </c>
      <c r="F15" s="27" t="n">
        <f>1.0</f>
        <v>1.0</v>
      </c>
      <c r="G15" s="25" t="n">
        <f>15411099391941.0</f>
        <v>1.5411099391941E13</v>
      </c>
      <c r="H15" s="26" t="n">
        <f>1763628968716.0</f>
        <v>1.763628968716E12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24755.0</f>
        <v>24755.0</v>
      </c>
      <c r="E16" s="18" t="n">
        <f>108.0</f>
        <v>108.0</v>
      </c>
      <c r="F16" s="19" t="n">
        <f>0.036</f>
        <v>0.036</v>
      </c>
      <c r="G16" s="17" t="n">
        <f>1418252355000.0</f>
        <v>1.418252355E12</v>
      </c>
      <c r="H16" s="18" t="n">
        <f>13772030000.0</f>
        <v>1.377203E10</v>
      </c>
      <c r="I16" s="19" t="n">
        <f>0.295</f>
        <v>0.295</v>
      </c>
    </row>
    <row r="17" spans="1:9" ht="24.9" customHeight="1">
      <c r="A17" s="41"/>
      <c r="B17" s="39"/>
      <c r="C17" s="20" t="s">
        <v>16</v>
      </c>
      <c r="D17" s="21" t="n">
        <f>12746.0</f>
        <v>12746.0</v>
      </c>
      <c r="E17" s="22" t="n">
        <f>1852.0</f>
        <v>1852.0</v>
      </c>
      <c r="F17" s="23" t="n">
        <f>0.028</f>
        <v>0.028</v>
      </c>
      <c r="G17" s="21" t="n">
        <f>1518162899375.0</f>
        <v>1.518162899375E12</v>
      </c>
      <c r="H17" s="22" t="n">
        <f>236080050000.0</f>
        <v>2.3608005E11</v>
      </c>
      <c r="I17" s="23" t="n">
        <f>0.347</f>
        <v>0.347</v>
      </c>
    </row>
    <row r="18" spans="1:9" ht="24.9" customHeight="1">
      <c r="A18" s="41"/>
      <c r="B18" s="39"/>
      <c r="C18" s="20" t="s">
        <v>17</v>
      </c>
      <c r="D18" s="21" t="n">
        <f>16279.0</f>
        <v>16279.0</v>
      </c>
      <c r="E18" s="22" t="n">
        <f>2319.0</f>
        <v>2319.0</v>
      </c>
      <c r="F18" s="23" t="n">
        <f>0.026</f>
        <v>0.026</v>
      </c>
      <c r="G18" s="21" t="n">
        <f>1784952056250.0</f>
        <v>1.78495205625E12</v>
      </c>
      <c r="H18" s="22" t="n">
        <f>295596915000.0</f>
        <v>2.95596915E11</v>
      </c>
      <c r="I18" s="23" t="n">
        <f>0.287</f>
        <v>0.287</v>
      </c>
    </row>
    <row r="19" spans="1:9" ht="24.9" customHeight="1">
      <c r="A19" s="41"/>
      <c r="B19" s="39"/>
      <c r="C19" s="24" t="s">
        <v>18</v>
      </c>
      <c r="D19" s="25" t="n">
        <f>53780.0</f>
        <v>53780.0</v>
      </c>
      <c r="E19" s="26" t="n">
        <f>4279.0</f>
        <v>4279.0</v>
      </c>
      <c r="F19" s="27" t="n">
        <f>0.031</f>
        <v>0.031</v>
      </c>
      <c r="G19" s="25" t="n">
        <f>4721367310625.0</f>
        <v>4.721367310625E12</v>
      </c>
      <c r="H19" s="26" t="n">
        <f>545448995000.0</f>
        <v>5.45448995E11</v>
      </c>
      <c r="I19" s="27" t="n">
        <f>0.306</f>
        <v>0.306</v>
      </c>
    </row>
    <row r="20" spans="1:9" ht="24.9" customHeight="1">
      <c r="A20" s="41"/>
      <c r="B20" s="39" t="s">
        <v>21</v>
      </c>
      <c r="C20" s="16" t="s">
        <v>15</v>
      </c>
      <c r="D20" s="17" t="n">
        <f>644551.0</f>
        <v>644551.0</v>
      </c>
      <c r="E20" s="18" t="n">
        <f>31460.0</f>
        <v>31460.0</v>
      </c>
      <c r="F20" s="19" t="n">
        <f>0.947</f>
        <v>0.947</v>
      </c>
      <c r="G20" s="17" t="n">
        <f>3252793603060.0</f>
        <v>3.25279360306E12</v>
      </c>
      <c r="H20" s="18" t="n">
        <f>295532870710.0</f>
        <v>2.9553287071E11</v>
      </c>
      <c r="I20" s="19" t="n">
        <f>0.677</f>
        <v>0.677</v>
      </c>
    </row>
    <row r="21" spans="1:9" ht="24.9" customHeight="1">
      <c r="A21" s="41"/>
      <c r="B21" s="39"/>
      <c r="C21" s="20" t="s">
        <v>16</v>
      </c>
      <c r="D21" s="21" t="n">
        <f>436235.0</f>
        <v>436235.0</v>
      </c>
      <c r="E21" s="22" t="n">
        <f>21288.0</f>
        <v>21288.0</v>
      </c>
      <c r="F21" s="23" t="n">
        <f>0.956</f>
        <v>0.956</v>
      </c>
      <c r="G21" s="21" t="n">
        <f>2775448122520.0</f>
        <v>2.77544812252E12</v>
      </c>
      <c r="H21" s="22" t="n">
        <f>269378248470.0</f>
        <v>2.6937824847E11</v>
      </c>
      <c r="I21" s="23" t="n">
        <f>0.634</f>
        <v>0.634</v>
      </c>
    </row>
    <row r="22" spans="1:9" ht="24.9" customHeight="1">
      <c r="A22" s="41"/>
      <c r="B22" s="39"/>
      <c r="C22" s="20" t="s">
        <v>17</v>
      </c>
      <c r="D22" s="21" t="n">
        <f>592346.0</f>
        <v>592346.0</v>
      </c>
      <c r="E22" s="22" t="n">
        <f>34053.0</f>
        <v>34053.0</v>
      </c>
      <c r="F22" s="23" t="n">
        <f>0.959</f>
        <v>0.959</v>
      </c>
      <c r="G22" s="21" t="n">
        <f>4359830288836.0</f>
        <v>4.359830288836E12</v>
      </c>
      <c r="H22" s="22" t="n">
        <f>653224560986.0</f>
        <v>6.53224560986E11</v>
      </c>
      <c r="I22" s="23" t="n">
        <f>0.7</f>
        <v>0.7</v>
      </c>
    </row>
    <row r="23" spans="1:9" ht="24.9" customHeight="1">
      <c r="A23" s="41"/>
      <c r="B23" s="39"/>
      <c r="C23" s="24" t="s">
        <v>18</v>
      </c>
      <c r="D23" s="25" t="n">
        <f>1673132.0</f>
        <v>1673132.0</v>
      </c>
      <c r="E23" s="26" t="n">
        <f>86801.0</f>
        <v>86801.0</v>
      </c>
      <c r="F23" s="27" t="n">
        <f>0.953</f>
        <v>0.953</v>
      </c>
      <c r="G23" s="25" t="n">
        <f>10388072014416.0</f>
        <v>1.0388072014416E13</v>
      </c>
      <c r="H23" s="26" t="n">
        <f>1218135680166.0</f>
        <v>1.218135680166E12</v>
      </c>
      <c r="I23" s="27" t="n">
        <f>0.674</f>
        <v>0.674</v>
      </c>
    </row>
    <row r="24" spans="1:9" ht="24.9" customHeight="1">
      <c r="A24" s="41"/>
      <c r="B24" s="39" t="s">
        <v>22</v>
      </c>
      <c r="C24" s="16" t="s">
        <v>15</v>
      </c>
      <c r="D24" s="17" t="n">
        <f>11163.0</f>
        <v>11163.0</v>
      </c>
      <c r="E24" s="18" t="n">
        <f>0.0</f>
        <v>0.0</v>
      </c>
      <c r="F24" s="19" t="n">
        <f>0.016</f>
        <v>0.016</v>
      </c>
      <c r="G24" s="17" t="n">
        <f>129629424200.0</f>
        <v>1.296294242E11</v>
      </c>
      <c r="H24" s="18" t="n">
        <f>0.0</f>
        <v>0.0</v>
      </c>
      <c r="I24" s="19" t="n">
        <f>0.027</f>
        <v>0.027</v>
      </c>
    </row>
    <row r="25" spans="1:9" ht="24.9" customHeight="1">
      <c r="A25" s="41"/>
      <c r="B25" s="39"/>
      <c r="C25" s="20" t="s">
        <v>16</v>
      </c>
      <c r="D25" s="21" t="n">
        <f>7343.0</f>
        <v>7343.0</v>
      </c>
      <c r="E25" s="22" t="n">
        <f>0.0</f>
        <v>0.0</v>
      </c>
      <c r="F25" s="23" t="n">
        <f>0.016</f>
        <v>0.016</v>
      </c>
      <c r="G25" s="21" t="n">
        <f>86310554850.0</f>
        <v>8.631055485E10</v>
      </c>
      <c r="H25" s="22" t="n">
        <f>0.0</f>
        <v>0.0</v>
      </c>
      <c r="I25" s="23" t="n">
        <f>0.02</f>
        <v>0.02</v>
      </c>
    </row>
    <row r="26" spans="1:9" ht="24.9" customHeight="1">
      <c r="A26" s="41"/>
      <c r="B26" s="39"/>
      <c r="C26" s="20" t="s">
        <v>17</v>
      </c>
      <c r="D26" s="21" t="n">
        <f>8008.0</f>
        <v>8008.0</v>
      </c>
      <c r="E26" s="22" t="n">
        <f>11.0</f>
        <v>11.0</v>
      </c>
      <c r="F26" s="23" t="n">
        <f>0.013</f>
        <v>0.013</v>
      </c>
      <c r="G26" s="21" t="n">
        <f>79374822850.0</f>
        <v>7.937482285E10</v>
      </c>
      <c r="H26" s="22" t="n">
        <f>36574550.0</f>
        <v>3.657455E7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26514.0</f>
        <v>26514.0</v>
      </c>
      <c r="E27" s="26" t="n">
        <f>11.0</f>
        <v>11.0</v>
      </c>
      <c r="F27" s="27" t="n">
        <f>0.015</f>
        <v>0.015</v>
      </c>
      <c r="G27" s="25" t="n">
        <f>295314801900.0</f>
        <v>2.953148019E11</v>
      </c>
      <c r="H27" s="26" t="n">
        <f>36574550.0</f>
        <v>3.657455E7</v>
      </c>
      <c r="I27" s="27" t="n">
        <f>0.019</f>
        <v>0.019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385.0</f>
        <v>385.0</v>
      </c>
      <c r="E28" s="18" t="n">
        <f>0.0</f>
        <v>0.0</v>
      </c>
      <c r="F28" s="19" t="n">
        <f>0.001</f>
        <v>0.001</v>
      </c>
      <c r="G28" s="17" t="n">
        <f>1528825500.0</f>
        <v>1.5288255E9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158.0</f>
        <v>158.0</v>
      </c>
      <c r="E29" s="22" t="n">
        <f>0.0</f>
        <v>0.0</v>
      </c>
      <c r="F29" s="23" t="n">
        <f>0.0</f>
        <v>0.0</v>
      </c>
      <c r="G29" s="21" t="n">
        <f>630889000.0</f>
        <v>6.30889E8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1061.0</f>
        <v>1061.0</v>
      </c>
      <c r="E30" s="22" t="n">
        <f>5.0</f>
        <v>5.0</v>
      </c>
      <c r="F30" s="23" t="n">
        <f>0.002</f>
        <v>0.002</v>
      </c>
      <c r="G30" s="21" t="n">
        <f>4185550500.0</f>
        <v>4.1855505E9</v>
      </c>
      <c r="H30" s="22" t="n">
        <f>7719000.0</f>
        <v>7719000.0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1604.0</f>
        <v>1604.0</v>
      </c>
      <c r="E31" s="26" t="n">
        <f>5.0</f>
        <v>5.0</v>
      </c>
      <c r="F31" s="27" t="n">
        <f>0.001</f>
        <v>0.001</v>
      </c>
      <c r="G31" s="25" t="n">
        <f>6345265000.0</f>
        <v>6.345265E9</v>
      </c>
      <c r="H31" s="26" t="n">
        <f>7719000.0</f>
        <v>7719000.0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25455</f>
        <v>25455.0</v>
      </c>
      <c r="E11" s="18" t="n">
        <f>5847</f>
        <v>5847.0</v>
      </c>
      <c r="F11" s="19" t="n">
        <f>1</f>
        <v>1.0</v>
      </c>
      <c r="G11" s="17" t="n">
        <f>6649321530</f>
        <v>6.64932153E9</v>
      </c>
      <c r="H11" s="18" t="n">
        <f>4430736230</f>
        <v>4.43073623E9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36116</f>
        <v>36116.0</v>
      </c>
      <c r="E12" s="22" t="n">
        <f>4366</f>
        <v>4366.0</v>
      </c>
      <c r="F12" s="23" t="n">
        <f>1</f>
        <v>1.0</v>
      </c>
      <c r="G12" s="21" t="n">
        <f>8013437670</f>
        <v>8.01343767E9</v>
      </c>
      <c r="H12" s="22" t="n">
        <f>4214869640</f>
        <v>4.21486964E9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65949</f>
        <v>65949.0</v>
      </c>
      <c r="E13" s="22" t="n">
        <f>19174</f>
        <v>19174.0</v>
      </c>
      <c r="F13" s="23" t="n">
        <f>1</f>
        <v>1.0</v>
      </c>
      <c r="G13" s="21" t="n">
        <f>22687929935</f>
        <v>2.2687929935E10</v>
      </c>
      <c r="H13" s="22" t="n">
        <f>16928103970</f>
        <v>1.692810397E10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127520</f>
        <v>127520.0</v>
      </c>
      <c r="E14" s="26" t="n">
        <f>29387</f>
        <v>29387.0</v>
      </c>
      <c r="F14" s="27" t="n">
        <f>1</f>
        <v>1.0</v>
      </c>
      <c r="G14" s="25" t="n">
        <f>37350689135</f>
        <v>3.7350689135E10</v>
      </c>
      <c r="H14" s="26" t="n">
        <f>25573709840</f>
        <v>2.557370984E10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</f>
        <v>3.0</v>
      </c>
      <c r="E16" s="22" t="n">
        <f>0</f>
        <v>0.0</v>
      </c>
      <c r="F16" s="23" t="n">
        <f>0</f>
        <v>0.0</v>
      </c>
      <c r="G16" s="21" t="n">
        <f>380000</f>
        <v>380000.0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147</f>
        <v>147.0</v>
      </c>
      <c r="E17" s="22" t="n">
        <f>0</f>
        <v>0.0</v>
      </c>
      <c r="F17" s="23" t="n">
        <f>0.002</f>
        <v>0.002</v>
      </c>
      <c r="G17" s="21" t="n">
        <f>17080000</f>
        <v>1.708E7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150</f>
        <v>150.0</v>
      </c>
      <c r="E18" s="26" t="n">
        <f>0</f>
        <v>0.0</v>
      </c>
      <c r="F18" s="27" t="n">
        <f>0.001</f>
        <v>0.001</v>
      </c>
      <c r="G18" s="25" t="n">
        <f>17460000</f>
        <v>1.746E7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25455</f>
        <v>25455.0</v>
      </c>
      <c r="E19" s="18" t="n">
        <f>5847</f>
        <v>5847.0</v>
      </c>
      <c r="F19" s="19" t="n">
        <f>1</f>
        <v>1.0</v>
      </c>
      <c r="G19" s="17" t="n">
        <f>6649321530</f>
        <v>6.64932153E9</v>
      </c>
      <c r="H19" s="18" t="n">
        <f>4430736230</f>
        <v>4.43073623E9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31838</f>
        <v>31838.0</v>
      </c>
      <c r="E20" s="22" t="n">
        <f>4366</f>
        <v>4366.0</v>
      </c>
      <c r="F20" s="23" t="n">
        <f>0.882</f>
        <v>0.882</v>
      </c>
      <c r="G20" s="21" t="n">
        <f>7917932340</f>
        <v>7.91793234E9</v>
      </c>
      <c r="H20" s="22" t="n">
        <f>4214869640</f>
        <v>4.21486964E9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55170</f>
        <v>55170.0</v>
      </c>
      <c r="E21" s="22" t="n">
        <f>17484</f>
        <v>17484.0</v>
      </c>
      <c r="F21" s="23" t="n">
        <f>0.837</f>
        <v>0.837</v>
      </c>
      <c r="G21" s="21" t="n">
        <f>22527996670</f>
        <v>2.252799667E10</v>
      </c>
      <c r="H21" s="22" t="n">
        <f>16825293970</f>
        <v>1.682529397E10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112463</f>
        <v>112463.0</v>
      </c>
      <c r="E22" s="26" t="n">
        <f>27697</f>
        <v>27697.0</v>
      </c>
      <c r="F22" s="27" t="n">
        <f>0.882</f>
        <v>0.882</v>
      </c>
      <c r="G22" s="25" t="n">
        <f>37095250540</f>
        <v>3.709525054E10</v>
      </c>
      <c r="H22" s="26" t="n">
        <f>25470899840</f>
        <v>2.547089984E10</v>
      </c>
      <c r="I22" s="27" t="n">
        <f>0.993</f>
        <v>0.993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4275</f>
        <v>4275.0</v>
      </c>
      <c r="E24" s="22" t="n">
        <f>0</f>
        <v>0.0</v>
      </c>
      <c r="F24" s="23" t="n">
        <f>0.118</f>
        <v>0.118</v>
      </c>
      <c r="G24" s="21" t="n">
        <f>95125330</f>
        <v>9.512533E7</v>
      </c>
      <c r="H24" s="22" t="n">
        <f>0</f>
        <v>0.0</v>
      </c>
      <c r="I24" s="23" t="n">
        <f>0.012</f>
        <v>0.012</v>
      </c>
    </row>
    <row r="25" spans="1:9" ht="24.9" customHeight="1">
      <c r="A25" s="41"/>
      <c r="B25" s="39"/>
      <c r="C25" s="20" t="s">
        <v>17</v>
      </c>
      <c r="D25" s="21" t="n">
        <f>10632</f>
        <v>10632.0</v>
      </c>
      <c r="E25" s="22" t="n">
        <f>1690</f>
        <v>1690.0</v>
      </c>
      <c r="F25" s="23" t="n">
        <f>0.161</f>
        <v>0.161</v>
      </c>
      <c r="G25" s="21" t="n">
        <f>142853265</f>
        <v>1.42853265E8</v>
      </c>
      <c r="H25" s="22" t="n">
        <f>102810000</f>
        <v>1.0281E8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14907</f>
        <v>14907.0</v>
      </c>
      <c r="E26" s="26" t="n">
        <f>1690</f>
        <v>1690.0</v>
      </c>
      <c r="F26" s="27" t="n">
        <f>0.117</f>
        <v>0.117</v>
      </c>
      <c r="G26" s="25" t="n">
        <f>237978595</f>
        <v>2.37978595E8</v>
      </c>
      <c r="H26" s="26" t="n">
        <f>102810000</f>
        <v>1.0281E8</v>
      </c>
      <c r="I26" s="27" t="n">
        <f>0.006</f>
        <v>0.006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46225.0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46225.0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11244.0</v>
      </c>
      <c r="F12" s="18" t="n">
        <f>703</f>
        <v>703.0</v>
      </c>
      <c r="G12" s="17" t="n">
        <v>7.495175703E11</v>
      </c>
      <c r="H12" s="18" t="n">
        <f>46733589300</f>
        <v>4.67335893E10</v>
      </c>
    </row>
    <row r="13" spans="1:8" ht="24.9" customHeight="1">
      <c r="A13" s="51"/>
      <c r="B13" s="57"/>
      <c r="C13" s="39"/>
      <c r="D13" s="20" t="s">
        <v>16</v>
      </c>
      <c r="E13" s="21" t="n">
        <v>11208.0</v>
      </c>
      <c r="F13" s="22" t="n">
        <f>2065</f>
        <v>2065.0</v>
      </c>
      <c r="G13" s="21" t="n">
        <v>7.557488656E11</v>
      </c>
      <c r="H13" s="22" t="n">
        <f>139119866600</f>
        <v>1.391198666E11</v>
      </c>
    </row>
    <row r="14" spans="1:8" ht="24.9" customHeight="1">
      <c r="A14" s="51"/>
      <c r="B14" s="57"/>
      <c r="C14" s="39"/>
      <c r="D14" s="20" t="s">
        <v>17</v>
      </c>
      <c r="E14" s="21" t="n">
        <v>21000.0</v>
      </c>
      <c r="F14" s="22" t="n">
        <f>4782</f>
        <v>4782.0</v>
      </c>
      <c r="G14" s="21" t="n">
        <v>1.399411365346E12</v>
      </c>
      <c r="H14" s="22" t="n">
        <f>318315486346</f>
        <v>3.18315486346E11</v>
      </c>
    </row>
    <row r="15" spans="1:8" ht="24.9" customHeight="1">
      <c r="A15" s="51"/>
      <c r="B15" s="57"/>
      <c r="C15" s="39"/>
      <c r="D15" s="24" t="s">
        <v>18</v>
      </c>
      <c r="E15" s="25" t="n">
        <v>43452.0</v>
      </c>
      <c r="F15" s="26" t="n">
        <f>7550</f>
        <v>7550.0</v>
      </c>
      <c r="G15" s="25" t="n">
        <v>2.904677801246E12</v>
      </c>
      <c r="H15" s="26" t="n">
        <f>504168942246</f>
        <v>5.04168942246E11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241424.0</v>
      </c>
      <c r="F16" s="18" t="n">
        <f>28921</f>
        <v>28921.0</v>
      </c>
      <c r="G16" s="17" t="n">
        <v>1.60795479537E12</v>
      </c>
      <c r="H16" s="18" t="n">
        <f>192571795370</f>
        <v>1.9257179537E11</v>
      </c>
    </row>
    <row r="17" spans="1:8" ht="24.9" customHeight="1">
      <c r="A17" s="51"/>
      <c r="B17" s="57"/>
      <c r="C17" s="39"/>
      <c r="D17" s="20" t="s">
        <v>16</v>
      </c>
      <c r="E17" s="21" t="n">
        <v>184345.0</v>
      </c>
      <c r="F17" s="22" t="n">
        <f>18914</f>
        <v>18914.0</v>
      </c>
      <c r="G17" s="21" t="n">
        <v>1.24319714237E12</v>
      </c>
      <c r="H17" s="22" t="n">
        <f>127560255870</f>
        <v>1.2756025587E11</v>
      </c>
    </row>
    <row r="18" spans="1:8" ht="24.9" customHeight="1">
      <c r="A18" s="51"/>
      <c r="B18" s="57"/>
      <c r="C18" s="39"/>
      <c r="D18" s="20" t="s">
        <v>17</v>
      </c>
      <c r="E18" s="21" t="n">
        <v>240887.0</v>
      </c>
      <c r="F18" s="22" t="n">
        <f>24203</f>
        <v>24203.0</v>
      </c>
      <c r="G18" s="21" t="n">
        <v>1.60807860382E12</v>
      </c>
      <c r="H18" s="22" t="n">
        <f>161745185320</f>
        <v>1.6174518532E11</v>
      </c>
    </row>
    <row r="19" spans="1:8" ht="24.9" customHeight="1">
      <c r="A19" s="51"/>
      <c r="B19" s="57"/>
      <c r="C19" s="39"/>
      <c r="D19" s="24" t="s">
        <v>18</v>
      </c>
      <c r="E19" s="25" t="n">
        <v>666656.0</v>
      </c>
      <c r="F19" s="26" t="n">
        <f>72038</f>
        <v>72038.0</v>
      </c>
      <c r="G19" s="25" t="n">
        <v>4.45923054156E12</v>
      </c>
      <c r="H19" s="26" t="n">
        <f>481877236560</f>
        <v>4.8187723656E11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371488.0</v>
      </c>
      <c r="F20" s="18" t="str">
        <f>"－"</f>
        <v>－</v>
      </c>
      <c r="G20" s="17" t="n">
        <v>2.4730372075E11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217251.0</v>
      </c>
      <c r="F21" s="22" t="str">
        <f>"－"</f>
        <v>－</v>
      </c>
      <c r="G21" s="21" t="n">
        <v>1.4650626705E11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290031.0</v>
      </c>
      <c r="F22" s="22" t="str">
        <f>"－"</f>
        <v>－</v>
      </c>
      <c r="G22" s="21" t="n">
        <v>1.9369421695E11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878770.0</v>
      </c>
      <c r="F23" s="26" t="str">
        <f>"－"</f>
        <v>－</v>
      </c>
      <c r="G23" s="25" t="n">
        <v>5.8750420475E11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15602.0</v>
      </c>
      <c r="F24" s="18" t="n">
        <f>1341</f>
        <v>1341.0</v>
      </c>
      <c r="G24" s="17" t="n">
        <v>6.297645895E11</v>
      </c>
      <c r="H24" s="18" t="n">
        <f>54260114500</f>
        <v>5.42601145E10</v>
      </c>
    </row>
    <row r="25" spans="1:8" ht="24.9" customHeight="1">
      <c r="A25" s="51"/>
      <c r="B25" s="57"/>
      <c r="C25" s="39"/>
      <c r="D25" s="20" t="s">
        <v>16</v>
      </c>
      <c r="E25" s="21" t="n">
        <v>14769.0</v>
      </c>
      <c r="F25" s="22" t="n">
        <f>44</f>
        <v>44.0</v>
      </c>
      <c r="G25" s="21" t="n">
        <v>5.9998484E11</v>
      </c>
      <c r="H25" s="22" t="n">
        <f>1785795000</f>
        <v>1.785795E9</v>
      </c>
    </row>
    <row r="26" spans="1:8" ht="24.9" customHeight="1">
      <c r="A26" s="51"/>
      <c r="B26" s="57"/>
      <c r="C26" s="39"/>
      <c r="D26" s="20" t="s">
        <v>17</v>
      </c>
      <c r="E26" s="21" t="n">
        <v>27439.0</v>
      </c>
      <c r="F26" s="22" t="n">
        <f>4211</f>
        <v>4211.0</v>
      </c>
      <c r="G26" s="21" t="n">
        <v>1.1119717473E12</v>
      </c>
      <c r="H26" s="22" t="n">
        <f>170280017300</f>
        <v>1.702800173E11</v>
      </c>
    </row>
    <row r="27" spans="1:8" ht="24.9" customHeight="1">
      <c r="A27" s="51"/>
      <c r="B27" s="57"/>
      <c r="C27" s="39"/>
      <c r="D27" s="24" t="s">
        <v>18</v>
      </c>
      <c r="E27" s="25" t="n">
        <v>57810.0</v>
      </c>
      <c r="F27" s="26" t="n">
        <f>5596</f>
        <v>5596.0</v>
      </c>
      <c r="G27" s="25" t="n">
        <v>2.3417211768E12</v>
      </c>
      <c r="H27" s="26" t="n">
        <f>226325926800</f>
        <v>2.263259268E11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4027.0</v>
      </c>
      <c r="F28" s="18" t="n">
        <f>481</f>
        <v>481.0</v>
      </c>
      <c r="G28" s="17" t="n">
        <v>1.623211795E10</v>
      </c>
      <c r="H28" s="18" t="n">
        <f>1936408450</f>
        <v>1.93640845E9</v>
      </c>
    </row>
    <row r="29" spans="1:8" ht="24.9" customHeight="1">
      <c r="A29" s="51"/>
      <c r="B29" s="57"/>
      <c r="C29" s="39"/>
      <c r="D29" s="20" t="s">
        <v>16</v>
      </c>
      <c r="E29" s="21" t="n">
        <v>5880.0</v>
      </c>
      <c r="F29" s="22" t="n">
        <f>203</f>
        <v>203.0</v>
      </c>
      <c r="G29" s="21" t="n">
        <v>2.38771102E10</v>
      </c>
      <c r="H29" s="22" t="n">
        <f>824906200</f>
        <v>8.249062E8</v>
      </c>
    </row>
    <row r="30" spans="1:8" ht="24.9" customHeight="1">
      <c r="A30" s="51"/>
      <c r="B30" s="57"/>
      <c r="C30" s="39"/>
      <c r="D30" s="20" t="s">
        <v>17</v>
      </c>
      <c r="E30" s="21" t="n">
        <v>9861.0</v>
      </c>
      <c r="F30" s="22" t="n">
        <f>566</f>
        <v>566.0</v>
      </c>
      <c r="G30" s="21" t="n">
        <v>3.999220474E10</v>
      </c>
      <c r="H30" s="22" t="n">
        <f>2290369240</f>
        <v>2.29036924E9</v>
      </c>
    </row>
    <row r="31" spans="1:8" ht="24.9" customHeight="1">
      <c r="A31" s="51"/>
      <c r="B31" s="57"/>
      <c r="C31" s="39"/>
      <c r="D31" s="24" t="s">
        <v>18</v>
      </c>
      <c r="E31" s="25" t="n">
        <v>19768.0</v>
      </c>
      <c r="F31" s="26" t="n">
        <f>1250</f>
        <v>1250.0</v>
      </c>
      <c r="G31" s="25" t="n">
        <v>8.010143289E10</v>
      </c>
      <c r="H31" s="26" t="n">
        <f>5051683890</f>
        <v>5.05168389E9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216.0</v>
      </c>
      <c r="F36" s="18" t="n">
        <f>1</f>
        <v>1.0</v>
      </c>
      <c r="G36" s="17" t="n">
        <v>7.879E8</v>
      </c>
      <c r="H36" s="18" t="n">
        <f>3671500</f>
        <v>3671500.0</v>
      </c>
    </row>
    <row r="37" spans="1:8" ht="24.9" customHeight="1">
      <c r="A37" s="51"/>
      <c r="B37" s="57"/>
      <c r="C37" s="39"/>
      <c r="D37" s="20" t="s">
        <v>16</v>
      </c>
      <c r="E37" s="21" t="n">
        <v>1348.0</v>
      </c>
      <c r="F37" s="22" t="n">
        <f>2</f>
        <v>2.0</v>
      </c>
      <c r="G37" s="21" t="n">
        <v>4.9536305E9</v>
      </c>
      <c r="H37" s="22" t="n">
        <f>7344500</f>
        <v>7344500.0</v>
      </c>
    </row>
    <row r="38" spans="1:8" ht="24.9" customHeight="1">
      <c r="A38" s="51"/>
      <c r="B38" s="57"/>
      <c r="C38" s="39"/>
      <c r="D38" s="20" t="s">
        <v>17</v>
      </c>
      <c r="E38" s="21" t="n">
        <v>1242.0</v>
      </c>
      <c r="F38" s="22" t="n">
        <f>9</f>
        <v>9.0</v>
      </c>
      <c r="G38" s="21" t="n">
        <v>4.55365995E9</v>
      </c>
      <c r="H38" s="22" t="n">
        <f>33066950</f>
        <v>3.306695E7</v>
      </c>
    </row>
    <row r="39" spans="1:8" ht="24.9" customHeight="1">
      <c r="A39" s="51"/>
      <c r="B39" s="57"/>
      <c r="C39" s="39"/>
      <c r="D39" s="24" t="s">
        <v>18</v>
      </c>
      <c r="E39" s="25" t="n">
        <v>2806.0</v>
      </c>
      <c r="F39" s="26" t="n">
        <f>12</f>
        <v>12.0</v>
      </c>
      <c r="G39" s="25" t="n">
        <v>1.029519045E10</v>
      </c>
      <c r="H39" s="26" t="n">
        <f>44082950</f>
        <v>4.408295E7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5.0</v>
      </c>
      <c r="F45" s="22" t="n">
        <f>5</f>
        <v>5.0</v>
      </c>
      <c r="G45" s="21" t="n">
        <v>3.7332E7</v>
      </c>
      <c r="H45" s="22" t="n">
        <f>37332000</f>
        <v>3.7332E7</v>
      </c>
    </row>
    <row r="46" spans="1:8" ht="24.9" customHeight="1">
      <c r="A46" s="51"/>
      <c r="B46" s="57"/>
      <c r="C46" s="39"/>
      <c r="D46" s="20" t="s">
        <v>17</v>
      </c>
      <c r="E46" s="21" t="n">
        <v>13.0</v>
      </c>
      <c r="F46" s="22" t="n">
        <f>13</f>
        <v>13.0</v>
      </c>
      <c r="G46" s="21" t="n">
        <v>9.802E7</v>
      </c>
      <c r="H46" s="22" t="n">
        <f>98020000</f>
        <v>9.802E7</v>
      </c>
    </row>
    <row r="47" spans="1:8" ht="24.9" customHeight="1">
      <c r="A47" s="51"/>
      <c r="B47" s="57"/>
      <c r="C47" s="39"/>
      <c r="D47" s="24" t="s">
        <v>18</v>
      </c>
      <c r="E47" s="25" t="n">
        <v>18.0</v>
      </c>
      <c r="F47" s="26" t="n">
        <f>18</f>
        <v>18.0</v>
      </c>
      <c r="G47" s="25" t="n">
        <v>1.35352E8</v>
      </c>
      <c r="H47" s="26" t="n">
        <f>135352000</f>
        <v>1.35352E8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4.0</v>
      </c>
      <c r="F48" s="18" t="n">
        <f>4</f>
        <v>4.0</v>
      </c>
      <c r="G48" s="17" t="n">
        <v>7410000.0</v>
      </c>
      <c r="H48" s="18" t="n">
        <f>7410000</f>
        <v>7410000.0</v>
      </c>
    </row>
    <row r="49" spans="1:8" ht="24.9" customHeight="1">
      <c r="A49" s="51"/>
      <c r="B49" s="57"/>
      <c r="C49" s="39"/>
      <c r="D49" s="20" t="s">
        <v>16</v>
      </c>
      <c r="E49" s="21" t="n">
        <v>7.0</v>
      </c>
      <c r="F49" s="22" t="n">
        <f>0</f>
        <v>0.0</v>
      </c>
      <c r="G49" s="21" t="n">
        <v>1.29395E7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459.0</v>
      </c>
      <c r="F50" s="22" t="n">
        <f>239</f>
        <v>239.0</v>
      </c>
      <c r="G50" s="21" t="n">
        <v>8.4794213E8</v>
      </c>
      <c r="H50" s="22" t="n">
        <f>441593130</f>
        <v>4.4159313E8</v>
      </c>
    </row>
    <row r="51" spans="1:8" ht="24.9" customHeight="1">
      <c r="A51" s="51"/>
      <c r="B51" s="57"/>
      <c r="C51" s="39"/>
      <c r="D51" s="24" t="s">
        <v>18</v>
      </c>
      <c r="E51" s="25" t="n">
        <v>470.0</v>
      </c>
      <c r="F51" s="26" t="n">
        <f>243</f>
        <v>243.0</v>
      </c>
      <c r="G51" s="25" t="n">
        <v>8.6829163E8</v>
      </c>
      <c r="H51" s="26" t="n">
        <f>449003130</f>
        <v>4.4900313E8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167.0</v>
      </c>
      <c r="F56" s="18" t="n">
        <f>6</f>
        <v>6.0</v>
      </c>
      <c r="G56" s="17" t="n">
        <v>1.160401E8</v>
      </c>
      <c r="H56" s="18" t="n">
        <f>4175100</f>
        <v>4175100.0</v>
      </c>
    </row>
    <row r="57" spans="1:8" ht="24.9" customHeight="1">
      <c r="A57" s="51"/>
      <c r="B57" s="57"/>
      <c r="C57" s="39"/>
      <c r="D57" s="20" t="s">
        <v>16</v>
      </c>
      <c r="E57" s="21" t="n">
        <v>1339.0</v>
      </c>
      <c r="F57" s="22" t="n">
        <f>54</f>
        <v>54.0</v>
      </c>
      <c r="G57" s="21" t="n">
        <v>9.295369E8</v>
      </c>
      <c r="H57" s="22" t="n">
        <f>37506900</f>
        <v>3.75069E7</v>
      </c>
    </row>
    <row r="58" spans="1:8" ht="24.9" customHeight="1">
      <c r="A58" s="51"/>
      <c r="B58" s="57"/>
      <c r="C58" s="39"/>
      <c r="D58" s="20" t="s">
        <v>17</v>
      </c>
      <c r="E58" s="21" t="n">
        <v>1305.0</v>
      </c>
      <c r="F58" s="22" t="n">
        <f>30</f>
        <v>30.0</v>
      </c>
      <c r="G58" s="21" t="n">
        <v>9.038547E8</v>
      </c>
      <c r="H58" s="22" t="n">
        <f>20822700</f>
        <v>2.08227E7</v>
      </c>
    </row>
    <row r="59" spans="1:8" ht="24.9" customHeight="1">
      <c r="A59" s="51"/>
      <c r="B59" s="57"/>
      <c r="C59" s="39"/>
      <c r="D59" s="24" t="s">
        <v>18</v>
      </c>
      <c r="E59" s="25" t="n">
        <v>2811.0</v>
      </c>
      <c r="F59" s="26" t="n">
        <f>90</f>
        <v>90.0</v>
      </c>
      <c r="G59" s="25" t="n">
        <v>1.9494317E9</v>
      </c>
      <c r="H59" s="26" t="n">
        <f>62504700</f>
        <v>6.25047E7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93.0</v>
      </c>
      <c r="F60" s="18" t="n">
        <f>3</f>
        <v>3.0</v>
      </c>
      <c r="G60" s="17" t="n">
        <v>4.8658129E8</v>
      </c>
      <c r="H60" s="18" t="n">
        <f>15706490</f>
        <v>1.570649E7</v>
      </c>
    </row>
    <row r="61" spans="1:8" ht="24.9" customHeight="1">
      <c r="A61" s="51"/>
      <c r="B61" s="57"/>
      <c r="C61" s="39"/>
      <c r="D61" s="20" t="s">
        <v>16</v>
      </c>
      <c r="E61" s="21" t="n">
        <v>10.0</v>
      </c>
      <c r="F61" s="22" t="n">
        <f>1</f>
        <v>1.0</v>
      </c>
      <c r="G61" s="21" t="n">
        <v>5.2414E7</v>
      </c>
      <c r="H61" s="22" t="n">
        <f>5241400</f>
        <v>5241400.0</v>
      </c>
    </row>
    <row r="62" spans="1:8" ht="24.9" customHeight="1">
      <c r="A62" s="51"/>
      <c r="B62" s="57"/>
      <c r="C62" s="39"/>
      <c r="D62" s="20" t="s">
        <v>17</v>
      </c>
      <c r="E62" s="21" t="n">
        <v>24.0</v>
      </c>
      <c r="F62" s="22" t="n">
        <f>0</f>
        <v>0.0</v>
      </c>
      <c r="G62" s="21" t="n">
        <v>1.257512E8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127.0</v>
      </c>
      <c r="F63" s="26" t="n">
        <f>4</f>
        <v>4.0</v>
      </c>
      <c r="G63" s="25" t="n">
        <v>6.6474649E8</v>
      </c>
      <c r="H63" s="26" t="n">
        <f>20947890</f>
        <v>2.094789E7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1489500.0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13.0</v>
      </c>
      <c r="F78" s="22" t="n">
        <f>0</f>
        <v>0.0</v>
      </c>
      <c r="G78" s="21" t="n">
        <v>4696500.0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17.0</v>
      </c>
      <c r="F79" s="26" t="n">
        <f>0</f>
        <v>0.0</v>
      </c>
      <c r="G79" s="25" t="n">
        <v>6186000.0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83.0</v>
      </c>
      <c r="F92" s="18" t="n">
        <f>0</f>
        <v>0.0</v>
      </c>
      <c r="G92" s="17" t="n">
        <v>1.346357E8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25.0</v>
      </c>
      <c r="F93" s="22" t="n">
        <f>0</f>
        <v>0.0</v>
      </c>
      <c r="G93" s="21" t="n">
        <v>4.06047E7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32.0</v>
      </c>
      <c r="F94" s="22" t="n">
        <f>0</f>
        <v>0.0</v>
      </c>
      <c r="G94" s="21" t="n">
        <v>5.19742E7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140.0</v>
      </c>
      <c r="F95" s="26" t="n">
        <f>0</f>
        <v>0.0</v>
      </c>
      <c r="G95" s="25" t="n">
        <v>2.272146E8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203.0</v>
      </c>
      <c r="F96" s="18" t="n">
        <f>0</f>
        <v>0.0</v>
      </c>
      <c r="G96" s="17" t="n">
        <v>4.882421E8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44.0</v>
      </c>
      <c r="F97" s="22" t="n">
        <f>0</f>
        <v>0.0</v>
      </c>
      <c r="G97" s="21" t="n">
        <v>1.059502E8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40.0</v>
      </c>
      <c r="F98" s="22" t="n">
        <f>0</f>
        <v>0.0</v>
      </c>
      <c r="G98" s="21" t="n">
        <v>9.6252E7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287.0</v>
      </c>
      <c r="F99" s="26" t="n">
        <f>0</f>
        <v>0.0</v>
      </c>
      <c r="G99" s="25" t="n">
        <v>6.904443E8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7837.0</v>
      </c>
      <c r="F108" s="18" t="n">
        <f>108</f>
        <v>108.0</v>
      </c>
      <c r="G108" s="17" t="n">
        <v>9.9971809E11</v>
      </c>
      <c r="H108" s="18" t="n">
        <f>13772030000</f>
        <v>1.377203E10</v>
      </c>
    </row>
    <row r="109" spans="1:8" ht="24.9" customHeight="1">
      <c r="A109" s="51"/>
      <c r="B109" s="57"/>
      <c r="C109" s="39"/>
      <c r="D109" s="20" t="s">
        <v>16</v>
      </c>
      <c r="E109" s="21" t="n">
        <v>11789.0</v>
      </c>
      <c r="F109" s="22" t="n">
        <f>1852</f>
        <v>1852.0</v>
      </c>
      <c r="G109" s="21" t="n">
        <v>1.50277601E12</v>
      </c>
      <c r="H109" s="22" t="n">
        <f>236080050000</f>
        <v>2.3608005E11</v>
      </c>
    </row>
    <row r="110" spans="1:8" ht="24.9" customHeight="1">
      <c r="A110" s="51"/>
      <c r="B110" s="57"/>
      <c r="C110" s="39"/>
      <c r="D110" s="20" t="s">
        <v>17</v>
      </c>
      <c r="E110" s="21" t="n">
        <v>13552.0</v>
      </c>
      <c r="F110" s="22" t="n">
        <f>2319</f>
        <v>2319.0</v>
      </c>
      <c r="G110" s="21" t="n">
        <v>1.727427995E12</v>
      </c>
      <c r="H110" s="22" t="n">
        <f>295596915000</f>
        <v>2.95596915E11</v>
      </c>
    </row>
    <row r="111" spans="1:8" ht="24.9" customHeight="1">
      <c r="A111" s="51"/>
      <c r="B111" s="57"/>
      <c r="C111" s="39"/>
      <c r="D111" s="24" t="s">
        <v>18</v>
      </c>
      <c r="E111" s="25" t="n">
        <v>33178.0</v>
      </c>
      <c r="F111" s="26" t="n">
        <f>4279</f>
        <v>4279.0</v>
      </c>
      <c r="G111" s="25" t="n">
        <v>4.229922095E12</v>
      </c>
      <c r="H111" s="26" t="n">
        <f>545448995000</f>
        <v>5.45448995E11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690.0</v>
      </c>
      <c r="F113" s="22" t="n">
        <f>0</f>
        <v>0.0</v>
      </c>
      <c r="G113" s="21" t="n">
        <v>8.79525E9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690.0</v>
      </c>
      <c r="F114" s="22" t="n">
        <f>0</f>
        <v>0.0</v>
      </c>
      <c r="G114" s="21" t="n">
        <v>8.79432E9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1380.0</v>
      </c>
      <c r="F115" s="26" t="n">
        <f>0</f>
        <v>0.0</v>
      </c>
      <c r="G115" s="25" t="n">
        <v>1.758957E10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9.074E8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9.074E8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16918.0</v>
      </c>
      <c r="F120" s="18" t="n">
        <f>0</f>
        <v>0.0</v>
      </c>
      <c r="G120" s="17" t="n">
        <v>4.18534265E11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267.0</v>
      </c>
      <c r="F121" s="22" t="n">
        <f>0</f>
        <v>0.0</v>
      </c>
      <c r="G121" s="21" t="n">
        <v>6.591639375E9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1937.0</v>
      </c>
      <c r="F122" s="22" t="n">
        <f>0</f>
        <v>0.0</v>
      </c>
      <c r="G122" s="21" t="n">
        <v>4.782234125E10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19122.0</v>
      </c>
      <c r="F123" s="26" t="n">
        <f>0</f>
        <v>0.0</v>
      </c>
      <c r="G123" s="25" t="n">
        <v>4.72948245625E11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5350.0</v>
      </c>
      <c r="F124" s="18" t="n">
        <f>0</f>
        <v>0.0</v>
      </c>
      <c r="G124" s="17" t="n">
        <v>1.16410977E11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3476.0</v>
      </c>
      <c r="F125" s="22" t="n">
        <f>0</f>
        <v>0.0</v>
      </c>
      <c r="G125" s="21" t="n">
        <v>7.6415508E10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3054.0</v>
      </c>
      <c r="F126" s="22" t="n">
        <f>0</f>
        <v>0.0</v>
      </c>
      <c r="G126" s="21" t="n">
        <v>6.7583737E10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11880.0</v>
      </c>
      <c r="F127" s="26" t="n">
        <f>0</f>
        <v>0.0</v>
      </c>
      <c r="G127" s="25" t="n">
        <v>2.60410222E11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51.0</v>
      </c>
      <c r="F128" s="18" t="n">
        <f>0</f>
        <v>0.0</v>
      </c>
      <c r="G128" s="17" t="n">
        <v>1.103134E8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100.0</v>
      </c>
      <c r="F129" s="22" t="n">
        <f>0</f>
        <v>0.0</v>
      </c>
      <c r="G129" s="21" t="n">
        <v>2.1922E8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291.0</v>
      </c>
      <c r="F130" s="22" t="n">
        <f>0</f>
        <v>0.0</v>
      </c>
      <c r="G130" s="21" t="n">
        <v>6.41238E8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442.0</v>
      </c>
      <c r="F131" s="26" t="n">
        <f>0</f>
        <v>0.0</v>
      </c>
      <c r="G131" s="25" t="n">
        <v>9.707714E8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4555.0</v>
      </c>
      <c r="F132" s="18" t="n">
        <f>0</f>
        <v>0.0</v>
      </c>
      <c r="G132" s="17" t="n">
        <v>9.9211451E9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2233.0</v>
      </c>
      <c r="F133" s="22" t="n">
        <f>0</f>
        <v>0.0</v>
      </c>
      <c r="G133" s="21" t="n">
        <v>4.91692515E9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2272.0</v>
      </c>
      <c r="F134" s="22" t="n">
        <f>5</f>
        <v>5.0</v>
      </c>
      <c r="G134" s="21" t="n">
        <v>5.032385E9</v>
      </c>
      <c r="H134" s="22" t="n">
        <f>10894550</f>
        <v>1.089455E7</v>
      </c>
    </row>
    <row r="135" spans="1:8" ht="24.9" customHeight="1">
      <c r="A135" s="51"/>
      <c r="B135" s="57"/>
      <c r="C135" s="39"/>
      <c r="D135" s="24" t="s">
        <v>18</v>
      </c>
      <c r="E135" s="25" t="n">
        <v>9060.0</v>
      </c>
      <c r="F135" s="26" t="n">
        <f>5</f>
        <v>5.0</v>
      </c>
      <c r="G135" s="25" t="n">
        <v>1.987045525E10</v>
      </c>
      <c r="H135" s="26" t="n">
        <f>10894550</f>
        <v>1.089455E7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44.0</v>
      </c>
      <c r="F136" s="18" t="n">
        <f>0</f>
        <v>0.0</v>
      </c>
      <c r="G136" s="17" t="n">
        <v>9.4798E7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45.0</v>
      </c>
      <c r="F137" s="22" t="n">
        <f>0</f>
        <v>0.0</v>
      </c>
      <c r="G137" s="21" t="n">
        <v>9.77856E7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94.0</v>
      </c>
      <c r="F138" s="22" t="n">
        <f>0</f>
        <v>0.0</v>
      </c>
      <c r="G138" s="21" t="n">
        <v>2.061904E8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183.0</v>
      </c>
      <c r="F139" s="26" t="n">
        <f>0</f>
        <v>0.0</v>
      </c>
      <c r="G139" s="25" t="n">
        <v>3.98774E8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613.0</v>
      </c>
      <c r="F144" s="18" t="n">
        <f>0</f>
        <v>0.0</v>
      </c>
      <c r="G144" s="17" t="n">
        <v>2.5532425E9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946.0</v>
      </c>
      <c r="F145" s="22" t="n">
        <f>0</f>
        <v>0.0</v>
      </c>
      <c r="G145" s="21" t="n">
        <v>4.0153095E9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1048.0</v>
      </c>
      <c r="F146" s="22" t="n">
        <f>6</f>
        <v>6.0</v>
      </c>
      <c r="G146" s="21" t="n">
        <v>4.487747E9</v>
      </c>
      <c r="H146" s="22" t="n">
        <f>25680000</f>
        <v>2.568E7</v>
      </c>
    </row>
    <row r="147" spans="1:8" ht="24.9" customHeight="1">
      <c r="A147" s="51"/>
      <c r="B147" s="57"/>
      <c r="C147" s="39"/>
      <c r="D147" s="24" t="s">
        <v>18</v>
      </c>
      <c r="E147" s="25" t="n">
        <v>2607.0</v>
      </c>
      <c r="F147" s="26" t="n">
        <f>6</f>
        <v>6.0</v>
      </c>
      <c r="G147" s="25" t="n">
        <v>1.1056299E10</v>
      </c>
      <c r="H147" s="26" t="n">
        <f>25680000</f>
        <v>2.568E7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34.0</v>
      </c>
      <c r="F148" s="18" t="n">
        <f>0</f>
        <v>0.0</v>
      </c>
      <c r="G148" s="17" t="n">
        <v>2.89858E7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47.0</v>
      </c>
      <c r="F149" s="22" t="n">
        <f>0</f>
        <v>0.0</v>
      </c>
      <c r="G149" s="21" t="n">
        <v>4.07996E7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162.0</v>
      </c>
      <c r="F150" s="22" t="n">
        <f>0</f>
        <v>0.0</v>
      </c>
      <c r="G150" s="21" t="n">
        <v>1.421157E8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243.0</v>
      </c>
      <c r="F151" s="26" t="n">
        <f>0</f>
        <v>0.0</v>
      </c>
      <c r="G151" s="25" t="n">
        <v>2.119011E8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328.0</v>
      </c>
      <c r="F152" s="18" t="n">
        <f>0</f>
        <v>0.0</v>
      </c>
      <c r="G152" s="17" t="n">
        <v>2.730126E8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250.0</v>
      </c>
      <c r="F153" s="22" t="n">
        <f>0</f>
        <v>0.0</v>
      </c>
      <c r="G153" s="21" t="n">
        <v>2.121762E8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349.0</v>
      </c>
      <c r="F154" s="22" t="n">
        <f>0</f>
        <v>0.0</v>
      </c>
      <c r="G154" s="21" t="n">
        <v>2.9796985E8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927.0</v>
      </c>
      <c r="F155" s="26" t="n">
        <f>0</f>
        <v>0.0</v>
      </c>
      <c r="G155" s="25" t="n">
        <v>7.8315865E8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124.0</v>
      </c>
      <c r="F156" s="18" t="n">
        <f>0</f>
        <v>0.0</v>
      </c>
      <c r="G156" s="17" t="n">
        <v>1.037678E8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99.0</v>
      </c>
      <c r="F157" s="22" t="n">
        <f>0</f>
        <v>0.0</v>
      </c>
      <c r="G157" s="21" t="n">
        <v>8.48198E7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456.0</v>
      </c>
      <c r="F158" s="22" t="n">
        <f>0</f>
        <v>0.0</v>
      </c>
      <c r="G158" s="21" t="n">
        <v>3.917799E8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679.0</v>
      </c>
      <c r="F159" s="26" t="n">
        <f>0</f>
        <v>0.0</v>
      </c>
      <c r="G159" s="25" t="n">
        <v>5.803675E8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64.0</v>
      </c>
      <c r="F168" s="18" t="n">
        <f>0</f>
        <v>0.0</v>
      </c>
      <c r="G168" s="17" t="n">
        <v>1.33182E8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147.0</v>
      </c>
      <c r="F169" s="22" t="n">
        <f>0</f>
        <v>0.0</v>
      </c>
      <c r="G169" s="21" t="n">
        <v>3.08011E8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278.0</v>
      </c>
      <c r="F170" s="22" t="n">
        <f>0</f>
        <v>0.0</v>
      </c>
      <c r="G170" s="21" t="n">
        <v>5.84914E8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489.0</v>
      </c>
      <c r="F171" s="26" t="n">
        <f>0</f>
        <v>0.0</v>
      </c>
      <c r="G171" s="25" t="n">
        <v>1.026107E9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6746000.0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6746000.0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385.0</v>
      </c>
      <c r="F204" s="18" t="n">
        <f>0</f>
        <v>0.0</v>
      </c>
      <c r="G204" s="17" t="n">
        <v>1.5288255E9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158.0</v>
      </c>
      <c r="F205" s="22" t="n">
        <f>0</f>
        <v>0.0</v>
      </c>
      <c r="G205" s="21" t="n">
        <v>6.30889E8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1036.0</v>
      </c>
      <c r="F206" s="22" t="n">
        <f>0</f>
        <v>0.0</v>
      </c>
      <c r="G206" s="21" t="n">
        <v>4.1586315E9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1579.0</v>
      </c>
      <c r="F207" s="26" t="n">
        <f>0</f>
        <v>0.0</v>
      </c>
      <c r="G207" s="25" t="n">
        <v>6.318346E9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5.0</v>
      </c>
      <c r="F210" s="22" t="n">
        <f>5</f>
        <v>5.0</v>
      </c>
      <c r="G210" s="21" t="n">
        <v>7719000.0</v>
      </c>
      <c r="H210" s="22" t="n">
        <f>7719000</f>
        <v>7719000.0</v>
      </c>
    </row>
    <row r="211" spans="1:8" ht="24.9" customHeight="1">
      <c r="A211" s="57"/>
      <c r="B211" s="59"/>
      <c r="C211" s="39"/>
      <c r="D211" s="24" t="s">
        <v>18</v>
      </c>
      <c r="E211" s="25" t="n">
        <v>5.0</v>
      </c>
      <c r="F211" s="26" t="n">
        <f>5</f>
        <v>5.0</v>
      </c>
      <c r="G211" s="25" t="n">
        <v>7719000.0</v>
      </c>
      <c r="H211" s="26" t="n">
        <f>7719000</f>
        <v>7719000.0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20.0</v>
      </c>
      <c r="F278" s="22" t="n">
        <f>0</f>
        <v>0.0</v>
      </c>
      <c r="G278" s="21" t="n">
        <v>1.92E7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20.0</v>
      </c>
      <c r="F279" s="26" t="n">
        <f>0</f>
        <v>0.0</v>
      </c>
      <c r="G279" s="25" t="n">
        <v>1.92E7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46225.0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46225.0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3735</f>
        <v>3735.0</v>
      </c>
      <c r="E12" s="35" t="n">
        <f>2531</f>
        <v>2531.0</v>
      </c>
      <c r="F12" s="17" t="n">
        <f>3571</f>
        <v>3571.0</v>
      </c>
      <c r="G12" s="35" t="n">
        <f>1944</f>
        <v>1944.0</v>
      </c>
      <c r="H12" s="17" t="n">
        <f>7306</f>
        <v>7306.0</v>
      </c>
      <c r="I12" s="35" t="n">
        <f>4475</f>
        <v>4475.0</v>
      </c>
      <c r="J12" s="17" t="n">
        <f>4023296250</f>
        <v>4.02329625E9</v>
      </c>
      <c r="K12" s="35" t="n">
        <f>3343155250</f>
        <v>3.34315525E9</v>
      </c>
      <c r="L12" s="17" t="n">
        <f>1833761890</f>
        <v>1.83376189E9</v>
      </c>
      <c r="M12" s="35" t="n">
        <f>1038111890</f>
        <v>1.03811189E9</v>
      </c>
      <c r="N12" s="17" t="n">
        <f>5857058140</f>
        <v>5.85705814E9</v>
      </c>
      <c r="O12" s="35" t="n">
        <f>4381267140</f>
        <v>4.38126714E9</v>
      </c>
    </row>
    <row r="13" spans="1:15" ht="24.9" customHeight="1">
      <c r="A13" s="38"/>
      <c r="B13" s="62"/>
      <c r="C13" s="20" t="s">
        <v>16</v>
      </c>
      <c r="D13" s="21" t="n">
        <f>3460</f>
        <v>3460.0</v>
      </c>
      <c r="E13" s="36" t="n">
        <f>1789</f>
        <v>1789.0</v>
      </c>
      <c r="F13" s="21" t="n">
        <f>4455</f>
        <v>4455.0</v>
      </c>
      <c r="G13" s="36" t="n">
        <f>1737</f>
        <v>1737.0</v>
      </c>
      <c r="H13" s="21" t="n">
        <f>7915</f>
        <v>7915.0</v>
      </c>
      <c r="I13" s="36" t="n">
        <f>3526</f>
        <v>3526.0</v>
      </c>
      <c r="J13" s="21" t="n">
        <f>3495422200</f>
        <v>3.4954222E9</v>
      </c>
      <c r="K13" s="36" t="n">
        <f>2413761200</f>
        <v>2.4137612E9</v>
      </c>
      <c r="L13" s="21" t="n">
        <f>3172393190</f>
        <v>3.17239319E9</v>
      </c>
      <c r="M13" s="36" t="n">
        <f>1792852190</f>
        <v>1.79285219E9</v>
      </c>
      <c r="N13" s="21" t="n">
        <f>6667815390</f>
        <v>6.66781539E9</v>
      </c>
      <c r="O13" s="36" t="n">
        <f>4206613390</f>
        <v>4.20661339E9</v>
      </c>
    </row>
    <row r="14" spans="1:15" ht="24.9" customHeight="1">
      <c r="A14" s="38"/>
      <c r="B14" s="62"/>
      <c r="C14" s="20" t="s">
        <v>17</v>
      </c>
      <c r="D14" s="21" t="n">
        <f>11559</f>
        <v>11559.0</v>
      </c>
      <c r="E14" s="36" t="n">
        <f>8551</f>
        <v>8551.0</v>
      </c>
      <c r="F14" s="21" t="n">
        <f>5811</f>
        <v>5811.0</v>
      </c>
      <c r="G14" s="36" t="n">
        <f>3245</f>
        <v>3245.0</v>
      </c>
      <c r="H14" s="21" t="n">
        <f>17370</f>
        <v>17370.0</v>
      </c>
      <c r="I14" s="36" t="n">
        <f>11796</f>
        <v>11796.0</v>
      </c>
      <c r="J14" s="21" t="n">
        <f>13624695635</f>
        <v>1.3624695635E10</v>
      </c>
      <c r="K14" s="36" t="n">
        <f>11348908635</f>
        <v>1.1348908635E10</v>
      </c>
      <c r="L14" s="21" t="n">
        <f>6588214460</f>
        <v>6.58821446E9</v>
      </c>
      <c r="M14" s="36" t="n">
        <f>4776976460</f>
        <v>4.77697646E9</v>
      </c>
      <c r="N14" s="21" t="n">
        <f>20212910095</f>
        <v>2.0212910095E10</v>
      </c>
      <c r="O14" s="36" t="n">
        <f>16125885095</f>
        <v>1.6125885095E10</v>
      </c>
    </row>
    <row r="15" spans="1:15" ht="24.9" customHeight="1">
      <c r="A15" s="38"/>
      <c r="B15" s="62"/>
      <c r="C15" s="24" t="s">
        <v>18</v>
      </c>
      <c r="D15" s="25" t="n">
        <f>18754</f>
        <v>18754.0</v>
      </c>
      <c r="E15" s="37" t="n">
        <f>12871</f>
        <v>12871.0</v>
      </c>
      <c r="F15" s="25" t="n">
        <f>13837</f>
        <v>13837.0</v>
      </c>
      <c r="G15" s="37" t="n">
        <f>6926</f>
        <v>6926.0</v>
      </c>
      <c r="H15" s="25" t="n">
        <f>32591</f>
        <v>32591.0</v>
      </c>
      <c r="I15" s="37" t="n">
        <f>19797</f>
        <v>19797.0</v>
      </c>
      <c r="J15" s="25" t="n">
        <f>21143414085</f>
        <v>2.1143414085E10</v>
      </c>
      <c r="K15" s="37" t="n">
        <f>17105825085</f>
        <v>1.7105825085E10</v>
      </c>
      <c r="L15" s="25" t="n">
        <f>11594369540</f>
        <v>1.159436954E10</v>
      </c>
      <c r="M15" s="37" t="n">
        <f>7607940540</f>
        <v>7.60794054E9</v>
      </c>
      <c r="N15" s="25" t="n">
        <f>32737783625</f>
        <v>3.2737783625E10</v>
      </c>
      <c r="O15" s="37" t="n">
        <f>24713765625</f>
        <v>2.4713765625E10</v>
      </c>
    </row>
    <row r="16" spans="1:15" ht="24.9" customHeight="1">
      <c r="A16" s="38"/>
      <c r="B16" s="61" t="s">
        <v>105</v>
      </c>
      <c r="C16" s="16" t="s">
        <v>15</v>
      </c>
      <c r="D16" s="17" t="n">
        <f>9354</f>
        <v>9354.0</v>
      </c>
      <c r="E16" s="35" t="n">
        <f>830</f>
        <v>830.0</v>
      </c>
      <c r="F16" s="17" t="n">
        <f>8763</f>
        <v>8763.0</v>
      </c>
      <c r="G16" s="35" t="n">
        <f>510</f>
        <v>510.0</v>
      </c>
      <c r="H16" s="17" t="n">
        <f>18117</f>
        <v>18117.0</v>
      </c>
      <c r="I16" s="35" t="n">
        <f>1340</f>
        <v>1340.0</v>
      </c>
      <c r="J16" s="17" t="n">
        <f>373200810</f>
        <v>3.7320081E8</v>
      </c>
      <c r="K16" s="35" t="n">
        <f>19746910</f>
        <v>1.974691E7</v>
      </c>
      <c r="L16" s="17" t="n">
        <f>405918580</f>
        <v>4.0591858E8</v>
      </c>
      <c r="M16" s="35" t="n">
        <f>16578180</f>
        <v>1.657818E7</v>
      </c>
      <c r="N16" s="17" t="n">
        <f>779119390</f>
        <v>7.7911939E8</v>
      </c>
      <c r="O16" s="35" t="n">
        <f>36325090</f>
        <v>3.632509E7</v>
      </c>
    </row>
    <row r="17" spans="1:15" ht="24.9" customHeight="1">
      <c r="A17" s="38"/>
      <c r="B17" s="62"/>
      <c r="C17" s="20" t="s">
        <v>16</v>
      </c>
      <c r="D17" s="21" t="n">
        <f>9729</f>
        <v>9729.0</v>
      </c>
      <c r="E17" s="36" t="n">
        <f>470</f>
        <v>470.0</v>
      </c>
      <c r="F17" s="21" t="n">
        <f>14194</f>
        <v>14194.0</v>
      </c>
      <c r="G17" s="36" t="n">
        <f>370</f>
        <v>370.0</v>
      </c>
      <c r="H17" s="21" t="n">
        <f>23923</f>
        <v>23923.0</v>
      </c>
      <c r="I17" s="36" t="n">
        <f>840</f>
        <v>840.0</v>
      </c>
      <c r="J17" s="21" t="n">
        <f>531810320</f>
        <v>5.3181032E8</v>
      </c>
      <c r="K17" s="36" t="n">
        <f>4319320</f>
        <v>4319320.0</v>
      </c>
      <c r="L17" s="21" t="n">
        <f>718306630</f>
        <v>7.1830663E8</v>
      </c>
      <c r="M17" s="36" t="n">
        <f>3936930</f>
        <v>3936930.0</v>
      </c>
      <c r="N17" s="21" t="n">
        <f>1250116950</f>
        <v>1.25011695E9</v>
      </c>
      <c r="O17" s="36" t="n">
        <f>8256250</f>
        <v>8256250.0</v>
      </c>
    </row>
    <row r="18" spans="1:15" ht="24.9" customHeight="1">
      <c r="A18" s="38"/>
      <c r="B18" s="62"/>
      <c r="C18" s="20" t="s">
        <v>17</v>
      </c>
      <c r="D18" s="21" t="n">
        <f>20748</f>
        <v>20748.0</v>
      </c>
      <c r="E18" s="36" t="n">
        <f>2980</f>
        <v>2980.0</v>
      </c>
      <c r="F18" s="21" t="n">
        <f>15963</f>
        <v>15963.0</v>
      </c>
      <c r="G18" s="36" t="n">
        <f>1650</f>
        <v>1650.0</v>
      </c>
      <c r="H18" s="21" t="n">
        <f>36711</f>
        <v>36711.0</v>
      </c>
      <c r="I18" s="36" t="n">
        <f>4630</f>
        <v>4630.0</v>
      </c>
      <c r="J18" s="21" t="n">
        <f>989135360</f>
        <v>9.8913536E8</v>
      </c>
      <c r="K18" s="36" t="n">
        <f>59368060</f>
        <v>5.936806E7</v>
      </c>
      <c r="L18" s="21" t="n">
        <f>704261660</f>
        <v>7.0426166E8</v>
      </c>
      <c r="M18" s="36" t="n">
        <f>33841260</f>
        <v>3.384126E7</v>
      </c>
      <c r="N18" s="21" t="n">
        <f>1693397020</f>
        <v>1.69339702E9</v>
      </c>
      <c r="O18" s="36" t="n">
        <f>93209320</f>
        <v>9.320932E7</v>
      </c>
    </row>
    <row r="19" spans="1:15" ht="24.9" customHeight="1">
      <c r="A19" s="38"/>
      <c r="B19" s="62"/>
      <c r="C19" s="24" t="s">
        <v>18</v>
      </c>
      <c r="D19" s="25" t="n">
        <f>39831</f>
        <v>39831.0</v>
      </c>
      <c r="E19" s="37" t="n">
        <f>4280</f>
        <v>4280.0</v>
      </c>
      <c r="F19" s="25" t="n">
        <f>38920</f>
        <v>38920.0</v>
      </c>
      <c r="G19" s="37" t="n">
        <f>2530</f>
        <v>2530.0</v>
      </c>
      <c r="H19" s="25" t="n">
        <f>78751</f>
        <v>78751.0</v>
      </c>
      <c r="I19" s="37" t="n">
        <f>6810</f>
        <v>6810.0</v>
      </c>
      <c r="J19" s="25" t="n">
        <f>1894146490</f>
        <v>1.89414649E9</v>
      </c>
      <c r="K19" s="37" t="n">
        <f>83434290</f>
        <v>8.343429E7</v>
      </c>
      <c r="L19" s="25" t="n">
        <f>1828486870</f>
        <v>1.82848687E9</v>
      </c>
      <c r="M19" s="37" t="n">
        <f>54356370</f>
        <v>5.435637E7</v>
      </c>
      <c r="N19" s="25" t="n">
        <f>3722633360</f>
        <v>3.72263336E9</v>
      </c>
      <c r="O19" s="37" t="n">
        <f>137790660</f>
        <v>1.3779066E8</v>
      </c>
    </row>
    <row r="20" spans="1:15" ht="24.9" customHeight="1">
      <c r="A20" s="38"/>
      <c r="B20" s="61" t="s">
        <v>106</v>
      </c>
      <c r="C20" s="16" t="s">
        <v>15</v>
      </c>
      <c r="D20" s="17" t="n">
        <f>32</f>
        <v>32.0</v>
      </c>
      <c r="E20" s="35" t="n">
        <f>32</f>
        <v>32.0</v>
      </c>
      <c r="F20" s="17" t="n">
        <f>0</f>
        <v>0.0</v>
      </c>
      <c r="G20" s="35" t="n">
        <f>0</f>
        <v>0.0</v>
      </c>
      <c r="H20" s="17" t="n">
        <f>32</f>
        <v>32.0</v>
      </c>
      <c r="I20" s="35" t="n">
        <f>32</f>
        <v>32.0</v>
      </c>
      <c r="J20" s="17" t="n">
        <f>13144000</f>
        <v>1.3144E7</v>
      </c>
      <c r="K20" s="35" t="n">
        <f>13144000</f>
        <v>1.3144E7</v>
      </c>
      <c r="L20" s="17" t="n">
        <f>0</f>
        <v>0.0</v>
      </c>
      <c r="M20" s="35" t="n">
        <f>0</f>
        <v>0.0</v>
      </c>
      <c r="N20" s="17" t="n">
        <f>13144000</f>
        <v>1.3144E7</v>
      </c>
      <c r="O20" s="35" t="n">
        <f>13144000</f>
        <v>1.3144E7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823</f>
        <v>823.0</v>
      </c>
      <c r="E22" s="36" t="n">
        <f>808</f>
        <v>808.0</v>
      </c>
      <c r="F22" s="21" t="n">
        <f>266</f>
        <v>266.0</v>
      </c>
      <c r="G22" s="36" t="n">
        <f>250</f>
        <v>250.0</v>
      </c>
      <c r="H22" s="21" t="n">
        <f>1089</f>
        <v>1089.0</v>
      </c>
      <c r="I22" s="36" t="n">
        <f>1058</f>
        <v>1058.0</v>
      </c>
      <c r="J22" s="21" t="n">
        <f>442199555</f>
        <v>4.42199555E8</v>
      </c>
      <c r="K22" s="36" t="n">
        <f>436949555</f>
        <v>4.36949555E8</v>
      </c>
      <c r="L22" s="21" t="n">
        <f>179490000</f>
        <v>1.7949E8</v>
      </c>
      <c r="M22" s="36" t="n">
        <f>169250000</f>
        <v>1.6925E8</v>
      </c>
      <c r="N22" s="21" t="n">
        <f>621689555</f>
        <v>6.21689555E8</v>
      </c>
      <c r="O22" s="36" t="n">
        <f>606199555</f>
        <v>6.06199555E8</v>
      </c>
    </row>
    <row r="23" spans="1:15" ht="24.9" customHeight="1">
      <c r="A23" s="38"/>
      <c r="B23" s="62"/>
      <c r="C23" s="24" t="s">
        <v>18</v>
      </c>
      <c r="D23" s="25" t="n">
        <f>855</f>
        <v>855.0</v>
      </c>
      <c r="E23" s="37" t="n">
        <f>840</f>
        <v>840.0</v>
      </c>
      <c r="F23" s="25" t="n">
        <f>266</f>
        <v>266.0</v>
      </c>
      <c r="G23" s="37" t="n">
        <f>250</f>
        <v>250.0</v>
      </c>
      <c r="H23" s="25" t="n">
        <f>1121</f>
        <v>1121.0</v>
      </c>
      <c r="I23" s="37" t="n">
        <f>1090</f>
        <v>1090.0</v>
      </c>
      <c r="J23" s="25" t="n">
        <f>455343555</f>
        <v>4.55343555E8</v>
      </c>
      <c r="K23" s="37" t="n">
        <f>450093555</f>
        <v>4.50093555E8</v>
      </c>
      <c r="L23" s="25" t="n">
        <f>179490000</f>
        <v>1.7949E8</v>
      </c>
      <c r="M23" s="37" t="n">
        <f>169250000</f>
        <v>1.6925E8</v>
      </c>
      <c r="N23" s="25" t="n">
        <f>634833555</f>
        <v>6.34833555E8</v>
      </c>
      <c r="O23" s="37" t="n">
        <f>619343555</f>
        <v>6.19343555E8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3</f>
        <v>3.0</v>
      </c>
      <c r="G37" s="22" t="n">
        <f>0</f>
        <v>0.0</v>
      </c>
      <c r="H37" s="21" t="n">
        <f>3</f>
        <v>3.0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380000</f>
        <v>380000.0</v>
      </c>
      <c r="M37" s="22" t="n">
        <f>0</f>
        <v>0.0</v>
      </c>
      <c r="N37" s="21" t="n">
        <f>380000</f>
        <v>380000.0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95</f>
        <v>95.0</v>
      </c>
      <c r="E38" s="36" t="n">
        <f>0</f>
        <v>0.0</v>
      </c>
      <c r="F38" s="21" t="n">
        <f>52</f>
        <v>52.0</v>
      </c>
      <c r="G38" s="36" t="n">
        <f>0</f>
        <v>0.0</v>
      </c>
      <c r="H38" s="21" t="n">
        <f>147</f>
        <v>147.0</v>
      </c>
      <c r="I38" s="36" t="n">
        <f>0</f>
        <v>0.0</v>
      </c>
      <c r="J38" s="21" t="n">
        <f>11200000</f>
        <v>1.12E7</v>
      </c>
      <c r="K38" s="36" t="n">
        <f>0</f>
        <v>0.0</v>
      </c>
      <c r="L38" s="21" t="n">
        <f>5880000</f>
        <v>5880000.0</v>
      </c>
      <c r="M38" s="36" t="n">
        <f>0</f>
        <v>0.0</v>
      </c>
      <c r="N38" s="21" t="n">
        <f>17080000</f>
        <v>1.708E7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95</f>
        <v>95.0</v>
      </c>
      <c r="E39" s="37" t="n">
        <f>0</f>
        <v>0.0</v>
      </c>
      <c r="F39" s="25" t="n">
        <f>55</f>
        <v>55.0</v>
      </c>
      <c r="G39" s="37" t="n">
        <f>0</f>
        <v>0.0</v>
      </c>
      <c r="H39" s="25" t="n">
        <f>150</f>
        <v>150.0</v>
      </c>
      <c r="I39" s="37" t="n">
        <f>0</f>
        <v>0.0</v>
      </c>
      <c r="J39" s="25" t="n">
        <f>11200000</f>
        <v>1.12E7</v>
      </c>
      <c r="K39" s="37" t="n">
        <f>0</f>
        <v>0.0</v>
      </c>
      <c r="L39" s="25" t="n">
        <f>6260000</f>
        <v>6260000.0</v>
      </c>
      <c r="M39" s="37" t="n">
        <f>0</f>
        <v>0.0</v>
      </c>
      <c r="N39" s="25" t="n">
        <f>17460000</f>
        <v>1.746E7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1789</f>
        <v>1789.0</v>
      </c>
      <c r="E41" s="36" t="n">
        <f>0</f>
        <v>0.0</v>
      </c>
      <c r="F41" s="21" t="n">
        <f>2486</f>
        <v>2486.0</v>
      </c>
      <c r="G41" s="36" t="n">
        <f>0</f>
        <v>0.0</v>
      </c>
      <c r="H41" s="21" t="n">
        <f>4275</f>
        <v>4275.0</v>
      </c>
      <c r="I41" s="36" t="n">
        <f>0</f>
        <v>0.0</v>
      </c>
      <c r="J41" s="21" t="n">
        <f>83719410</f>
        <v>8.371941E7</v>
      </c>
      <c r="K41" s="36" t="n">
        <f>0</f>
        <v>0.0</v>
      </c>
      <c r="L41" s="21" t="n">
        <f>11405920</f>
        <v>1.140592E7</v>
      </c>
      <c r="M41" s="36" t="n">
        <f>0</f>
        <v>0.0</v>
      </c>
      <c r="N41" s="21" t="n">
        <f>95125330</f>
        <v>9.512533E7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1675</f>
        <v>1675.0</v>
      </c>
      <c r="E42" s="36" t="n">
        <f>800</f>
        <v>800.0</v>
      </c>
      <c r="F42" s="21" t="n">
        <f>8957</f>
        <v>8957.0</v>
      </c>
      <c r="G42" s="36" t="n">
        <f>890</f>
        <v>890.0</v>
      </c>
      <c r="H42" s="21" t="n">
        <f>10632</f>
        <v>10632.0</v>
      </c>
      <c r="I42" s="36" t="n">
        <f>1690</f>
        <v>1690.0</v>
      </c>
      <c r="J42" s="21" t="n">
        <f>53000977</f>
        <v>5.3000977E7</v>
      </c>
      <c r="K42" s="36" t="n">
        <f>32400000</f>
        <v>3.24E7</v>
      </c>
      <c r="L42" s="21" t="n">
        <f>89852288</f>
        <v>8.9852288E7</v>
      </c>
      <c r="M42" s="36" t="n">
        <f>70410000</f>
        <v>7.041E7</v>
      </c>
      <c r="N42" s="21" t="n">
        <f>142853265</f>
        <v>1.42853265E8</v>
      </c>
      <c r="O42" s="36" t="n">
        <f>102810000</f>
        <v>1.0281E8</v>
      </c>
    </row>
    <row r="43" spans="1:15" ht="24.9" customHeight="1">
      <c r="A43" s="38"/>
      <c r="B43" s="62"/>
      <c r="C43" s="24" t="s">
        <v>18</v>
      </c>
      <c r="D43" s="25" t="n">
        <f>3464</f>
        <v>3464.0</v>
      </c>
      <c r="E43" s="37" t="n">
        <f>800</f>
        <v>800.0</v>
      </c>
      <c r="F43" s="25" t="n">
        <f>11443</f>
        <v>11443.0</v>
      </c>
      <c r="G43" s="37" t="n">
        <f>890</f>
        <v>890.0</v>
      </c>
      <c r="H43" s="25" t="n">
        <f>14907</f>
        <v>14907.0</v>
      </c>
      <c r="I43" s="37" t="n">
        <f>1690</f>
        <v>1690.0</v>
      </c>
      <c r="J43" s="25" t="n">
        <f>136720387</f>
        <v>1.36720387E8</v>
      </c>
      <c r="K43" s="37" t="n">
        <f>32400000</f>
        <v>3.24E7</v>
      </c>
      <c r="L43" s="25" t="n">
        <f>101258208</f>
        <v>1.01258208E8</v>
      </c>
      <c r="M43" s="37" t="n">
        <f>70410000</f>
        <v>7.041E7</v>
      </c>
      <c r="N43" s="25" t="n">
        <f>237978595</f>
        <v>2.37978595E8</v>
      </c>
      <c r="O43" s="37" t="n">
        <f>102810000</f>
        <v>1.0281E8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