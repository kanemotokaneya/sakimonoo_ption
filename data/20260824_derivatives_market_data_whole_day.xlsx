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<sst xmlns="http://schemas.openxmlformats.org/spreadsheetml/2006/main" count="528" uniqueCount="129">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</sst>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DATE(2026,08,24)</f>
        <v>46258.0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DATE(2026,08,24)</f>
        <v>46258.0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600918.0</f>
        <v>600918.0</v>
      </c>
      <c r="E12" s="18" t="n">
        <f>33802.0</f>
        <v>33802.0</v>
      </c>
      <c r="F12" s="19" t="n">
        <f>1.0</f>
        <v>1.0</v>
      </c>
      <c r="G12" s="17" t="n">
        <f>3673019441030.0</f>
        <v>3.67301944103E12</v>
      </c>
      <c r="H12" s="18" t="n">
        <f>262388964030.0</f>
        <v>2.6238896403E11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356032.0</f>
        <v>356032.0</v>
      </c>
      <c r="E13" s="22" t="n">
        <f>15203.0</f>
        <v>15203.0</v>
      </c>
      <c r="F13" s="23" t="n">
        <f>1.0</f>
        <v>1.0</v>
      </c>
      <c r="G13" s="21" t="n">
        <f>2970065606500.0</f>
        <v>2.9700656065E12</v>
      </c>
      <c r="H13" s="22" t="n">
        <f>234578913700.0</f>
        <v>2.345789137E11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334353.0</f>
        <v>334353.0</v>
      </c>
      <c r="E14" s="22" t="n">
        <f>25243.0</f>
        <v>25243.0</v>
      </c>
      <c r="F14" s="23" t="n">
        <f>1.0</f>
        <v>1.0</v>
      </c>
      <c r="G14" s="21" t="n">
        <f>4206707966442.0</f>
        <v>4.206707966442E12</v>
      </c>
      <c r="H14" s="22" t="n">
        <f>891785907942.0</f>
        <v>8.91785907942E11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1291303.0</f>
        <v>1291303.0</v>
      </c>
      <c r="E15" s="26" t="n">
        <f>74248.0</f>
        <v>74248.0</v>
      </c>
      <c r="F15" s="27" t="n">
        <f>1.0</f>
        <v>1.0</v>
      </c>
      <c r="G15" s="25" t="n">
        <f>10849793013972.0</f>
        <v>1.0849793013972E13</v>
      </c>
      <c r="H15" s="26" t="n">
        <f>1388753785672.0</f>
        <v>1.388753785672E12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7234.0</f>
        <v>7234.0</v>
      </c>
      <c r="E16" s="18" t="n">
        <f>9.0</f>
        <v>9.0</v>
      </c>
      <c r="F16" s="19" t="n">
        <f>0.012</f>
        <v>0.012</v>
      </c>
      <c r="G16" s="17" t="n">
        <f>896963986250.0</f>
        <v>8.9696398625E11</v>
      </c>
      <c r="H16" s="18" t="n">
        <f>1137900000.0</f>
        <v>1.1379E9</v>
      </c>
      <c r="I16" s="19" t="n">
        <f>0.244</f>
        <v>0.244</v>
      </c>
    </row>
    <row r="17" spans="1:9" ht="24.9" customHeight="1">
      <c r="A17" s="41"/>
      <c r="B17" s="39"/>
      <c r="C17" s="20" t="s">
        <v>16</v>
      </c>
      <c r="D17" s="21" t="n">
        <f>11535.0</f>
        <v>11535.0</v>
      </c>
      <c r="E17" s="22" t="n">
        <f>707.0</f>
        <v>707.0</v>
      </c>
      <c r="F17" s="23" t="n">
        <f>0.032</f>
        <v>0.032</v>
      </c>
      <c r="G17" s="21" t="n">
        <f>1058038475500.0</f>
        <v>1.0580384755E12</v>
      </c>
      <c r="H17" s="22" t="n">
        <f>89404415000.0</f>
        <v>8.9404415E10</v>
      </c>
      <c r="I17" s="23" t="n">
        <f>0.356</f>
        <v>0.356</v>
      </c>
    </row>
    <row r="18" spans="1:9" ht="24.9" customHeight="1">
      <c r="A18" s="41"/>
      <c r="B18" s="39"/>
      <c r="C18" s="20" t="s">
        <v>17</v>
      </c>
      <c r="D18" s="21" t="n">
        <f>14388.0</f>
        <v>14388.0</v>
      </c>
      <c r="E18" s="22" t="n">
        <f>1952.0</f>
        <v>1952.0</v>
      </c>
      <c r="F18" s="23" t="n">
        <f>0.043</f>
        <v>0.043</v>
      </c>
      <c r="G18" s="21" t="n">
        <f>1635915707750.0</f>
        <v>1.63591570775E12</v>
      </c>
      <c r="H18" s="22" t="n">
        <f>247010060000.0</f>
        <v>2.4701006E11</v>
      </c>
      <c r="I18" s="23" t="n">
        <f>0.389</f>
        <v>0.389</v>
      </c>
    </row>
    <row r="19" spans="1:9" ht="24.9" customHeight="1">
      <c r="A19" s="41"/>
      <c r="B19" s="39"/>
      <c r="C19" s="24" t="s">
        <v>18</v>
      </c>
      <c r="D19" s="25" t="n">
        <f>33157.0</f>
        <v>33157.0</v>
      </c>
      <c r="E19" s="26" t="n">
        <f>2668.0</f>
        <v>2668.0</v>
      </c>
      <c r="F19" s="27" t="n">
        <f>0.026</f>
        <v>0.026</v>
      </c>
      <c r="G19" s="25" t="n">
        <f>3590918169500.0</f>
        <v>3.5909181695E12</v>
      </c>
      <c r="H19" s="26" t="n">
        <f>337552375000.0</f>
        <v>3.37552375E11</v>
      </c>
      <c r="I19" s="27" t="n">
        <f>0.331</f>
        <v>0.331</v>
      </c>
    </row>
    <row r="20" spans="1:9" ht="24.9" customHeight="1">
      <c r="A20" s="41"/>
      <c r="B20" s="39" t="s">
        <v>21</v>
      </c>
      <c r="C20" s="16" t="s">
        <v>15</v>
      </c>
      <c r="D20" s="17" t="n">
        <f>569816.0</f>
        <v>569816.0</v>
      </c>
      <c r="E20" s="18" t="n">
        <f>33639.0</f>
        <v>33639.0</v>
      </c>
      <c r="F20" s="19" t="n">
        <f>0.948</f>
        <v>0.948</v>
      </c>
      <c r="G20" s="17" t="n">
        <f>2524352092230.0</f>
        <v>2.52435209223E12</v>
      </c>
      <c r="H20" s="18" t="n">
        <f>260640001830.0</f>
        <v>2.6064000183E11</v>
      </c>
      <c r="I20" s="19" t="n">
        <f>0.687</f>
        <v>0.687</v>
      </c>
    </row>
    <row r="21" spans="1:9" ht="24.9" customHeight="1">
      <c r="A21" s="41"/>
      <c r="B21" s="39"/>
      <c r="C21" s="20" t="s">
        <v>16</v>
      </c>
      <c r="D21" s="21" t="n">
        <f>330893.0</f>
        <v>330893.0</v>
      </c>
      <c r="E21" s="22" t="n">
        <f>14446.0</f>
        <v>14446.0</v>
      </c>
      <c r="F21" s="23" t="n">
        <f>0.929</f>
        <v>0.929</v>
      </c>
      <c r="G21" s="21" t="n">
        <f>1749361237850.0</f>
        <v>1.74936123785E12</v>
      </c>
      <c r="H21" s="22" t="n">
        <f>145054773700.0</f>
        <v>1.450547737E11</v>
      </c>
      <c r="I21" s="23" t="n">
        <f>0.589</f>
        <v>0.589</v>
      </c>
    </row>
    <row r="22" spans="1:9" ht="24.9" customHeight="1">
      <c r="A22" s="41"/>
      <c r="B22" s="39"/>
      <c r="C22" s="20" t="s">
        <v>17</v>
      </c>
      <c r="D22" s="21" t="n">
        <f>305737.0</f>
        <v>305737.0</v>
      </c>
      <c r="E22" s="22" t="n">
        <f>22287.0</f>
        <v>22287.0</v>
      </c>
      <c r="F22" s="23" t="n">
        <f>0.914</f>
        <v>0.914</v>
      </c>
      <c r="G22" s="21" t="n">
        <f>2388989995192.0</f>
        <v>2.388989995192E12</v>
      </c>
      <c r="H22" s="22" t="n">
        <f>620503397942.0</f>
        <v>6.20503397942E11</v>
      </c>
      <c r="I22" s="23" t="n">
        <f>0.568</f>
        <v>0.568</v>
      </c>
    </row>
    <row r="23" spans="1:9" ht="24.9" customHeight="1">
      <c r="A23" s="41"/>
      <c r="B23" s="39"/>
      <c r="C23" s="24" t="s">
        <v>18</v>
      </c>
      <c r="D23" s="25" t="n">
        <f>1206446.0</f>
        <v>1206446.0</v>
      </c>
      <c r="E23" s="26" t="n">
        <f>70372.0</f>
        <v>70372.0</v>
      </c>
      <c r="F23" s="27" t="n">
        <f>0.934</f>
        <v>0.934</v>
      </c>
      <c r="G23" s="25" t="n">
        <f>6662703325272.0</f>
        <v>6.662703325272E12</v>
      </c>
      <c r="H23" s="26" t="n">
        <f>1026198173472.0</f>
        <v>1.026198173472E12</v>
      </c>
      <c r="I23" s="27" t="n">
        <f>0.614</f>
        <v>0.614</v>
      </c>
    </row>
    <row r="24" spans="1:9" ht="24.9" customHeight="1">
      <c r="A24" s="41"/>
      <c r="B24" s="39" t="s">
        <v>22</v>
      </c>
      <c r="C24" s="16" t="s">
        <v>15</v>
      </c>
      <c r="D24" s="17" t="n">
        <f>22900.0</f>
        <v>22900.0</v>
      </c>
      <c r="E24" s="18" t="n">
        <f>0.0</f>
        <v>0.0</v>
      </c>
      <c r="F24" s="19" t="n">
        <f>0.038</f>
        <v>0.038</v>
      </c>
      <c r="G24" s="17" t="n">
        <f>247926081850.0</f>
        <v>2.4792608185E11</v>
      </c>
      <c r="H24" s="18" t="n">
        <f>0.0</f>
        <v>0.0</v>
      </c>
      <c r="I24" s="19" t="n">
        <f>0.067</f>
        <v>0.067</v>
      </c>
    </row>
    <row r="25" spans="1:9" ht="24.9" customHeight="1">
      <c r="A25" s="41"/>
      <c r="B25" s="39"/>
      <c r="C25" s="20" t="s">
        <v>16</v>
      </c>
      <c r="D25" s="21" t="n">
        <f>13467.0</f>
        <v>13467.0</v>
      </c>
      <c r="E25" s="22" t="n">
        <f>50.0</f>
        <v>50.0</v>
      </c>
      <c r="F25" s="23" t="n">
        <f>0.038</f>
        <v>0.038</v>
      </c>
      <c r="G25" s="21" t="n">
        <f>162133599650.0</f>
        <v>1.6213359965E11</v>
      </c>
      <c r="H25" s="22" t="n">
        <f>119725000.0</f>
        <v>1.19725E8</v>
      </c>
      <c r="I25" s="23" t="n">
        <f>0.055</f>
        <v>0.055</v>
      </c>
    </row>
    <row r="26" spans="1:9" ht="24.9" customHeight="1">
      <c r="A26" s="41"/>
      <c r="B26" s="39"/>
      <c r="C26" s="20" t="s">
        <v>17</v>
      </c>
      <c r="D26" s="21" t="n">
        <f>13375.0</f>
        <v>13375.0</v>
      </c>
      <c r="E26" s="22" t="n">
        <f>1002.0</f>
        <v>1002.0</v>
      </c>
      <c r="F26" s="23" t="n">
        <f>0.04</f>
        <v>0.04</v>
      </c>
      <c r="G26" s="21" t="n">
        <f>178464066000.0</f>
        <v>1.78464066E11</v>
      </c>
      <c r="H26" s="22" t="n">
        <f>24263600000.0</f>
        <v>2.42636E10</v>
      </c>
      <c r="I26" s="23" t="n">
        <f>0.042</f>
        <v>0.042</v>
      </c>
    </row>
    <row r="27" spans="1:9" ht="24.9" customHeight="1">
      <c r="A27" s="42"/>
      <c r="B27" s="39"/>
      <c r="C27" s="24" t="s">
        <v>18</v>
      </c>
      <c r="D27" s="25" t="n">
        <f>49742.0</f>
        <v>49742.0</v>
      </c>
      <c r="E27" s="26" t="n">
        <f>1052.0</f>
        <v>1052.0</v>
      </c>
      <c r="F27" s="27" t="n">
        <f>0.039</f>
        <v>0.039</v>
      </c>
      <c r="G27" s="25" t="n">
        <f>588523747500.0</f>
        <v>5.885237475E11</v>
      </c>
      <c r="H27" s="26" t="n">
        <f>24383325000.0</f>
        <v>2.4383325E10</v>
      </c>
      <c r="I27" s="27" t="n">
        <f>0.054</f>
        <v>0.054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968.0</f>
        <v>968.0</v>
      </c>
      <c r="E28" s="18" t="n">
        <f>154.0</f>
        <v>154.0</v>
      </c>
      <c r="F28" s="19" t="n">
        <f>0.002</f>
        <v>0.002</v>
      </c>
      <c r="G28" s="17" t="n">
        <f>3777280700.0</f>
        <v>3.7772807E9</v>
      </c>
      <c r="H28" s="18" t="n">
        <f>611062200.0</f>
        <v>6.110622E8</v>
      </c>
      <c r="I28" s="19" t="n">
        <f>0.001</f>
        <v>0.001</v>
      </c>
    </row>
    <row r="29" spans="1:9" ht="24.9" customHeight="1">
      <c r="A29" s="38"/>
      <c r="B29" s="39"/>
      <c r="C29" s="20" t="s">
        <v>16</v>
      </c>
      <c r="D29" s="21" t="n">
        <f>137.0</f>
        <v>137.0</v>
      </c>
      <c r="E29" s="22" t="n">
        <f>0.0</f>
        <v>0.0</v>
      </c>
      <c r="F29" s="23" t="n">
        <f>0.0</f>
        <v>0.0</v>
      </c>
      <c r="G29" s="21" t="n">
        <f>532293500.0</f>
        <v>5.322935E8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853.0</f>
        <v>853.0</v>
      </c>
      <c r="E30" s="22" t="n">
        <f>2.0</f>
        <v>2.0</v>
      </c>
      <c r="F30" s="23" t="n">
        <f>0.003</f>
        <v>0.003</v>
      </c>
      <c r="G30" s="21" t="n">
        <f>3338197500.0</f>
        <v>3.3381975E9</v>
      </c>
      <c r="H30" s="22" t="n">
        <f>8850000.0</f>
        <v>8850000.0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1958.0</f>
        <v>1958.0</v>
      </c>
      <c r="E31" s="26" t="n">
        <f>156.0</f>
        <v>156.0</v>
      </c>
      <c r="F31" s="27" t="n">
        <f>0.002</f>
        <v>0.002</v>
      </c>
      <c r="G31" s="25" t="n">
        <f>7647771700.0</f>
        <v>7.6477717E9</v>
      </c>
      <c r="H31" s="26" t="n">
        <f>619912200.0</f>
        <v>6.199122E8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46258.0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46258.0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18086</f>
        <v>18086.0</v>
      </c>
      <c r="E11" s="18" t="n">
        <f>3210</f>
        <v>3210.0</v>
      </c>
      <c r="F11" s="19" t="n">
        <f>1</f>
        <v>1.0</v>
      </c>
      <c r="G11" s="17" t="n">
        <f>5960287360</f>
        <v>5.96028736E9</v>
      </c>
      <c r="H11" s="18" t="n">
        <f>4144916660</f>
        <v>4.14491666E9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23653</f>
        <v>23653.0</v>
      </c>
      <c r="E12" s="22" t="n">
        <f>2371</f>
        <v>2371.0</v>
      </c>
      <c r="F12" s="23" t="n">
        <f>1</f>
        <v>1.0</v>
      </c>
      <c r="G12" s="21" t="n">
        <f>2528841190</f>
        <v>2.52884119E9</v>
      </c>
      <c r="H12" s="22" t="n">
        <f>1466046260</f>
        <v>1.46604626E9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37725</f>
        <v>37725.0</v>
      </c>
      <c r="E13" s="22" t="n">
        <f>19104</f>
        <v>19104.0</v>
      </c>
      <c r="F13" s="23" t="n">
        <f>1</f>
        <v>1.0</v>
      </c>
      <c r="G13" s="21" t="n">
        <f>21619439322</f>
        <v>2.1619439322E10</v>
      </c>
      <c r="H13" s="22" t="n">
        <f>19690241472</f>
        <v>1.9690241472E10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79464</f>
        <v>79464.0</v>
      </c>
      <c r="E14" s="26" t="n">
        <f>24685</f>
        <v>24685.0</v>
      </c>
      <c r="F14" s="27" t="n">
        <f>1</f>
        <v>1.0</v>
      </c>
      <c r="G14" s="25" t="n">
        <f>30108567872</f>
        <v>3.0108567872E10</v>
      </c>
      <c r="H14" s="26" t="n">
        <f>25301204392</f>
        <v>2.5301204392E10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11</f>
        <v>11.0</v>
      </c>
      <c r="E15" s="18" t="n">
        <f>0</f>
        <v>0.0</v>
      </c>
      <c r="F15" s="19" t="n">
        <f>0.001</f>
        <v>0.001</v>
      </c>
      <c r="G15" s="17" t="n">
        <f>270000</f>
        <v>270000.0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17</f>
        <v>17.0</v>
      </c>
      <c r="E16" s="22" t="n">
        <f>0</f>
        <v>0.0</v>
      </c>
      <c r="F16" s="23" t="n">
        <f>0.001</f>
        <v>0.001</v>
      </c>
      <c r="G16" s="21" t="n">
        <f>2100000</f>
        <v>2100000.0</v>
      </c>
      <c r="H16" s="22" t="n">
        <f>0</f>
        <v>0.0</v>
      </c>
      <c r="I16" s="23" t="n">
        <f>0.001</f>
        <v>0.001</v>
      </c>
    </row>
    <row r="17" spans="1:9" ht="24.9" customHeight="1">
      <c r="A17" s="41"/>
      <c r="B17" s="39"/>
      <c r="C17" s="20" t="s">
        <v>17</v>
      </c>
      <c r="D17" s="21" t="n">
        <f>115</f>
        <v>115.0</v>
      </c>
      <c r="E17" s="22" t="n">
        <f>0</f>
        <v>0.0</v>
      </c>
      <c r="F17" s="23" t="n">
        <f>0.003</f>
        <v>0.003</v>
      </c>
      <c r="G17" s="21" t="n">
        <f>9670000</f>
        <v>9670000.0</v>
      </c>
      <c r="H17" s="22" t="n">
        <f>0</f>
        <v>0.0</v>
      </c>
      <c r="I17" s="23" t="n">
        <f>0</f>
        <v>0.0</v>
      </c>
    </row>
    <row r="18" spans="1:9" ht="24.9" customHeight="1">
      <c r="A18" s="41"/>
      <c r="B18" s="39"/>
      <c r="C18" s="24" t="s">
        <v>18</v>
      </c>
      <c r="D18" s="25" t="n">
        <f>143</f>
        <v>143.0</v>
      </c>
      <c r="E18" s="26" t="n">
        <f>0</f>
        <v>0.0</v>
      </c>
      <c r="F18" s="27" t="n">
        <f>0.002</f>
        <v>0.002</v>
      </c>
      <c r="G18" s="25" t="n">
        <f>12040000</f>
        <v>1.204E7</v>
      </c>
      <c r="H18" s="26" t="n">
        <f>0</f>
        <v>0.0</v>
      </c>
      <c r="I18" s="27" t="n">
        <f>0</f>
        <v>0.0</v>
      </c>
    </row>
    <row r="19" spans="1:9" ht="24.9" customHeight="1">
      <c r="A19" s="41"/>
      <c r="B19" s="39" t="s">
        <v>31</v>
      </c>
      <c r="C19" s="16" t="s">
        <v>15</v>
      </c>
      <c r="D19" s="17" t="n">
        <f>18075</f>
        <v>18075.0</v>
      </c>
      <c r="E19" s="18" t="n">
        <f>3210</f>
        <v>3210.0</v>
      </c>
      <c r="F19" s="19" t="n">
        <f>0.999</f>
        <v>0.999</v>
      </c>
      <c r="G19" s="17" t="n">
        <f>5960017360</f>
        <v>5.96001736E9</v>
      </c>
      <c r="H19" s="18" t="n">
        <f>4144916660</f>
        <v>4.14491666E9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13930</f>
        <v>13930.0</v>
      </c>
      <c r="E20" s="22" t="n">
        <f>2371</f>
        <v>2371.0</v>
      </c>
      <c r="F20" s="23" t="n">
        <f>0.589</f>
        <v>0.589</v>
      </c>
      <c r="G20" s="21" t="n">
        <f>2472146160</f>
        <v>2.47214616E9</v>
      </c>
      <c r="H20" s="22" t="n">
        <f>1466046260</f>
        <v>1.46604626E9</v>
      </c>
      <c r="I20" s="23" t="n">
        <f>0.978</f>
        <v>0.978</v>
      </c>
    </row>
    <row r="21" spans="1:9" ht="24.9" customHeight="1">
      <c r="A21" s="41"/>
      <c r="B21" s="39"/>
      <c r="C21" s="20" t="s">
        <v>17</v>
      </c>
      <c r="D21" s="21" t="n">
        <f>34104</f>
        <v>34104.0</v>
      </c>
      <c r="E21" s="22" t="n">
        <f>18404</f>
        <v>18404.0</v>
      </c>
      <c r="F21" s="23" t="n">
        <f>0.904</f>
        <v>0.904</v>
      </c>
      <c r="G21" s="21" t="n">
        <f>21464402172</f>
        <v>2.1464402172E10</v>
      </c>
      <c r="H21" s="22" t="n">
        <f>19600291472</f>
        <v>1.9600291472E10</v>
      </c>
      <c r="I21" s="23" t="n">
        <f>0.993</f>
        <v>0.993</v>
      </c>
    </row>
    <row r="22" spans="1:9" ht="24.9" customHeight="1">
      <c r="A22" s="41"/>
      <c r="B22" s="39"/>
      <c r="C22" s="24" t="s">
        <v>18</v>
      </c>
      <c r="D22" s="25" t="n">
        <f>66109</f>
        <v>66109.0</v>
      </c>
      <c r="E22" s="26" t="n">
        <f>23985</f>
        <v>23985.0</v>
      </c>
      <c r="F22" s="27" t="n">
        <f>0.832</f>
        <v>0.832</v>
      </c>
      <c r="G22" s="25" t="n">
        <f>29896565692</f>
        <v>2.9896565692E10</v>
      </c>
      <c r="H22" s="26" t="n">
        <f>25211254392</f>
        <v>2.5211254392E10</v>
      </c>
      <c r="I22" s="27" t="n">
        <f>0.993</f>
        <v>0.993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9706</f>
        <v>9706.0</v>
      </c>
      <c r="E24" s="22" t="n">
        <f>0</f>
        <v>0.0</v>
      </c>
      <c r="F24" s="23" t="n">
        <f>0.41</f>
        <v>0.41</v>
      </c>
      <c r="G24" s="21" t="n">
        <f>54595030</f>
        <v>5.459503E7</v>
      </c>
      <c r="H24" s="22" t="n">
        <f>0</f>
        <v>0.0</v>
      </c>
      <c r="I24" s="23" t="n">
        <f>0.022</f>
        <v>0.022</v>
      </c>
    </row>
    <row r="25" spans="1:9" ht="24.9" customHeight="1">
      <c r="A25" s="41"/>
      <c r="B25" s="39"/>
      <c r="C25" s="20" t="s">
        <v>17</v>
      </c>
      <c r="D25" s="21" t="n">
        <f>3506</f>
        <v>3506.0</v>
      </c>
      <c r="E25" s="22" t="n">
        <f>700</f>
        <v>700.0</v>
      </c>
      <c r="F25" s="23" t="n">
        <f>0.093</f>
        <v>0.093</v>
      </c>
      <c r="G25" s="21" t="n">
        <f>145367150</f>
        <v>1.4536715E8</v>
      </c>
      <c r="H25" s="22" t="n">
        <f>89950000</f>
        <v>8.995E7</v>
      </c>
      <c r="I25" s="23" t="n">
        <f>0.007</f>
        <v>0.007</v>
      </c>
    </row>
    <row r="26" spans="1:9" ht="24.9" customHeight="1">
      <c r="A26" s="41"/>
      <c r="B26" s="39"/>
      <c r="C26" s="24" t="s">
        <v>18</v>
      </c>
      <c r="D26" s="25" t="n">
        <f>13212</f>
        <v>13212.0</v>
      </c>
      <c r="E26" s="26" t="n">
        <f>700</f>
        <v>700.0</v>
      </c>
      <c r="F26" s="27" t="n">
        <f>0.166</f>
        <v>0.166</v>
      </c>
      <c r="G26" s="25" t="n">
        <f>199962180</f>
        <v>1.9996218E8</v>
      </c>
      <c r="H26" s="26" t="n">
        <f>89950000</f>
        <v>8.995E7</v>
      </c>
      <c r="I26" s="27" t="n">
        <f>0.007</f>
        <v>0.007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46258.0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46258.0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6801.0</v>
      </c>
      <c r="F12" s="18" t="n">
        <f>651</f>
        <v>651.0</v>
      </c>
      <c r="G12" s="17" t="n">
        <v>4.488211878E11</v>
      </c>
      <c r="H12" s="18" t="n">
        <f>43019267800</f>
        <v>4.30192678E10</v>
      </c>
    </row>
    <row r="13" spans="1:8" ht="24.9" customHeight="1">
      <c r="A13" s="51"/>
      <c r="B13" s="57"/>
      <c r="C13" s="39"/>
      <c r="D13" s="20" t="s">
        <v>16</v>
      </c>
      <c r="E13" s="21" t="n">
        <v>5982.0</v>
      </c>
      <c r="F13" s="22" t="n">
        <f>592</f>
        <v>592.0</v>
      </c>
      <c r="G13" s="21" t="n">
        <v>3.947143797E11</v>
      </c>
      <c r="H13" s="22" t="n">
        <f>39056809700</f>
        <v>3.90568097E10</v>
      </c>
    </row>
    <row r="14" spans="1:8" ht="24.9" customHeight="1">
      <c r="A14" s="51"/>
      <c r="B14" s="57"/>
      <c r="C14" s="39"/>
      <c r="D14" s="20" t="s">
        <v>17</v>
      </c>
      <c r="E14" s="21" t="n">
        <v>10437.0</v>
      </c>
      <c r="F14" s="22" t="n">
        <f>4133</f>
        <v>4133.0</v>
      </c>
      <c r="G14" s="21" t="n">
        <v>6.8478531282E11</v>
      </c>
      <c r="H14" s="22" t="n">
        <f>270979832820</f>
        <v>2.7097983282E11</v>
      </c>
    </row>
    <row r="15" spans="1:8" ht="24.9" customHeight="1">
      <c r="A15" s="51"/>
      <c r="B15" s="57"/>
      <c r="C15" s="39"/>
      <c r="D15" s="24" t="s">
        <v>18</v>
      </c>
      <c r="E15" s="25" t="n">
        <v>23220.0</v>
      </c>
      <c r="F15" s="26" t="n">
        <f>5376</f>
        <v>5376.0</v>
      </c>
      <c r="G15" s="25" t="n">
        <v>1.52832088032E12</v>
      </c>
      <c r="H15" s="26" t="n">
        <f>353055910320</f>
        <v>3.5305591032E11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220239.0</v>
      </c>
      <c r="F16" s="18" t="n">
        <f>32629</f>
        <v>32629.0</v>
      </c>
      <c r="G16" s="17" t="n">
        <v>1.45331678865E12</v>
      </c>
      <c r="H16" s="18" t="n">
        <f>215301499650</f>
        <v>2.1530149965E11</v>
      </c>
    </row>
    <row r="17" spans="1:8" ht="24.9" customHeight="1">
      <c r="A17" s="51"/>
      <c r="B17" s="57"/>
      <c r="C17" s="39"/>
      <c r="D17" s="20" t="s">
        <v>16</v>
      </c>
      <c r="E17" s="21" t="n">
        <v>121782.0</v>
      </c>
      <c r="F17" s="22" t="n">
        <f>13125</f>
        <v>13125.0</v>
      </c>
      <c r="G17" s="21" t="n">
        <v>8.0340444285E11</v>
      </c>
      <c r="H17" s="22" t="n">
        <f>86579976350</f>
        <v>8.657997635E10</v>
      </c>
    </row>
    <row r="18" spans="1:8" ht="24.9" customHeight="1">
      <c r="A18" s="51"/>
      <c r="B18" s="57"/>
      <c r="C18" s="39"/>
      <c r="D18" s="20" t="s">
        <v>17</v>
      </c>
      <c r="E18" s="21" t="n">
        <v>113312.0</v>
      </c>
      <c r="F18" s="22" t="n">
        <f>10328</f>
        <v>10328.0</v>
      </c>
      <c r="G18" s="21" t="n">
        <v>7.44163224562E11</v>
      </c>
      <c r="H18" s="22" t="n">
        <f>67839216562</f>
        <v>6.7839216562E10</v>
      </c>
    </row>
    <row r="19" spans="1:8" ht="24.9" customHeight="1">
      <c r="A19" s="51"/>
      <c r="B19" s="57"/>
      <c r="C19" s="39"/>
      <c r="D19" s="24" t="s">
        <v>18</v>
      </c>
      <c r="E19" s="25" t="n">
        <v>455333.0</v>
      </c>
      <c r="F19" s="26" t="n">
        <f>56082</f>
        <v>56082.0</v>
      </c>
      <c r="G19" s="25" t="n">
        <v>3.000884456062E12</v>
      </c>
      <c r="H19" s="26" t="n">
        <f>369720692562</f>
        <v>3.69720692562E11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327102.0</v>
      </c>
      <c r="F20" s="18" t="str">
        <f>"－"</f>
        <v>－</v>
      </c>
      <c r="G20" s="17" t="n">
        <v>2.158592175E11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186687.0</v>
      </c>
      <c r="F21" s="22" t="str">
        <f>"－"</f>
        <v>－</v>
      </c>
      <c r="G21" s="21" t="n">
        <v>1.231547952E11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154458.0</v>
      </c>
      <c r="F22" s="22" t="str">
        <f>"－"</f>
        <v>－</v>
      </c>
      <c r="G22" s="21" t="n">
        <v>1.0144713635E11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668247.0</v>
      </c>
      <c r="F23" s="26" t="str">
        <f>"－"</f>
        <v>－</v>
      </c>
      <c r="G23" s="25" t="n">
        <v>4.4046114905E11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9397.0</v>
      </c>
      <c r="F24" s="18" t="n">
        <f>24</f>
        <v>24.0</v>
      </c>
      <c r="G24" s="17" t="n">
        <v>3.831681145E11</v>
      </c>
      <c r="H24" s="18" t="n">
        <f>978314500</f>
        <v>9.783145E8</v>
      </c>
    </row>
    <row r="25" spans="1:8" ht="24.9" customHeight="1">
      <c r="A25" s="51"/>
      <c r="B25" s="57"/>
      <c r="C25" s="39"/>
      <c r="D25" s="20" t="s">
        <v>16</v>
      </c>
      <c r="E25" s="21" t="n">
        <v>9941.0</v>
      </c>
      <c r="F25" s="22" t="n">
        <f>450</f>
        <v>450.0</v>
      </c>
      <c r="G25" s="21" t="n">
        <v>4.051063485E11</v>
      </c>
      <c r="H25" s="22" t="n">
        <f>18290892500</f>
        <v>1.82908925E10</v>
      </c>
    </row>
    <row r="26" spans="1:8" ht="24.9" customHeight="1">
      <c r="A26" s="51"/>
      <c r="B26" s="57"/>
      <c r="C26" s="39"/>
      <c r="D26" s="20" t="s">
        <v>17</v>
      </c>
      <c r="E26" s="21" t="n">
        <v>20483.0</v>
      </c>
      <c r="F26" s="22" t="n">
        <f>6868</f>
        <v>6868.0</v>
      </c>
      <c r="G26" s="21" t="n">
        <v>8.347538382E11</v>
      </c>
      <c r="H26" s="22" t="n">
        <f>279728535200</f>
        <v>2.797285352E11</v>
      </c>
    </row>
    <row r="27" spans="1:8" ht="24.9" customHeight="1">
      <c r="A27" s="51"/>
      <c r="B27" s="57"/>
      <c r="C27" s="39"/>
      <c r="D27" s="24" t="s">
        <v>18</v>
      </c>
      <c r="E27" s="25" t="n">
        <v>39821.0</v>
      </c>
      <c r="F27" s="26" t="n">
        <f>7342</f>
        <v>7342.0</v>
      </c>
      <c r="G27" s="25" t="n">
        <v>1.6230283012E12</v>
      </c>
      <c r="H27" s="26" t="n">
        <f>298997742200</f>
        <v>2.989977422E11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4788.0</v>
      </c>
      <c r="F28" s="18" t="n">
        <f>311</f>
        <v>311.0</v>
      </c>
      <c r="G28" s="17" t="n">
        <v>1.95248152E10</v>
      </c>
      <c r="H28" s="18" t="n">
        <f>1268406700</f>
        <v>1.2684067E9</v>
      </c>
    </row>
    <row r="29" spans="1:8" ht="24.9" customHeight="1">
      <c r="A29" s="51"/>
      <c r="B29" s="57"/>
      <c r="C29" s="39"/>
      <c r="D29" s="20" t="s">
        <v>16</v>
      </c>
      <c r="E29" s="21" t="n">
        <v>4210.0</v>
      </c>
      <c r="F29" s="22" t="n">
        <f>258</f>
        <v>258.0</v>
      </c>
      <c r="G29" s="21" t="n">
        <v>1.71584384E10</v>
      </c>
      <c r="H29" s="22" t="n">
        <f>1051565150</f>
        <v>1.05156515E9</v>
      </c>
    </row>
    <row r="30" spans="1:8" ht="24.9" customHeight="1">
      <c r="A30" s="51"/>
      <c r="B30" s="57"/>
      <c r="C30" s="39"/>
      <c r="D30" s="20" t="s">
        <v>17</v>
      </c>
      <c r="E30" s="21" t="n">
        <v>4802.0</v>
      </c>
      <c r="F30" s="22" t="n">
        <f>216</f>
        <v>216.0</v>
      </c>
      <c r="G30" s="21" t="n">
        <v>1.957376251E10</v>
      </c>
      <c r="H30" s="22" t="n">
        <f>880400510</f>
        <v>8.8040051E8</v>
      </c>
    </row>
    <row r="31" spans="1:8" ht="24.9" customHeight="1">
      <c r="A31" s="51"/>
      <c r="B31" s="57"/>
      <c r="C31" s="39"/>
      <c r="D31" s="24" t="s">
        <v>18</v>
      </c>
      <c r="E31" s="25" t="n">
        <v>13800.0</v>
      </c>
      <c r="F31" s="26" t="n">
        <f>785</f>
        <v>785.0</v>
      </c>
      <c r="G31" s="25" t="n">
        <v>5.625701611E10</v>
      </c>
      <c r="H31" s="26" t="n">
        <f>3200372360</f>
        <v>3.20037236E9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461.0</v>
      </c>
      <c r="F36" s="18" t="n">
        <f>3</f>
        <v>3.0</v>
      </c>
      <c r="G36" s="17" t="n">
        <v>1.697358E9</v>
      </c>
      <c r="H36" s="18" t="n">
        <f>11047000</f>
        <v>1.1047E7</v>
      </c>
    </row>
    <row r="37" spans="1:8" ht="24.9" customHeight="1">
      <c r="A37" s="51"/>
      <c r="B37" s="57"/>
      <c r="C37" s="39"/>
      <c r="D37" s="20" t="s">
        <v>16</v>
      </c>
      <c r="E37" s="21" t="n">
        <v>1264.0</v>
      </c>
      <c r="F37" s="22" t="n">
        <f>0</f>
        <v>0.0</v>
      </c>
      <c r="G37" s="21" t="n">
        <v>4.6493725E9</v>
      </c>
      <c r="H37" s="22" t="n">
        <f>0</f>
        <v>0.0</v>
      </c>
    </row>
    <row r="38" spans="1:8" ht="24.9" customHeight="1">
      <c r="A38" s="51"/>
      <c r="B38" s="57"/>
      <c r="C38" s="39"/>
      <c r="D38" s="20" t="s">
        <v>17</v>
      </c>
      <c r="E38" s="21" t="n">
        <v>631.0</v>
      </c>
      <c r="F38" s="22" t="n">
        <f>3</f>
        <v>3.0</v>
      </c>
      <c r="G38" s="21" t="n">
        <v>2.3226445E9</v>
      </c>
      <c r="H38" s="22" t="n">
        <f>11045000</f>
        <v>1.1045E7</v>
      </c>
    </row>
    <row r="39" spans="1:8" ht="24.9" customHeight="1">
      <c r="A39" s="51"/>
      <c r="B39" s="57"/>
      <c r="C39" s="39"/>
      <c r="D39" s="24" t="s">
        <v>18</v>
      </c>
      <c r="E39" s="25" t="n">
        <v>2356.0</v>
      </c>
      <c r="F39" s="26" t="n">
        <f>6</f>
        <v>6.0</v>
      </c>
      <c r="G39" s="25" t="n">
        <v>8.669375E9</v>
      </c>
      <c r="H39" s="26" t="n">
        <f>22092000</f>
        <v>2.2092E7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0.0</v>
      </c>
      <c r="F46" s="22" t="n">
        <f>0</f>
        <v>0.0</v>
      </c>
      <c r="G46" s="21" t="n">
        <v>0.0</v>
      </c>
      <c r="H46" s="22" t="n">
        <f>0</f>
        <v>0.0</v>
      </c>
    </row>
    <row r="47" spans="1:8" ht="24.9" customHeight="1">
      <c r="A47" s="51"/>
      <c r="B47" s="57"/>
      <c r="C47" s="39"/>
      <c r="D47" s="24" t="s">
        <v>18</v>
      </c>
      <c r="E47" s="25" t="n">
        <v>0.0</v>
      </c>
      <c r="F47" s="26" t="n">
        <f>0</f>
        <v>0.0</v>
      </c>
      <c r="G47" s="25" t="n">
        <v>0.0</v>
      </c>
      <c r="H47" s="26" t="n">
        <f>0</f>
        <v>0.0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0.0</v>
      </c>
      <c r="F48" s="18" t="n">
        <f>0</f>
        <v>0.0</v>
      </c>
      <c r="G48" s="17" t="n">
        <v>0.0</v>
      </c>
      <c r="H48" s="18" t="n">
        <f>0</f>
        <v>0.0</v>
      </c>
    </row>
    <row r="49" spans="1:8" ht="24.9" customHeight="1">
      <c r="A49" s="51"/>
      <c r="B49" s="57"/>
      <c r="C49" s="39"/>
      <c r="D49" s="20" t="s">
        <v>16</v>
      </c>
      <c r="E49" s="21" t="n">
        <v>35.0</v>
      </c>
      <c r="F49" s="22" t="n">
        <f>0</f>
        <v>0.0</v>
      </c>
      <c r="G49" s="21" t="n">
        <v>6.27905E7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558.0</v>
      </c>
      <c r="F50" s="22" t="n">
        <f>471</f>
        <v>471.0</v>
      </c>
      <c r="G50" s="21" t="n">
        <v>1.00546214E9</v>
      </c>
      <c r="H50" s="22" t="n">
        <f>848943140</f>
        <v>8.4894314E8</v>
      </c>
    </row>
    <row r="51" spans="1:8" ht="24.9" customHeight="1">
      <c r="A51" s="51"/>
      <c r="B51" s="57"/>
      <c r="C51" s="39"/>
      <c r="D51" s="24" t="s">
        <v>18</v>
      </c>
      <c r="E51" s="25" t="n">
        <v>593.0</v>
      </c>
      <c r="F51" s="26" t="n">
        <f>471</f>
        <v>471.0</v>
      </c>
      <c r="G51" s="25" t="n">
        <v>1.06825264E9</v>
      </c>
      <c r="H51" s="26" t="n">
        <f>848943140</f>
        <v>8.4894314E8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701.0</v>
      </c>
      <c r="F56" s="18" t="n">
        <f>11</f>
        <v>11.0</v>
      </c>
      <c r="G56" s="17" t="n">
        <v>5.366703E8</v>
      </c>
      <c r="H56" s="18" t="n">
        <f>8376300</f>
        <v>8376300.0</v>
      </c>
    </row>
    <row r="57" spans="1:8" ht="24.9" customHeight="1">
      <c r="A57" s="51"/>
      <c r="B57" s="57"/>
      <c r="C57" s="39"/>
      <c r="D57" s="20" t="s">
        <v>16</v>
      </c>
      <c r="E57" s="21" t="n">
        <v>891.0</v>
      </c>
      <c r="F57" s="22" t="n">
        <f>8</f>
        <v>8.0</v>
      </c>
      <c r="G57" s="21" t="n">
        <v>6.81474E8</v>
      </c>
      <c r="H57" s="22" t="n">
        <f>6100000</f>
        <v>6100000.0</v>
      </c>
    </row>
    <row r="58" spans="1:8" ht="24.9" customHeight="1">
      <c r="A58" s="51"/>
      <c r="B58" s="57"/>
      <c r="C58" s="39"/>
      <c r="D58" s="20" t="s">
        <v>17</v>
      </c>
      <c r="E58" s="21" t="n">
        <v>1024.0</v>
      </c>
      <c r="F58" s="22" t="n">
        <f>266</f>
        <v>266.0</v>
      </c>
      <c r="G58" s="21" t="n">
        <v>7.841803E8</v>
      </c>
      <c r="H58" s="22" t="n">
        <f>204736300</f>
        <v>2.047363E8</v>
      </c>
    </row>
    <row r="59" spans="1:8" ht="24.9" customHeight="1">
      <c r="A59" s="51"/>
      <c r="B59" s="57"/>
      <c r="C59" s="39"/>
      <c r="D59" s="24" t="s">
        <v>18</v>
      </c>
      <c r="E59" s="25" t="n">
        <v>2616.0</v>
      </c>
      <c r="F59" s="26" t="n">
        <f>285</f>
        <v>285.0</v>
      </c>
      <c r="G59" s="25" t="n">
        <v>2.0023246E9</v>
      </c>
      <c r="H59" s="26" t="n">
        <f>219212600</f>
        <v>2.192126E8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241.0</v>
      </c>
      <c r="F60" s="18" t="n">
        <f>10</f>
        <v>10.0</v>
      </c>
      <c r="G60" s="17" t="n">
        <v>1.28200528E9</v>
      </c>
      <c r="H60" s="18" t="n">
        <f>53089880</f>
        <v>5.308988E7</v>
      </c>
    </row>
    <row r="61" spans="1:8" ht="24.9" customHeight="1">
      <c r="A61" s="51"/>
      <c r="B61" s="57"/>
      <c r="C61" s="39"/>
      <c r="D61" s="20" t="s">
        <v>16</v>
      </c>
      <c r="E61" s="21" t="n">
        <v>79.0</v>
      </c>
      <c r="F61" s="22" t="n">
        <f>13</f>
        <v>13.0</v>
      </c>
      <c r="G61" s="21" t="n">
        <v>4.216417E8</v>
      </c>
      <c r="H61" s="22" t="n">
        <f>69430000</f>
        <v>6.943E7</v>
      </c>
    </row>
    <row r="62" spans="1:8" ht="24.9" customHeight="1">
      <c r="A62" s="51"/>
      <c r="B62" s="57"/>
      <c r="C62" s="39"/>
      <c r="D62" s="20" t="s">
        <v>17</v>
      </c>
      <c r="E62" s="21" t="n">
        <v>28.0</v>
      </c>
      <c r="F62" s="22" t="n">
        <f>2</f>
        <v>2.0</v>
      </c>
      <c r="G62" s="21" t="n">
        <v>1.4931091E8</v>
      </c>
      <c r="H62" s="22" t="n">
        <f>10688410</f>
        <v>1.068841E7</v>
      </c>
    </row>
    <row r="63" spans="1:8" ht="24.9" customHeight="1">
      <c r="A63" s="51"/>
      <c r="B63" s="57"/>
      <c r="C63" s="39"/>
      <c r="D63" s="24" t="s">
        <v>18</v>
      </c>
      <c r="E63" s="25" t="n">
        <v>348.0</v>
      </c>
      <c r="F63" s="26" t="n">
        <f>25</f>
        <v>25.0</v>
      </c>
      <c r="G63" s="25" t="n">
        <v>1.85295789E9</v>
      </c>
      <c r="H63" s="26" t="n">
        <f>133208290</f>
        <v>1.3320829E8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22.0</v>
      </c>
      <c r="F77" s="22" t="n">
        <f>0</f>
        <v>0.0</v>
      </c>
      <c r="G77" s="21" t="n">
        <v>7554500.0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1.0</v>
      </c>
      <c r="F78" s="22" t="n">
        <f>0</f>
        <v>0.0</v>
      </c>
      <c r="G78" s="21" t="n">
        <v>364000.0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23.0</v>
      </c>
      <c r="F79" s="26" t="n">
        <f>0</f>
        <v>0.0</v>
      </c>
      <c r="G79" s="25" t="n">
        <v>7918500.0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54.0</v>
      </c>
      <c r="F92" s="18" t="n">
        <f>0</f>
        <v>0.0</v>
      </c>
      <c r="G92" s="17" t="n">
        <v>8.5568E7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0.0</v>
      </c>
      <c r="F93" s="22" t="n">
        <f>0</f>
        <v>0.0</v>
      </c>
      <c r="G93" s="21" t="n">
        <v>0.0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3.0</v>
      </c>
      <c r="F94" s="22" t="n">
        <f>0</f>
        <v>0.0</v>
      </c>
      <c r="G94" s="21" t="n">
        <v>4758900.0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57.0</v>
      </c>
      <c r="F95" s="26" t="n">
        <f>0</f>
        <v>0.0</v>
      </c>
      <c r="G95" s="25" t="n">
        <v>9.03269E7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2.0</v>
      </c>
      <c r="F96" s="18" t="n">
        <f>0</f>
        <v>0.0</v>
      </c>
      <c r="G96" s="17" t="n">
        <v>4724000.0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0.0</v>
      </c>
      <c r="F98" s="22" t="n">
        <f>0</f>
        <v>0.0</v>
      </c>
      <c r="G98" s="21" t="n">
        <v>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2.0</v>
      </c>
      <c r="F99" s="26" t="n">
        <f>0</f>
        <v>0.0</v>
      </c>
      <c r="G99" s="25" t="n">
        <v>4724000.0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30.0</v>
      </c>
      <c r="F100" s="18" t="n">
        <f>0</f>
        <v>0.0</v>
      </c>
      <c r="G100" s="17" t="n">
        <v>5.5643E7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30.0</v>
      </c>
      <c r="F103" s="26" t="n">
        <f>0</f>
        <v>0.0</v>
      </c>
      <c r="G103" s="25" t="n">
        <v>5.5643E7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7059.0</v>
      </c>
      <c r="F108" s="18" t="n">
        <f>9</f>
        <v>9.0</v>
      </c>
      <c r="G108" s="17" t="n">
        <v>8.9265182E11</v>
      </c>
      <c r="H108" s="18" t="n">
        <f>1137900000</f>
        <v>1.1379E9</v>
      </c>
    </row>
    <row r="109" spans="1:8" ht="24.9" customHeight="1">
      <c r="A109" s="51"/>
      <c r="B109" s="57"/>
      <c r="C109" s="39"/>
      <c r="D109" s="20" t="s">
        <v>16</v>
      </c>
      <c r="E109" s="21" t="n">
        <v>7699.0</v>
      </c>
      <c r="F109" s="22" t="n">
        <f>707</f>
        <v>707.0</v>
      </c>
      <c r="G109" s="21" t="n">
        <v>9.73484705E11</v>
      </c>
      <c r="H109" s="22" t="n">
        <f>89404415000</f>
        <v>8.9404415E10</v>
      </c>
    </row>
    <row r="110" spans="1:8" ht="24.9" customHeight="1">
      <c r="A110" s="51"/>
      <c r="B110" s="57"/>
      <c r="C110" s="39"/>
      <c r="D110" s="20" t="s">
        <v>17</v>
      </c>
      <c r="E110" s="21" t="n">
        <v>12740.0</v>
      </c>
      <c r="F110" s="22" t="n">
        <f>1952</f>
        <v>1952.0</v>
      </c>
      <c r="G110" s="21" t="n">
        <v>1.61189682E12</v>
      </c>
      <c r="H110" s="22" t="n">
        <f>247010060000</f>
        <v>2.4701006E11</v>
      </c>
    </row>
    <row r="111" spans="1:8" ht="24.9" customHeight="1">
      <c r="A111" s="51"/>
      <c r="B111" s="57"/>
      <c r="C111" s="39"/>
      <c r="D111" s="24" t="s">
        <v>18</v>
      </c>
      <c r="E111" s="25" t="n">
        <v>27498.0</v>
      </c>
      <c r="F111" s="26" t="n">
        <f>2668</f>
        <v>2668.0</v>
      </c>
      <c r="G111" s="25" t="n">
        <v>3.478033345E12</v>
      </c>
      <c r="H111" s="26" t="n">
        <f>337552375000</f>
        <v>3.37552375E11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821.0</v>
      </c>
      <c r="F113" s="22" t="n">
        <f>0</f>
        <v>0.0</v>
      </c>
      <c r="G113" s="21" t="n">
        <v>1.0382273E10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1033.0</v>
      </c>
      <c r="F114" s="22" t="n">
        <f>0</f>
        <v>0.0</v>
      </c>
      <c r="G114" s="21" t="n">
        <v>1.3073429E10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1854.0</v>
      </c>
      <c r="F115" s="26" t="n">
        <f>0</f>
        <v>0.0</v>
      </c>
      <c r="G115" s="25" t="n">
        <v>2.3455702E10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270.0</v>
      </c>
      <c r="F118" s="22" t="n">
        <f>0</f>
        <v>0.0</v>
      </c>
      <c r="G118" s="21" t="n">
        <v>2.42692E9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270.0</v>
      </c>
      <c r="F119" s="26" t="n">
        <f>0</f>
        <v>0.0</v>
      </c>
      <c r="G119" s="25" t="n">
        <v>2.42692E9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175.0</v>
      </c>
      <c r="F120" s="18" t="n">
        <f>0</f>
        <v>0.0</v>
      </c>
      <c r="G120" s="17" t="n">
        <v>4.31216625E9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3015.0</v>
      </c>
      <c r="F121" s="22" t="n">
        <f>0</f>
        <v>0.0</v>
      </c>
      <c r="G121" s="21" t="n">
        <v>7.41714975E10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345.0</v>
      </c>
      <c r="F122" s="22" t="n">
        <f>0</f>
        <v>0.0</v>
      </c>
      <c r="G122" s="21" t="n">
        <v>8.51853875E9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3535.0</v>
      </c>
      <c r="F123" s="26" t="n">
        <f>0</f>
        <v>0.0</v>
      </c>
      <c r="G123" s="25" t="n">
        <v>8.70022025E10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8744.0</v>
      </c>
      <c r="F124" s="18" t="n">
        <f>0</f>
        <v>0.0</v>
      </c>
      <c r="G124" s="17" t="n">
        <v>2.10134358E11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5861.0</v>
      </c>
      <c r="F125" s="22" t="n">
        <f>0</f>
        <v>0.0</v>
      </c>
      <c r="G125" s="21" t="n">
        <v>1.41648868E11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6649.0</v>
      </c>
      <c r="F126" s="22" t="n">
        <f>1002</f>
        <v>1002.0</v>
      </c>
      <c r="G126" s="21" t="n">
        <v>1.61212339E11</v>
      </c>
      <c r="H126" s="22" t="n">
        <f>24263600000</f>
        <v>2.42636E10</v>
      </c>
    </row>
    <row r="127" spans="1:8" ht="24.9" customHeight="1">
      <c r="A127" s="51"/>
      <c r="B127" s="57"/>
      <c r="C127" s="39"/>
      <c r="D127" s="24" t="s">
        <v>18</v>
      </c>
      <c r="E127" s="25" t="n">
        <v>21254.0</v>
      </c>
      <c r="F127" s="26" t="n">
        <f>1002</f>
        <v>1002.0</v>
      </c>
      <c r="G127" s="25" t="n">
        <v>5.12995565E11</v>
      </c>
      <c r="H127" s="26" t="n">
        <f>24263600000</f>
        <v>2.42636E10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162.0</v>
      </c>
      <c r="F128" s="18" t="n">
        <f>0</f>
        <v>0.0</v>
      </c>
      <c r="G128" s="17" t="n">
        <v>3.862868E8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550.0</v>
      </c>
      <c r="F129" s="22" t="n">
        <f>0</f>
        <v>0.0</v>
      </c>
      <c r="G129" s="21" t="n">
        <v>1.3221335E9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422.0</v>
      </c>
      <c r="F130" s="22" t="n">
        <f>0</f>
        <v>0.0</v>
      </c>
      <c r="G130" s="21" t="n">
        <v>1.0174254E9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1134.0</v>
      </c>
      <c r="F131" s="26" t="n">
        <f>0</f>
        <v>0.0</v>
      </c>
      <c r="G131" s="25" t="n">
        <v>2.7258457E9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11177.0</v>
      </c>
      <c r="F132" s="18" t="n">
        <f>0</f>
        <v>0.0</v>
      </c>
      <c r="G132" s="17" t="n">
        <v>2.695628205E10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4812.0</v>
      </c>
      <c r="F133" s="22" t="n">
        <f>0</f>
        <v>0.0</v>
      </c>
      <c r="G133" s="21" t="n">
        <v>1.1677527E10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4349.0</v>
      </c>
      <c r="F134" s="22" t="n">
        <f>0</f>
        <v>0.0</v>
      </c>
      <c r="G134" s="21" t="n">
        <v>1.060788055E10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20338.0</v>
      </c>
      <c r="F135" s="26" t="n">
        <f>0</f>
        <v>0.0</v>
      </c>
      <c r="G135" s="25" t="n">
        <v>4.92416896E10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167.0</v>
      </c>
      <c r="F136" s="18" t="n">
        <f>0</f>
        <v>0.0</v>
      </c>
      <c r="G136" s="17" t="n">
        <v>3.952319E8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106.0</v>
      </c>
      <c r="F137" s="22" t="n">
        <f>0</f>
        <v>0.0</v>
      </c>
      <c r="G137" s="21" t="n">
        <v>2.528002E8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63.0</v>
      </c>
      <c r="F138" s="22" t="n">
        <f>0</f>
        <v>0.0</v>
      </c>
      <c r="G138" s="21" t="n">
        <v>1.510501E8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336.0</v>
      </c>
      <c r="F139" s="26" t="n">
        <f>0</f>
        <v>0.0</v>
      </c>
      <c r="G139" s="25" t="n">
        <v>7.990822E8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1942.0</v>
      </c>
      <c r="F144" s="18" t="n">
        <f>0</f>
        <v>0.0</v>
      </c>
      <c r="G144" s="17" t="n">
        <v>9.298346E9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1294.0</v>
      </c>
      <c r="F145" s="22" t="n">
        <f>0</f>
        <v>0.0</v>
      </c>
      <c r="G145" s="21" t="n">
        <v>6.1476115E9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879.0</v>
      </c>
      <c r="F146" s="22" t="n">
        <f>0</f>
        <v>0.0</v>
      </c>
      <c r="G146" s="21" t="n">
        <v>4.1966155E9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4115.0</v>
      </c>
      <c r="F147" s="26" t="n">
        <f>0</f>
        <v>0.0</v>
      </c>
      <c r="G147" s="25" t="n">
        <v>1.9642573E10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16.0</v>
      </c>
      <c r="F148" s="18" t="n">
        <f>0</f>
        <v>0.0</v>
      </c>
      <c r="G148" s="17" t="n">
        <v>1.56168E7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34.0</v>
      </c>
      <c r="F149" s="22" t="n">
        <f>0</f>
        <v>0.0</v>
      </c>
      <c r="G149" s="21" t="n">
        <v>3.29216E7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156.0</v>
      </c>
      <c r="F150" s="22" t="n">
        <f>0</f>
        <v>0.0</v>
      </c>
      <c r="G150" s="21" t="n">
        <v>1.518422E8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206.0</v>
      </c>
      <c r="F151" s="26" t="n">
        <f>0</f>
        <v>0.0</v>
      </c>
      <c r="G151" s="25" t="n">
        <v>2.003806E8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574.0</v>
      </c>
      <c r="F152" s="18" t="n">
        <f>0</f>
        <v>0.0</v>
      </c>
      <c r="G152" s="17" t="n">
        <v>5.481112E8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386.0</v>
      </c>
      <c r="F153" s="22" t="n">
        <f>0</f>
        <v>0.0</v>
      </c>
      <c r="G153" s="21" t="n">
        <v>3.6658395E8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395.0</v>
      </c>
      <c r="F154" s="22" t="n">
        <f>0</f>
        <v>0.0</v>
      </c>
      <c r="G154" s="21" t="n">
        <v>3.7619795E8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1355.0</v>
      </c>
      <c r="F155" s="26" t="n">
        <f>0</f>
        <v>0.0</v>
      </c>
      <c r="G155" s="25" t="n">
        <v>1.2908931E9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54.0</v>
      </c>
      <c r="F156" s="18" t="n">
        <f>0</f>
        <v>0.0</v>
      </c>
      <c r="G156" s="17" t="n">
        <v>5.14846E7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205.0</v>
      </c>
      <c r="F157" s="22" t="n">
        <f>0</f>
        <v>0.0</v>
      </c>
      <c r="G157" s="21" t="n">
        <v>1.938429E8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208.0</v>
      </c>
      <c r="F158" s="22" t="n">
        <f>0</f>
        <v>0.0</v>
      </c>
      <c r="G158" s="21" t="n">
        <v>1.979818E8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467.0</v>
      </c>
      <c r="F159" s="26" t="n">
        <f>0</f>
        <v>0.0</v>
      </c>
      <c r="G159" s="25" t="n">
        <v>4.433093E8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64.0</v>
      </c>
      <c r="F168" s="18" t="n">
        <f>0</f>
        <v>0.0</v>
      </c>
      <c r="G168" s="17" t="n">
        <v>1.403645E8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219.0</v>
      </c>
      <c r="F169" s="22" t="n">
        <f>50</f>
        <v>50.0</v>
      </c>
      <c r="G169" s="21" t="n">
        <v>4.91311E8</v>
      </c>
      <c r="H169" s="22" t="n">
        <f>119725000</f>
        <v>1.19725E8</v>
      </c>
    </row>
    <row r="170" spans="1:8" ht="24.9" customHeight="1">
      <c r="A170" s="51"/>
      <c r="B170" s="57"/>
      <c r="C170" s="39"/>
      <c r="D170" s="20" t="s">
        <v>17</v>
      </c>
      <c r="E170" s="21" t="n">
        <v>238.0</v>
      </c>
      <c r="F170" s="22" t="n">
        <f>0</f>
        <v>0.0</v>
      </c>
      <c r="G170" s="21" t="n">
        <v>5.228795E8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521.0</v>
      </c>
      <c r="F171" s="26" t="n">
        <f>50</f>
        <v>50.0</v>
      </c>
      <c r="G171" s="25" t="n">
        <v>1.154555E9</v>
      </c>
      <c r="H171" s="26" t="n">
        <f>119725000</f>
        <v>1.19725E8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16.0</v>
      </c>
      <c r="F178" s="22" t="n">
        <f>0</f>
        <v>0.0</v>
      </c>
      <c r="G178" s="21" t="n">
        <v>2.9854E7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16.0</v>
      </c>
      <c r="F179" s="26" t="n">
        <f>0</f>
        <v>0.0</v>
      </c>
      <c r="G179" s="25" t="n">
        <v>2.9854E7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873.0</v>
      </c>
      <c r="F204" s="18" t="n">
        <f>59</f>
        <v>59.0</v>
      </c>
      <c r="G204" s="17" t="n">
        <v>3.3929555E9</v>
      </c>
      <c r="H204" s="18" t="n">
        <f>226737000</f>
        <v>2.26737E8</v>
      </c>
    </row>
    <row r="205" spans="1:8" ht="24.9" customHeight="1">
      <c r="A205" s="57"/>
      <c r="B205" s="59"/>
      <c r="C205" s="39"/>
      <c r="D205" s="20" t="s">
        <v>16</v>
      </c>
      <c r="E205" s="21" t="n">
        <v>137.0</v>
      </c>
      <c r="F205" s="22" t="n">
        <f>0</f>
        <v>0.0</v>
      </c>
      <c r="G205" s="21" t="n">
        <v>5.322935E8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853.0</v>
      </c>
      <c r="F206" s="22" t="n">
        <f>2</f>
        <v>2.0</v>
      </c>
      <c r="G206" s="21" t="n">
        <v>3.3381975E9</v>
      </c>
      <c r="H206" s="22" t="n">
        <f>8850000</f>
        <v>8850000.0</v>
      </c>
    </row>
    <row r="207" spans="1:8" ht="24.9" customHeight="1">
      <c r="A207" s="57"/>
      <c r="B207" s="59"/>
      <c r="C207" s="39"/>
      <c r="D207" s="24" t="s">
        <v>18</v>
      </c>
      <c r="E207" s="25" t="n">
        <v>1863.0</v>
      </c>
      <c r="F207" s="26" t="n">
        <f>61</f>
        <v>61.0</v>
      </c>
      <c r="G207" s="25" t="n">
        <v>7.2634465E9</v>
      </c>
      <c r="H207" s="26" t="n">
        <f>235587000</f>
        <v>2.35587E8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5.0</v>
      </c>
      <c r="F248" s="18" t="n">
        <f>5</f>
        <v>5.0</v>
      </c>
      <c r="G248" s="17" t="n">
        <v>7.40052E7</v>
      </c>
      <c r="H248" s="18" t="n">
        <f>74005200</f>
        <v>7.40052E7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5.0</v>
      </c>
      <c r="F251" s="26" t="n">
        <f>5</f>
        <v>5.0</v>
      </c>
      <c r="G251" s="25" t="n">
        <v>7.40052E7</v>
      </c>
      <c r="H251" s="26" t="n">
        <f>74005200</f>
        <v>7.40052E7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90.0</v>
      </c>
      <c r="F272" s="18" t="n">
        <f>90</f>
        <v>90.0</v>
      </c>
      <c r="G272" s="17" t="n">
        <v>3.1032E8</v>
      </c>
      <c r="H272" s="18" t="n">
        <f>310320000</f>
        <v>3.1032E8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90.0</v>
      </c>
      <c r="F275" s="26" t="n">
        <f>90</f>
        <v>90.0</v>
      </c>
      <c r="G275" s="25" t="n">
        <v>3.1032E8</v>
      </c>
      <c r="H275" s="26" t="n">
        <f>310320000</f>
        <v>3.1032E8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46258.0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46258.0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2620</f>
        <v>2620.0</v>
      </c>
      <c r="E12" s="35" t="n">
        <f>1287</f>
        <v>1287.0</v>
      </c>
      <c r="F12" s="17" t="n">
        <f>2772</f>
        <v>2772.0</v>
      </c>
      <c r="G12" s="35" t="n">
        <f>991</f>
        <v>991.0</v>
      </c>
      <c r="H12" s="17" t="n">
        <f>5392</f>
        <v>5392.0</v>
      </c>
      <c r="I12" s="35" t="n">
        <f>2278</f>
        <v>2278.0</v>
      </c>
      <c r="J12" s="17" t="n">
        <f>2464661920</f>
        <v>2.46466192E9</v>
      </c>
      <c r="K12" s="35" t="n">
        <f>1798388920</f>
        <v>1.79838892E9</v>
      </c>
      <c r="L12" s="17" t="n">
        <f>2039806380</f>
        <v>2.03980638E9</v>
      </c>
      <c r="M12" s="35" t="n">
        <f>1465070380</f>
        <v>1.46507038E9</v>
      </c>
      <c r="N12" s="17" t="n">
        <f>4504468300</f>
        <v>4.5044683E9</v>
      </c>
      <c r="O12" s="35" t="n">
        <f>3263459300</f>
        <v>3.2634593E9</v>
      </c>
    </row>
    <row r="13" spans="1:15" ht="24.9" customHeight="1">
      <c r="A13" s="38"/>
      <c r="B13" s="62"/>
      <c r="C13" s="20" t="s">
        <v>16</v>
      </c>
      <c r="D13" s="21" t="n">
        <f>2009</f>
        <v>2009.0</v>
      </c>
      <c r="E13" s="36" t="n">
        <f>755</f>
        <v>755.0</v>
      </c>
      <c r="F13" s="21" t="n">
        <f>2192</f>
        <v>2192.0</v>
      </c>
      <c r="G13" s="36" t="n">
        <f>756</f>
        <v>756.0</v>
      </c>
      <c r="H13" s="21" t="n">
        <f>4201</f>
        <v>4201.0</v>
      </c>
      <c r="I13" s="36" t="n">
        <f>1511</f>
        <v>1511.0</v>
      </c>
      <c r="J13" s="21" t="n">
        <f>1217809900</f>
        <v>1.2178099E9</v>
      </c>
      <c r="K13" s="36" t="n">
        <f>828100900</f>
        <v>8.281009E8</v>
      </c>
      <c r="L13" s="21" t="n">
        <f>982623670</f>
        <v>9.8262367E8</v>
      </c>
      <c r="M13" s="36" t="n">
        <f>626108670</f>
        <v>6.2610867E8</v>
      </c>
      <c r="N13" s="21" t="n">
        <f>2200433570</f>
        <v>2.20043357E9</v>
      </c>
      <c r="O13" s="36" t="n">
        <f>1454209570</f>
        <v>1.45420957E9</v>
      </c>
    </row>
    <row r="14" spans="1:15" ht="24.9" customHeight="1">
      <c r="A14" s="38"/>
      <c r="B14" s="62"/>
      <c r="C14" s="20" t="s">
        <v>17</v>
      </c>
      <c r="D14" s="21" t="n">
        <f>13761</f>
        <v>13761.0</v>
      </c>
      <c r="E14" s="36" t="n">
        <f>11024</f>
        <v>11024.0</v>
      </c>
      <c r="F14" s="21" t="n">
        <f>6883</f>
        <v>6883.0</v>
      </c>
      <c r="G14" s="36" t="n">
        <f>5040</f>
        <v>5040.0</v>
      </c>
      <c r="H14" s="21" t="n">
        <f>20644</f>
        <v>20644.0</v>
      </c>
      <c r="I14" s="36" t="n">
        <f>16064</f>
        <v>16064.0</v>
      </c>
      <c r="J14" s="21" t="n">
        <f>10815841302</f>
        <v>1.0815841302E10</v>
      </c>
      <c r="K14" s="36" t="n">
        <f>9888327302</f>
        <v>9.888327302E9</v>
      </c>
      <c r="L14" s="21" t="n">
        <f>9804040440</f>
        <v>9.80404044E9</v>
      </c>
      <c r="M14" s="36" t="n">
        <f>9218945440</f>
        <v>9.21894544E9</v>
      </c>
      <c r="N14" s="21" t="n">
        <f>20619881742</f>
        <v>2.0619881742E10</v>
      </c>
      <c r="O14" s="36" t="n">
        <f>19107272742</f>
        <v>1.9107272742E10</v>
      </c>
    </row>
    <row r="15" spans="1:15" ht="24.9" customHeight="1">
      <c r="A15" s="38"/>
      <c r="B15" s="62"/>
      <c r="C15" s="24" t="s">
        <v>18</v>
      </c>
      <c r="D15" s="25" t="n">
        <f>18390</f>
        <v>18390.0</v>
      </c>
      <c r="E15" s="37" t="n">
        <f>13066</f>
        <v>13066.0</v>
      </c>
      <c r="F15" s="25" t="n">
        <f>11847</f>
        <v>11847.0</v>
      </c>
      <c r="G15" s="37" t="n">
        <f>6787</f>
        <v>6787.0</v>
      </c>
      <c r="H15" s="25" t="n">
        <f>30237</f>
        <v>30237.0</v>
      </c>
      <c r="I15" s="37" t="n">
        <f>19853</f>
        <v>19853.0</v>
      </c>
      <c r="J15" s="25" t="n">
        <f>14498313122</f>
        <v>1.4498313122E10</v>
      </c>
      <c r="K15" s="37" t="n">
        <f>12514817122</f>
        <v>1.2514817122E10</v>
      </c>
      <c r="L15" s="25" t="n">
        <f>12826470490</f>
        <v>1.282647049E10</v>
      </c>
      <c r="M15" s="37" t="n">
        <f>11310124490</f>
        <v>1.131012449E10</v>
      </c>
      <c r="N15" s="25" t="n">
        <f>27324783612</f>
        <v>2.7324783612E10</v>
      </c>
      <c r="O15" s="37" t="n">
        <f>23824941612</f>
        <v>2.3824941612E10</v>
      </c>
    </row>
    <row r="16" spans="1:15" ht="24.9" customHeight="1">
      <c r="A16" s="38"/>
      <c r="B16" s="61" t="s">
        <v>105</v>
      </c>
      <c r="C16" s="16" t="s">
        <v>15</v>
      </c>
      <c r="D16" s="17" t="n">
        <f>6703</f>
        <v>6703.0</v>
      </c>
      <c r="E16" s="35" t="n">
        <f>440</f>
        <v>440.0</v>
      </c>
      <c r="F16" s="17" t="n">
        <f>5568</f>
        <v>5568.0</v>
      </c>
      <c r="G16" s="35" t="n">
        <f>80</f>
        <v>80.0</v>
      </c>
      <c r="H16" s="17" t="n">
        <f>12271</f>
        <v>12271.0</v>
      </c>
      <c r="I16" s="35" t="n">
        <f>520</f>
        <v>520.0</v>
      </c>
      <c r="J16" s="17" t="n">
        <f>355407380</f>
        <v>3.5540738E8</v>
      </c>
      <c r="K16" s="35" t="n">
        <f>11298380</f>
        <v>1.129838E7</v>
      </c>
      <c r="L16" s="17" t="n">
        <f>230449880</f>
        <v>2.3044988E8</v>
      </c>
      <c r="M16" s="35" t="n">
        <f>467180</f>
        <v>467180.0</v>
      </c>
      <c r="N16" s="17" t="n">
        <f>585857260</f>
        <v>5.8585726E8</v>
      </c>
      <c r="O16" s="35" t="n">
        <f>11765560</f>
        <v>1.176556E7</v>
      </c>
    </row>
    <row r="17" spans="1:15" ht="24.9" customHeight="1">
      <c r="A17" s="38"/>
      <c r="B17" s="62"/>
      <c r="C17" s="20" t="s">
        <v>16</v>
      </c>
      <c r="D17" s="21" t="n">
        <f>5115</f>
        <v>5115.0</v>
      </c>
      <c r="E17" s="36" t="n">
        <f>590</f>
        <v>590.0</v>
      </c>
      <c r="F17" s="21" t="n">
        <f>4614</f>
        <v>4614.0</v>
      </c>
      <c r="G17" s="36" t="n">
        <f>270</f>
        <v>270.0</v>
      </c>
      <c r="H17" s="21" t="n">
        <f>9729</f>
        <v>9729.0</v>
      </c>
      <c r="I17" s="36" t="n">
        <f>860</f>
        <v>860.0</v>
      </c>
      <c r="J17" s="21" t="n">
        <f>149246580</f>
        <v>1.4924658E8</v>
      </c>
      <c r="K17" s="36" t="n">
        <f>9028680</f>
        <v>9028680.0</v>
      </c>
      <c r="L17" s="21" t="n">
        <f>122466010</f>
        <v>1.2246601E8</v>
      </c>
      <c r="M17" s="36" t="n">
        <f>2808010</f>
        <v>2808010.0</v>
      </c>
      <c r="N17" s="21" t="n">
        <f>271712590</f>
        <v>2.7171259E8</v>
      </c>
      <c r="O17" s="36" t="n">
        <f>11836690</f>
        <v>1.183669E7</v>
      </c>
    </row>
    <row r="18" spans="1:15" ht="24.9" customHeight="1">
      <c r="A18" s="38"/>
      <c r="B18" s="62"/>
      <c r="C18" s="20" t="s">
        <v>17</v>
      </c>
      <c r="D18" s="21" t="n">
        <f>6103</f>
        <v>6103.0</v>
      </c>
      <c r="E18" s="36" t="n">
        <f>440</f>
        <v>440.0</v>
      </c>
      <c r="F18" s="21" t="n">
        <f>6001</f>
        <v>6001.0</v>
      </c>
      <c r="G18" s="36" t="n">
        <f>550</f>
        <v>550.0</v>
      </c>
      <c r="H18" s="21" t="n">
        <f>12104</f>
        <v>12104.0</v>
      </c>
      <c r="I18" s="36" t="n">
        <f>990</f>
        <v>990.0</v>
      </c>
      <c r="J18" s="21" t="n">
        <f>217496410</f>
        <v>2.1749641E8</v>
      </c>
      <c r="K18" s="36" t="n">
        <f>18915310</f>
        <v>1.891531E7</v>
      </c>
      <c r="L18" s="21" t="n">
        <f>150559020</f>
        <v>1.5055902E8</v>
      </c>
      <c r="M18" s="36" t="n">
        <f>1403420</f>
        <v>1403420.0</v>
      </c>
      <c r="N18" s="21" t="n">
        <f>368055430</f>
        <v>3.6805543E8</v>
      </c>
      <c r="O18" s="36" t="n">
        <f>20318730</f>
        <v>2.031873E7</v>
      </c>
    </row>
    <row r="19" spans="1:15" ht="24.9" customHeight="1">
      <c r="A19" s="38"/>
      <c r="B19" s="62"/>
      <c r="C19" s="24" t="s">
        <v>18</v>
      </c>
      <c r="D19" s="25" t="n">
        <f>17921</f>
        <v>17921.0</v>
      </c>
      <c r="E19" s="37" t="n">
        <f>1470</f>
        <v>1470.0</v>
      </c>
      <c r="F19" s="25" t="n">
        <f>16183</f>
        <v>16183.0</v>
      </c>
      <c r="G19" s="37" t="n">
        <f>900</f>
        <v>900.0</v>
      </c>
      <c r="H19" s="25" t="n">
        <f>34104</f>
        <v>34104.0</v>
      </c>
      <c r="I19" s="37" t="n">
        <f>2370</f>
        <v>2370.0</v>
      </c>
      <c r="J19" s="25" t="n">
        <f>722150370</f>
        <v>7.2215037E8</v>
      </c>
      <c r="K19" s="37" t="n">
        <f>39242370</f>
        <v>3.924237E7</v>
      </c>
      <c r="L19" s="25" t="n">
        <f>503474910</f>
        <v>5.0347491E8</v>
      </c>
      <c r="M19" s="37" t="n">
        <f>4678610</f>
        <v>4678610.0</v>
      </c>
      <c r="N19" s="25" t="n">
        <f>1225625280</f>
        <v>1.22562528E9</v>
      </c>
      <c r="O19" s="37" t="n">
        <f>43920980</f>
        <v>4.392098E7</v>
      </c>
    </row>
    <row r="20" spans="1:15" ht="24.9" customHeight="1">
      <c r="A20" s="38"/>
      <c r="B20" s="61" t="s">
        <v>106</v>
      </c>
      <c r="C20" s="16" t="s">
        <v>15</v>
      </c>
      <c r="D20" s="17" t="n">
        <f>212</f>
        <v>212.0</v>
      </c>
      <c r="E20" s="35" t="n">
        <f>212</f>
        <v>212.0</v>
      </c>
      <c r="F20" s="17" t="n">
        <f>200</f>
        <v>200.0</v>
      </c>
      <c r="G20" s="35" t="n">
        <f>200</f>
        <v>200.0</v>
      </c>
      <c r="H20" s="17" t="n">
        <f>412</f>
        <v>412.0</v>
      </c>
      <c r="I20" s="35" t="n">
        <f>412</f>
        <v>412.0</v>
      </c>
      <c r="J20" s="17" t="n">
        <f>480191800</f>
        <v>4.801918E8</v>
      </c>
      <c r="K20" s="35" t="n">
        <f>480191800</f>
        <v>4.801918E8</v>
      </c>
      <c r="L20" s="17" t="n">
        <f>389500000</f>
        <v>3.895E8</v>
      </c>
      <c r="M20" s="35" t="n">
        <f>389500000</f>
        <v>3.895E8</v>
      </c>
      <c r="N20" s="17" t="n">
        <f>869691800</f>
        <v>8.696918E8</v>
      </c>
      <c r="O20" s="35" t="n">
        <f>869691800</f>
        <v>8.696918E8</v>
      </c>
    </row>
    <row r="21" spans="1:15" ht="24.9" customHeight="1">
      <c r="A21" s="38"/>
      <c r="B21" s="62"/>
      <c r="C21" s="20" t="s">
        <v>16</v>
      </c>
      <c r="D21" s="21" t="n">
        <f>0</f>
        <v>0.0</v>
      </c>
      <c r="E21" s="36" t="n">
        <f>0</f>
        <v>0.0</v>
      </c>
      <c r="F21" s="21" t="n">
        <f>0</f>
        <v>0.0</v>
      </c>
      <c r="G21" s="36" t="n">
        <f>0</f>
        <v>0.0</v>
      </c>
      <c r="H21" s="21" t="n">
        <f>0</f>
        <v>0.0</v>
      </c>
      <c r="I21" s="36" t="n">
        <f>0</f>
        <v>0.0</v>
      </c>
      <c r="J21" s="21" t="n">
        <f>0</f>
        <v>0.0</v>
      </c>
      <c r="K21" s="36" t="n">
        <f>0</f>
        <v>0.0</v>
      </c>
      <c r="L21" s="21" t="n">
        <f>0</f>
        <v>0.0</v>
      </c>
      <c r="M21" s="36" t="n">
        <f>0</f>
        <v>0.0</v>
      </c>
      <c r="N21" s="21" t="n">
        <f>0</f>
        <v>0.0</v>
      </c>
      <c r="O21" s="36" t="n">
        <f>0</f>
        <v>0.0</v>
      </c>
    </row>
    <row r="22" spans="1:15" ht="24.9" customHeight="1">
      <c r="A22" s="38"/>
      <c r="B22" s="62"/>
      <c r="C22" s="20" t="s">
        <v>17</v>
      </c>
      <c r="D22" s="21" t="n">
        <f>200</f>
        <v>200.0</v>
      </c>
      <c r="E22" s="36" t="n">
        <f>200</f>
        <v>200.0</v>
      </c>
      <c r="F22" s="21" t="n">
        <f>1156</f>
        <v>1156.0</v>
      </c>
      <c r="G22" s="36" t="n">
        <f>1150</f>
        <v>1150.0</v>
      </c>
      <c r="H22" s="21" t="n">
        <f>1356</f>
        <v>1356.0</v>
      </c>
      <c r="I22" s="36" t="n">
        <f>1350</f>
        <v>1350.0</v>
      </c>
      <c r="J22" s="21" t="n">
        <f>104500000</f>
        <v>1.045E8</v>
      </c>
      <c r="K22" s="36" t="n">
        <f>104500000</f>
        <v>1.045E8</v>
      </c>
      <c r="L22" s="21" t="n">
        <f>371965000</f>
        <v>3.71965E8</v>
      </c>
      <c r="M22" s="36" t="n">
        <f>368200000</f>
        <v>3.682E8</v>
      </c>
      <c r="N22" s="21" t="n">
        <f>476465000</f>
        <v>4.76465E8</v>
      </c>
      <c r="O22" s="36" t="n">
        <f>472700000</f>
        <v>4.727E8</v>
      </c>
    </row>
    <row r="23" spans="1:15" ht="24.9" customHeight="1">
      <c r="A23" s="38"/>
      <c r="B23" s="62"/>
      <c r="C23" s="24" t="s">
        <v>18</v>
      </c>
      <c r="D23" s="25" t="n">
        <f>412</f>
        <v>412.0</v>
      </c>
      <c r="E23" s="37" t="n">
        <f>412</f>
        <v>412.0</v>
      </c>
      <c r="F23" s="25" t="n">
        <f>1356</f>
        <v>1356.0</v>
      </c>
      <c r="G23" s="37" t="n">
        <f>1350</f>
        <v>1350.0</v>
      </c>
      <c r="H23" s="25" t="n">
        <f>1768</f>
        <v>1768.0</v>
      </c>
      <c r="I23" s="37" t="n">
        <f>1762</f>
        <v>1762.0</v>
      </c>
      <c r="J23" s="25" t="n">
        <f>584691800</f>
        <v>5.846918E8</v>
      </c>
      <c r="K23" s="37" t="n">
        <f>584691800</f>
        <v>5.846918E8</v>
      </c>
      <c r="L23" s="25" t="n">
        <f>761465000</f>
        <v>7.61465E8</v>
      </c>
      <c r="M23" s="37" t="n">
        <f>757700000</f>
        <v>7.577E8</v>
      </c>
      <c r="N23" s="25" t="n">
        <f>1346156800</f>
        <v>1.3461568E9</v>
      </c>
      <c r="O23" s="37" t="n">
        <f>1342391800</f>
        <v>1.3423918E9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1</f>
        <v>1.0</v>
      </c>
      <c r="E36" s="18" t="n">
        <f>0</f>
        <v>0.0</v>
      </c>
      <c r="F36" s="17" t="n">
        <f>10</f>
        <v>10.0</v>
      </c>
      <c r="G36" s="18" t="n">
        <f>0</f>
        <v>0.0</v>
      </c>
      <c r="H36" s="17" t="n">
        <f>11</f>
        <v>11.0</v>
      </c>
      <c r="I36" s="18" t="n">
        <f>0</f>
        <v>0.0</v>
      </c>
      <c r="J36" s="17" t="n">
        <f>70000</f>
        <v>70000.0</v>
      </c>
      <c r="K36" s="18" t="n">
        <f>0</f>
        <v>0.0</v>
      </c>
      <c r="L36" s="17" t="n">
        <f>200000</f>
        <v>200000.0</v>
      </c>
      <c r="M36" s="18" t="n">
        <f>0</f>
        <v>0.0</v>
      </c>
      <c r="N36" s="17" t="n">
        <f>270000</f>
        <v>270000.0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15</f>
        <v>15.0</v>
      </c>
      <c r="E37" s="22" t="n">
        <f>0</f>
        <v>0.0</v>
      </c>
      <c r="F37" s="21" t="n">
        <f>2</f>
        <v>2.0</v>
      </c>
      <c r="G37" s="22" t="n">
        <f>0</f>
        <v>0.0</v>
      </c>
      <c r="H37" s="21" t="n">
        <f>17</f>
        <v>17.0</v>
      </c>
      <c r="I37" s="22" t="n">
        <f>0</f>
        <v>0.0</v>
      </c>
      <c r="J37" s="21" t="n">
        <f>2000000</f>
        <v>2000000.0</v>
      </c>
      <c r="K37" s="22" t="n">
        <f>0</f>
        <v>0.0</v>
      </c>
      <c r="L37" s="21" t="n">
        <f>100000</f>
        <v>100000.0</v>
      </c>
      <c r="M37" s="22" t="n">
        <f>0</f>
        <v>0.0</v>
      </c>
      <c r="N37" s="21" t="n">
        <f>2100000</f>
        <v>2100000.0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49</f>
        <v>49.0</v>
      </c>
      <c r="E38" s="36" t="n">
        <f>0</f>
        <v>0.0</v>
      </c>
      <c r="F38" s="21" t="n">
        <f>66</f>
        <v>66.0</v>
      </c>
      <c r="G38" s="36" t="n">
        <f>0</f>
        <v>0.0</v>
      </c>
      <c r="H38" s="21" t="n">
        <f>115</f>
        <v>115.0</v>
      </c>
      <c r="I38" s="36" t="n">
        <f>0</f>
        <v>0.0</v>
      </c>
      <c r="J38" s="21" t="n">
        <f>5020000</f>
        <v>5020000.0</v>
      </c>
      <c r="K38" s="36" t="n">
        <f>0</f>
        <v>0.0</v>
      </c>
      <c r="L38" s="21" t="n">
        <f>4650000</f>
        <v>4650000.0</v>
      </c>
      <c r="M38" s="36" t="n">
        <f>0</f>
        <v>0.0</v>
      </c>
      <c r="N38" s="21" t="n">
        <f>9670000</f>
        <v>9670000.0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65</f>
        <v>65.0</v>
      </c>
      <c r="E39" s="37" t="n">
        <f>0</f>
        <v>0.0</v>
      </c>
      <c r="F39" s="25" t="n">
        <f>78</f>
        <v>78.0</v>
      </c>
      <c r="G39" s="37" t="n">
        <f>0</f>
        <v>0.0</v>
      </c>
      <c r="H39" s="25" t="n">
        <f>143</f>
        <v>143.0</v>
      </c>
      <c r="I39" s="37" t="n">
        <f>0</f>
        <v>0.0</v>
      </c>
      <c r="J39" s="25" t="n">
        <f>7090000</f>
        <v>7090000.0</v>
      </c>
      <c r="K39" s="37" t="n">
        <f>0</f>
        <v>0.0</v>
      </c>
      <c r="L39" s="25" t="n">
        <f>4950000</f>
        <v>4950000.0</v>
      </c>
      <c r="M39" s="37" t="n">
        <f>0</f>
        <v>0.0</v>
      </c>
      <c r="N39" s="25" t="n">
        <f>12040000</f>
        <v>1.204E7</v>
      </c>
      <c r="O39" s="37" t="n">
        <f>0</f>
        <v>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7221</f>
        <v>7221.0</v>
      </c>
      <c r="E41" s="36" t="n">
        <f>0</f>
        <v>0.0</v>
      </c>
      <c r="F41" s="21" t="n">
        <f>2485</f>
        <v>2485.0</v>
      </c>
      <c r="G41" s="36" t="n">
        <f>0</f>
        <v>0.0</v>
      </c>
      <c r="H41" s="21" t="n">
        <f>9706</f>
        <v>9706.0</v>
      </c>
      <c r="I41" s="36" t="n">
        <f>0</f>
        <v>0.0</v>
      </c>
      <c r="J41" s="21" t="n">
        <f>25633800</f>
        <v>2.56338E7</v>
      </c>
      <c r="K41" s="36" t="n">
        <f>0</f>
        <v>0.0</v>
      </c>
      <c r="L41" s="21" t="n">
        <f>28961230</f>
        <v>2.896123E7</v>
      </c>
      <c r="M41" s="36" t="n">
        <f>0</f>
        <v>0.0</v>
      </c>
      <c r="N41" s="21" t="n">
        <f>54595030</f>
        <v>5.459503E7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1848</f>
        <v>1848.0</v>
      </c>
      <c r="E42" s="36" t="n">
        <f>200</f>
        <v>200.0</v>
      </c>
      <c r="F42" s="21" t="n">
        <f>1658</f>
        <v>1658.0</v>
      </c>
      <c r="G42" s="36" t="n">
        <f>500</f>
        <v>500.0</v>
      </c>
      <c r="H42" s="21" t="n">
        <f>3506</f>
        <v>3506.0</v>
      </c>
      <c r="I42" s="36" t="n">
        <f>700</f>
        <v>700.0</v>
      </c>
      <c r="J42" s="21" t="n">
        <f>108761679</f>
        <v>1.08761679E8</v>
      </c>
      <c r="K42" s="36" t="n">
        <f>85600000</f>
        <v>8.56E7</v>
      </c>
      <c r="L42" s="21" t="n">
        <f>36605471</f>
        <v>3.6605471E7</v>
      </c>
      <c r="M42" s="36" t="n">
        <f>4350000</f>
        <v>4350000.0</v>
      </c>
      <c r="N42" s="21" t="n">
        <f>145367150</f>
        <v>1.4536715E8</v>
      </c>
      <c r="O42" s="36" t="n">
        <f>89950000</f>
        <v>8.995E7</v>
      </c>
    </row>
    <row r="43" spans="1:15" ht="24.9" customHeight="1">
      <c r="A43" s="38"/>
      <c r="B43" s="62"/>
      <c r="C43" s="24" t="s">
        <v>18</v>
      </c>
      <c r="D43" s="25" t="n">
        <f>9069</f>
        <v>9069.0</v>
      </c>
      <c r="E43" s="37" t="n">
        <f>200</f>
        <v>200.0</v>
      </c>
      <c r="F43" s="25" t="n">
        <f>4143</f>
        <v>4143.0</v>
      </c>
      <c r="G43" s="37" t="n">
        <f>500</f>
        <v>500.0</v>
      </c>
      <c r="H43" s="25" t="n">
        <f>13212</f>
        <v>13212.0</v>
      </c>
      <c r="I43" s="37" t="n">
        <f>700</f>
        <v>700.0</v>
      </c>
      <c r="J43" s="25" t="n">
        <f>134395479</f>
        <v>1.34395479E8</v>
      </c>
      <c r="K43" s="37" t="n">
        <f>85600000</f>
        <v>8.56E7</v>
      </c>
      <c r="L43" s="25" t="n">
        <f>65566701</f>
        <v>6.5566701E7</v>
      </c>
      <c r="M43" s="37" t="n">
        <f>4350000</f>
        <v>4350000.0</v>
      </c>
      <c r="N43" s="25" t="n">
        <f>199962180</f>
        <v>1.9996218E8</v>
      </c>
      <c r="O43" s="37" t="n">
        <f>89950000</f>
        <v>8.995E7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