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<sst xmlns="http://schemas.openxmlformats.org/spreadsheetml/2006/main" count="528" uniqueCount="129">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</sst>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DATE(2026,06,16)</f>
        <v>46189.0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DATE(2026,06,16)</f>
        <v>46189.0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595871.0</f>
        <v>595871.0</v>
      </c>
      <c r="E12" s="18" t="n">
        <f>28869.0</f>
        <v>28869.0</v>
      </c>
      <c r="F12" s="19" t="n">
        <f>1.0</f>
        <v>1.0</v>
      </c>
      <c r="G12" s="17" t="n">
        <f>4637238507780.0</f>
        <v>4.63723850778E12</v>
      </c>
      <c r="H12" s="18" t="n">
        <f>286331881630.0</f>
        <v>2.8633188163E11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353778.0</f>
        <v>353778.0</v>
      </c>
      <c r="E13" s="22" t="n">
        <f>16125.0</f>
        <v>16125.0</v>
      </c>
      <c r="F13" s="23" t="n">
        <f>1.0</f>
        <v>1.0</v>
      </c>
      <c r="G13" s="21" t="n">
        <f>3533119315785.0</f>
        <v>3.533119315785E12</v>
      </c>
      <c r="H13" s="22" t="n">
        <f>223976660710.0</f>
        <v>2.2397666071E11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520549.0</f>
        <v>520549.0</v>
      </c>
      <c r="E14" s="22" t="n">
        <f>35844.0</f>
        <v>35844.0</v>
      </c>
      <c r="F14" s="23" t="n">
        <f>1.0</f>
        <v>1.0</v>
      </c>
      <c r="G14" s="21" t="n">
        <f>7259182146428.0</f>
        <v>7.259182146428E12</v>
      </c>
      <c r="H14" s="22" t="n">
        <f>1107773951553.0</f>
        <v>1.107773951553E12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1470198.0</f>
        <v>1470198.0</v>
      </c>
      <c r="E15" s="26" t="n">
        <f>80838.0</f>
        <v>80838.0</v>
      </c>
      <c r="F15" s="27" t="n">
        <f>1.0</f>
        <v>1.0</v>
      </c>
      <c r="G15" s="25" t="n">
        <f>15429539969993.0</f>
        <v>1.5429539969993E13</v>
      </c>
      <c r="H15" s="26" t="n">
        <f>1618082493893.0</f>
        <v>1.618082493893E12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10793.0</f>
        <v>10793.0</v>
      </c>
      <c r="E16" s="18" t="n">
        <f>227.0</f>
        <v>227.0</v>
      </c>
      <c r="F16" s="19" t="n">
        <f>0.018</f>
        <v>0.018</v>
      </c>
      <c r="G16" s="17" t="n">
        <f>1338888691250.0</f>
        <v>1.33888869125E12</v>
      </c>
      <c r="H16" s="18" t="n">
        <f>29115030000.0</f>
        <v>2.911503E10</v>
      </c>
      <c r="I16" s="19" t="n">
        <f>0.289</f>
        <v>0.289</v>
      </c>
    </row>
    <row r="17" spans="1:9" ht="24.9" customHeight="1">
      <c r="A17" s="41"/>
      <c r="B17" s="39"/>
      <c r="C17" s="20" t="s">
        <v>16</v>
      </c>
      <c r="D17" s="21" t="n">
        <f>11895.0</f>
        <v>11895.0</v>
      </c>
      <c r="E17" s="22" t="n">
        <f>519.0</f>
        <v>519.0</v>
      </c>
      <c r="F17" s="23" t="n">
        <f>0.034</f>
        <v>0.034</v>
      </c>
      <c r="G17" s="21" t="n">
        <f>1425626265125.0</f>
        <v>1.425626265125E12</v>
      </c>
      <c r="H17" s="22" t="n">
        <f>66482585000.0</f>
        <v>6.6482585E10</v>
      </c>
      <c r="I17" s="23" t="n">
        <f>0.404</f>
        <v>0.404</v>
      </c>
    </row>
    <row r="18" spans="1:9" ht="24.9" customHeight="1">
      <c r="A18" s="41"/>
      <c r="B18" s="39"/>
      <c r="C18" s="20" t="s">
        <v>17</v>
      </c>
      <c r="D18" s="21" t="n">
        <f>25951.0</f>
        <v>25951.0</v>
      </c>
      <c r="E18" s="22" t="n">
        <f>2704.0</f>
        <v>2704.0</v>
      </c>
      <c r="F18" s="23" t="n">
        <f>0.05</f>
        <v>0.05</v>
      </c>
      <c r="G18" s="21" t="n">
        <f>3178962741875.0</f>
        <v>3.178962741875E12</v>
      </c>
      <c r="H18" s="22" t="n">
        <f>345607165000.0</f>
        <v>3.45607165E11</v>
      </c>
      <c r="I18" s="23" t="n">
        <f>0.438</f>
        <v>0.438</v>
      </c>
    </row>
    <row r="19" spans="1:9" ht="24.9" customHeight="1">
      <c r="A19" s="41"/>
      <c r="B19" s="39"/>
      <c r="C19" s="24" t="s">
        <v>18</v>
      </c>
      <c r="D19" s="25" t="n">
        <f>48639.0</f>
        <v>48639.0</v>
      </c>
      <c r="E19" s="26" t="n">
        <f>3450.0</f>
        <v>3450.0</v>
      </c>
      <c r="F19" s="27" t="n">
        <f>0.033</f>
        <v>0.033</v>
      </c>
      <c r="G19" s="25" t="n">
        <f>5943477698250.0</f>
        <v>5.94347769825E12</v>
      </c>
      <c r="H19" s="26" t="n">
        <f>441204780000.0</f>
        <v>4.4120478E11</v>
      </c>
      <c r="I19" s="27" t="n">
        <f>0.385</f>
        <v>0.385</v>
      </c>
    </row>
    <row r="20" spans="1:9" ht="24.9" customHeight="1">
      <c r="A20" s="41"/>
      <c r="B20" s="39" t="s">
        <v>21</v>
      </c>
      <c r="C20" s="16" t="s">
        <v>15</v>
      </c>
      <c r="D20" s="17" t="n">
        <f>573541.0</f>
        <v>573541.0</v>
      </c>
      <c r="E20" s="18" t="n">
        <f>28573.0</f>
        <v>28573.0</v>
      </c>
      <c r="F20" s="19" t="n">
        <f>0.963</f>
        <v>0.963</v>
      </c>
      <c r="G20" s="17" t="n">
        <f>3178893527760.0</f>
        <v>3.17889352776E12</v>
      </c>
      <c r="H20" s="18" t="n">
        <f>257145271210.0</f>
        <v>2.5714527121E11</v>
      </c>
      <c r="I20" s="19" t="n">
        <f>0.686</f>
        <v>0.686</v>
      </c>
    </row>
    <row r="21" spans="1:9" ht="24.9" customHeight="1">
      <c r="A21" s="41"/>
      <c r="B21" s="39"/>
      <c r="C21" s="20" t="s">
        <v>16</v>
      </c>
      <c r="D21" s="21" t="n">
        <f>337072.0</f>
        <v>337072.0</v>
      </c>
      <c r="E21" s="22" t="n">
        <f>15606.0</f>
        <v>15606.0</v>
      </c>
      <c r="F21" s="23" t="n">
        <f>0.953</f>
        <v>0.953</v>
      </c>
      <c r="G21" s="21" t="n">
        <f>2064155260660.0</f>
        <v>2.06415526066E12</v>
      </c>
      <c r="H21" s="22" t="n">
        <f>157494075710.0</f>
        <v>1.5749407571E11</v>
      </c>
      <c r="I21" s="23" t="n">
        <f>0.584</f>
        <v>0.584</v>
      </c>
    </row>
    <row r="22" spans="1:9" ht="24.9" customHeight="1">
      <c r="A22" s="41"/>
      <c r="B22" s="39"/>
      <c r="C22" s="20" t="s">
        <v>17</v>
      </c>
      <c r="D22" s="21" t="n">
        <f>488150.0</f>
        <v>488150.0</v>
      </c>
      <c r="E22" s="22" t="n">
        <f>33098.0</f>
        <v>33098.0</v>
      </c>
      <c r="F22" s="23" t="n">
        <f>0.938</f>
        <v>0.938</v>
      </c>
      <c r="G22" s="21" t="n">
        <f>4028302391023.0</f>
        <v>4.028302391023E12</v>
      </c>
      <c r="H22" s="22" t="n">
        <f>762107218273.0</f>
        <v>7.62107218273E11</v>
      </c>
      <c r="I22" s="23" t="n">
        <f>0.555</f>
        <v>0.555</v>
      </c>
    </row>
    <row r="23" spans="1:9" ht="24.9" customHeight="1">
      <c r="A23" s="41"/>
      <c r="B23" s="39"/>
      <c r="C23" s="24" t="s">
        <v>18</v>
      </c>
      <c r="D23" s="25" t="n">
        <f>1398763.0</f>
        <v>1398763.0</v>
      </c>
      <c r="E23" s="26" t="n">
        <f>77277.0</f>
        <v>77277.0</v>
      </c>
      <c r="F23" s="27" t="n">
        <f>0.951</f>
        <v>0.951</v>
      </c>
      <c r="G23" s="25" t="n">
        <f>9271351179443.0</f>
        <v>9.271351179443E12</v>
      </c>
      <c r="H23" s="26" t="n">
        <f>1176746565193.0</f>
        <v>1.176746565193E12</v>
      </c>
      <c r="I23" s="27" t="n">
        <f>0.601</f>
        <v>0.601</v>
      </c>
    </row>
    <row r="24" spans="1:9" ht="24.9" customHeight="1">
      <c r="A24" s="41"/>
      <c r="B24" s="39" t="s">
        <v>22</v>
      </c>
      <c r="C24" s="16" t="s">
        <v>15</v>
      </c>
      <c r="D24" s="17" t="n">
        <f>11034.0</f>
        <v>11034.0</v>
      </c>
      <c r="E24" s="18" t="n">
        <f>0.0</f>
        <v>0.0</v>
      </c>
      <c r="F24" s="19" t="n">
        <f>0.019</f>
        <v>0.019</v>
      </c>
      <c r="G24" s="17" t="n">
        <f>117735990350.0</f>
        <v>1.1773599035E11</v>
      </c>
      <c r="H24" s="18" t="n">
        <f>0.0</f>
        <v>0.0</v>
      </c>
      <c r="I24" s="19" t="n">
        <f>0.025</f>
        <v>0.025</v>
      </c>
    </row>
    <row r="25" spans="1:9" ht="24.9" customHeight="1">
      <c r="A25" s="41"/>
      <c r="B25" s="39"/>
      <c r="C25" s="20" t="s">
        <v>16</v>
      </c>
      <c r="D25" s="21" t="n">
        <f>4626.0</f>
        <v>4626.0</v>
      </c>
      <c r="E25" s="22" t="n">
        <f>0.0</f>
        <v>0.0</v>
      </c>
      <c r="F25" s="23" t="n">
        <f>0.013</f>
        <v>0.013</v>
      </c>
      <c r="G25" s="21" t="n">
        <f>42636392000.0</f>
        <v>4.2636392E10</v>
      </c>
      <c r="H25" s="22" t="n">
        <f>0.0</f>
        <v>0.0</v>
      </c>
      <c r="I25" s="23" t="n">
        <f>0.012</f>
        <v>0.012</v>
      </c>
    </row>
    <row r="26" spans="1:9" ht="24.9" customHeight="1">
      <c r="A26" s="41"/>
      <c r="B26" s="39"/>
      <c r="C26" s="20" t="s">
        <v>17</v>
      </c>
      <c r="D26" s="21" t="n">
        <f>5454.0</f>
        <v>5454.0</v>
      </c>
      <c r="E26" s="22" t="n">
        <f>2.0</f>
        <v>2.0</v>
      </c>
      <c r="F26" s="23" t="n">
        <f>0.01</f>
        <v>0.01</v>
      </c>
      <c r="G26" s="21" t="n">
        <f>48268534250.0</f>
        <v>4.826853425E10</v>
      </c>
      <c r="H26" s="22" t="n">
        <f>4423000.0</f>
        <v>4423000.0</v>
      </c>
      <c r="I26" s="23" t="n">
        <f>0.007</f>
        <v>0.007</v>
      </c>
    </row>
    <row r="27" spans="1:9" ht="24.9" customHeight="1">
      <c r="A27" s="42"/>
      <c r="B27" s="39"/>
      <c r="C27" s="24" t="s">
        <v>18</v>
      </c>
      <c r="D27" s="25" t="n">
        <f>21114.0</f>
        <v>21114.0</v>
      </c>
      <c r="E27" s="26" t="n">
        <f>2.0</f>
        <v>2.0</v>
      </c>
      <c r="F27" s="27" t="n">
        <f>0.014</f>
        <v>0.014</v>
      </c>
      <c r="G27" s="25" t="n">
        <f>208640916600.0</f>
        <v>2.086409166E11</v>
      </c>
      <c r="H27" s="26" t="n">
        <f>4423000.0</f>
        <v>4423000.0</v>
      </c>
      <c r="I27" s="27" t="n">
        <f>0.014</f>
        <v>0.014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503.0</f>
        <v>503.0</v>
      </c>
      <c r="E28" s="18" t="n">
        <f>69.0</f>
        <v>69.0</v>
      </c>
      <c r="F28" s="19" t="n">
        <f>0.001</f>
        <v>0.001</v>
      </c>
      <c r="G28" s="17" t="n">
        <f>1720298420.0</f>
        <v>1.72029842E9</v>
      </c>
      <c r="H28" s="18" t="n">
        <f>71580420.0</f>
        <v>7.158042E7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185.0</f>
        <v>185.0</v>
      </c>
      <c r="E29" s="22" t="n">
        <f>0.0</f>
        <v>0.0</v>
      </c>
      <c r="F29" s="23" t="n">
        <f>0.001</f>
        <v>0.001</v>
      </c>
      <c r="G29" s="21" t="n">
        <f>701398000.0</f>
        <v>7.01398E8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994.0</f>
        <v>994.0</v>
      </c>
      <c r="E30" s="22" t="n">
        <f>40.0</f>
        <v>40.0</v>
      </c>
      <c r="F30" s="23" t="n">
        <f>0.002</f>
        <v>0.002</v>
      </c>
      <c r="G30" s="21" t="n">
        <f>3648479280.0</f>
        <v>3.64847928E9</v>
      </c>
      <c r="H30" s="22" t="n">
        <f>55145280.0</f>
        <v>5.514528E7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1682.0</f>
        <v>1682.0</v>
      </c>
      <c r="E31" s="26" t="n">
        <f>109.0</f>
        <v>109.0</v>
      </c>
      <c r="F31" s="27" t="n">
        <f>0.001</f>
        <v>0.001</v>
      </c>
      <c r="G31" s="25" t="n">
        <f>6070175700.0</f>
        <v>6.0701757E9</v>
      </c>
      <c r="H31" s="26" t="n">
        <f>126725700.0</f>
        <v>1.267257E8</v>
      </c>
      <c r="I31" s="27" t="n">
        <f>0.0</f>
        <v>0.0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46189.0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46189.0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20493</f>
        <v>20493.0</v>
      </c>
      <c r="E11" s="18" t="n">
        <f>4002</f>
        <v>4002.0</v>
      </c>
      <c r="F11" s="19" t="n">
        <f>1</f>
        <v>1.0</v>
      </c>
      <c r="G11" s="17" t="n">
        <f>9108198780</f>
        <v>9.10819878E9</v>
      </c>
      <c r="H11" s="18" t="n">
        <f>6319247980</f>
        <v>6.31924798E9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31660</f>
        <v>31660.0</v>
      </c>
      <c r="E12" s="22" t="n">
        <f>5122</f>
        <v>5122.0</v>
      </c>
      <c r="F12" s="23" t="n">
        <f>1</f>
        <v>1.0</v>
      </c>
      <c r="G12" s="21" t="n">
        <f>10272413925</f>
        <v>1.0272413925E10</v>
      </c>
      <c r="H12" s="22" t="n">
        <f>8202973795</f>
        <v>8.202973795E9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86198</f>
        <v>86198.0</v>
      </c>
      <c r="E13" s="22" t="n">
        <f>50533</f>
        <v>50533.0</v>
      </c>
      <c r="F13" s="23" t="n">
        <f>1</f>
        <v>1.0</v>
      </c>
      <c r="G13" s="21" t="n">
        <f>49867899803</f>
        <v>4.9867899803E10</v>
      </c>
      <c r="H13" s="22" t="n">
        <f>45736158835</f>
        <v>4.5736158835E10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138351</f>
        <v>138351.0</v>
      </c>
      <c r="E14" s="26" t="n">
        <f>59657</f>
        <v>59657.0</v>
      </c>
      <c r="F14" s="27" t="n">
        <f>1</f>
        <v>1.0</v>
      </c>
      <c r="G14" s="25" t="n">
        <f>69248512508</f>
        <v>6.9248512508E10</v>
      </c>
      <c r="H14" s="26" t="n">
        <f>60258380610</f>
        <v>6.025838061E10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2</f>
        <v>2.0</v>
      </c>
      <c r="E15" s="18" t="n">
        <f>0</f>
        <v>0.0</v>
      </c>
      <c r="F15" s="19" t="n">
        <f>0</f>
        <v>0.0</v>
      </c>
      <c r="G15" s="17" t="n">
        <f>220000</f>
        <v>220000.0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353</f>
        <v>353.0</v>
      </c>
      <c r="E16" s="22" t="n">
        <f>0</f>
        <v>0.0</v>
      </c>
      <c r="F16" s="23" t="n">
        <f>0.011</f>
        <v>0.011</v>
      </c>
      <c r="G16" s="21" t="n">
        <f>49080000</f>
        <v>4.908E7</v>
      </c>
      <c r="H16" s="22" t="n">
        <f>0</f>
        <v>0.0</v>
      </c>
      <c r="I16" s="23" t="n">
        <f>0.005</f>
        <v>0.005</v>
      </c>
    </row>
    <row r="17" spans="1:9" ht="24.9" customHeight="1">
      <c r="A17" s="41"/>
      <c r="B17" s="39"/>
      <c r="C17" s="20" t="s">
        <v>17</v>
      </c>
      <c r="D17" s="21" t="n">
        <f>117</f>
        <v>117.0</v>
      </c>
      <c r="E17" s="22" t="n">
        <f>0</f>
        <v>0.0</v>
      </c>
      <c r="F17" s="23" t="n">
        <f>0.001</f>
        <v>0.001</v>
      </c>
      <c r="G17" s="21" t="n">
        <f>21630000</f>
        <v>2.163E7</v>
      </c>
      <c r="H17" s="22" t="n">
        <f>0</f>
        <v>0.0</v>
      </c>
      <c r="I17" s="23" t="n">
        <f>0</f>
        <v>0.0</v>
      </c>
    </row>
    <row r="18" spans="1:9" ht="24.9" customHeight="1">
      <c r="A18" s="41"/>
      <c r="B18" s="39"/>
      <c r="C18" s="24" t="s">
        <v>18</v>
      </c>
      <c r="D18" s="25" t="n">
        <f>472</f>
        <v>472.0</v>
      </c>
      <c r="E18" s="26" t="n">
        <f>0</f>
        <v>0.0</v>
      </c>
      <c r="F18" s="27" t="n">
        <f>0.003</f>
        <v>0.003</v>
      </c>
      <c r="G18" s="25" t="n">
        <f>70930000</f>
        <v>7.093E7</v>
      </c>
      <c r="H18" s="26" t="n">
        <f>0</f>
        <v>0.0</v>
      </c>
      <c r="I18" s="27" t="n">
        <f>0.001</f>
        <v>0.001</v>
      </c>
    </row>
    <row r="19" spans="1:9" ht="24.9" customHeight="1">
      <c r="A19" s="41"/>
      <c r="B19" s="39" t="s">
        <v>31</v>
      </c>
      <c r="C19" s="16" t="s">
        <v>15</v>
      </c>
      <c r="D19" s="17" t="n">
        <f>20491</f>
        <v>20491.0</v>
      </c>
      <c r="E19" s="18" t="n">
        <f>4002</f>
        <v>4002.0</v>
      </c>
      <c r="F19" s="19" t="n">
        <f>1</f>
        <v>1.0</v>
      </c>
      <c r="G19" s="17" t="n">
        <f>9107978780</f>
        <v>9.10797878E9</v>
      </c>
      <c r="H19" s="18" t="n">
        <f>6319247980</f>
        <v>6.31924798E9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22558</f>
        <v>22558.0</v>
      </c>
      <c r="E20" s="22" t="n">
        <f>3772</f>
        <v>3772.0</v>
      </c>
      <c r="F20" s="23" t="n">
        <f>0.713</f>
        <v>0.713</v>
      </c>
      <c r="G20" s="21" t="n">
        <f>10178177595</f>
        <v>1.0178177595E10</v>
      </c>
      <c r="H20" s="22" t="n">
        <f>8192713795</f>
        <v>8.192713795E9</v>
      </c>
      <c r="I20" s="23" t="n">
        <f>0.991</f>
        <v>0.991</v>
      </c>
    </row>
    <row r="21" spans="1:9" ht="24.9" customHeight="1">
      <c r="A21" s="41"/>
      <c r="B21" s="39"/>
      <c r="C21" s="20" t="s">
        <v>17</v>
      </c>
      <c r="D21" s="21" t="n">
        <f>61126</f>
        <v>61126.0</v>
      </c>
      <c r="E21" s="22" t="n">
        <f>33082</f>
        <v>33082.0</v>
      </c>
      <c r="F21" s="23" t="n">
        <f>0.709</f>
        <v>0.709</v>
      </c>
      <c r="G21" s="21" t="n">
        <f>49277318185</f>
        <v>4.9277318185E10</v>
      </c>
      <c r="H21" s="22" t="n">
        <f>45183225785</f>
        <v>4.5183225785E10</v>
      </c>
      <c r="I21" s="23" t="n">
        <f>0.988</f>
        <v>0.988</v>
      </c>
    </row>
    <row r="22" spans="1:9" ht="24.9" customHeight="1">
      <c r="A22" s="41"/>
      <c r="B22" s="39"/>
      <c r="C22" s="24" t="s">
        <v>18</v>
      </c>
      <c r="D22" s="25" t="n">
        <f>104175</f>
        <v>104175.0</v>
      </c>
      <c r="E22" s="26" t="n">
        <f>40856</f>
        <v>40856.0</v>
      </c>
      <c r="F22" s="27" t="n">
        <f>0.753</f>
        <v>0.753</v>
      </c>
      <c r="G22" s="25" t="n">
        <f>68563474560</f>
        <v>6.856347456E10</v>
      </c>
      <c r="H22" s="26" t="n">
        <f>59695187560</f>
        <v>5.969518756E10</v>
      </c>
      <c r="I22" s="27" t="n">
        <f>0.99</f>
        <v>0.99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8749</f>
        <v>8749.0</v>
      </c>
      <c r="E24" s="22" t="n">
        <f>1350</f>
        <v>1350.0</v>
      </c>
      <c r="F24" s="23" t="n">
        <f>0.276</f>
        <v>0.276</v>
      </c>
      <c r="G24" s="21" t="n">
        <f>45156330</f>
        <v>4.515633E7</v>
      </c>
      <c r="H24" s="22" t="n">
        <f>10260000</f>
        <v>1.026E7</v>
      </c>
      <c r="I24" s="23" t="n">
        <f>0.004</f>
        <v>0.004</v>
      </c>
    </row>
    <row r="25" spans="1:9" ht="24.9" customHeight="1">
      <c r="A25" s="41"/>
      <c r="B25" s="39"/>
      <c r="C25" s="20" t="s">
        <v>17</v>
      </c>
      <c r="D25" s="21" t="n">
        <f>24955</f>
        <v>24955.0</v>
      </c>
      <c r="E25" s="22" t="n">
        <f>17451</f>
        <v>17451.0</v>
      </c>
      <c r="F25" s="23" t="n">
        <f>0.29</f>
        <v>0.29</v>
      </c>
      <c r="G25" s="21" t="n">
        <f>568951618</f>
        <v>5.68951618E8</v>
      </c>
      <c r="H25" s="22" t="n">
        <f>552933050</f>
        <v>5.5293305E8</v>
      </c>
      <c r="I25" s="23" t="n">
        <f>0.011</f>
        <v>0.011</v>
      </c>
    </row>
    <row r="26" spans="1:9" ht="24.9" customHeight="1">
      <c r="A26" s="41"/>
      <c r="B26" s="39"/>
      <c r="C26" s="24" t="s">
        <v>18</v>
      </c>
      <c r="D26" s="25" t="n">
        <f>33704</f>
        <v>33704.0</v>
      </c>
      <c r="E26" s="26" t="n">
        <f>18801</f>
        <v>18801.0</v>
      </c>
      <c r="F26" s="27" t="n">
        <f>0.244</f>
        <v>0.244</v>
      </c>
      <c r="G26" s="25" t="n">
        <f>614107948</f>
        <v>6.14107948E8</v>
      </c>
      <c r="H26" s="26" t="n">
        <f>563193050</f>
        <v>5.6319305E8</v>
      </c>
      <c r="I26" s="27" t="n">
        <f>0.009</f>
        <v>0.009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46189.0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46189.0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12014.0</v>
      </c>
      <c r="F12" s="18" t="n">
        <f>1060</f>
        <v>1060.0</v>
      </c>
      <c r="G12" s="17" t="n">
        <v>8.348739719E11</v>
      </c>
      <c r="H12" s="18" t="n">
        <f>73610081900</f>
        <v>7.36100819E10</v>
      </c>
    </row>
    <row r="13" spans="1:8" ht="24.9" customHeight="1">
      <c r="A13" s="51"/>
      <c r="B13" s="57"/>
      <c r="C13" s="39"/>
      <c r="D13" s="20" t="s">
        <v>16</v>
      </c>
      <c r="E13" s="21" t="n">
        <v>7297.0</v>
      </c>
      <c r="F13" s="22" t="n">
        <f>664</f>
        <v>664.0</v>
      </c>
      <c r="G13" s="21" t="n">
        <v>5.070086065E11</v>
      </c>
      <c r="H13" s="22" t="n">
        <f>46129785500</f>
        <v>4.61297855E10</v>
      </c>
    </row>
    <row r="14" spans="1:8" ht="24.9" customHeight="1">
      <c r="A14" s="51"/>
      <c r="B14" s="57"/>
      <c r="C14" s="39"/>
      <c r="D14" s="20" t="s">
        <v>17</v>
      </c>
      <c r="E14" s="21" t="n">
        <v>20554.0</v>
      </c>
      <c r="F14" s="22" t="n">
        <f>6089</f>
        <v>6089.0</v>
      </c>
      <c r="G14" s="21" t="n">
        <v>1.430655217723E12</v>
      </c>
      <c r="H14" s="22" t="n">
        <f>423553433723</f>
        <v>4.23553433723E11</v>
      </c>
    </row>
    <row r="15" spans="1:8" ht="24.9" customHeight="1">
      <c r="A15" s="51"/>
      <c r="B15" s="57"/>
      <c r="C15" s="39"/>
      <c r="D15" s="24" t="s">
        <v>18</v>
      </c>
      <c r="E15" s="25" t="n">
        <v>39865.0</v>
      </c>
      <c r="F15" s="26" t="n">
        <f>7813</f>
        <v>7813.0</v>
      </c>
      <c r="G15" s="25" t="n">
        <v>2.772537796123E12</v>
      </c>
      <c r="H15" s="26" t="n">
        <f>543293301123</f>
        <v>5.43293301123E11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212915.0</v>
      </c>
      <c r="F16" s="18" t="n">
        <f>25744</f>
        <v>25744.0</v>
      </c>
      <c r="G16" s="17" t="n">
        <v>1.47894196028E12</v>
      </c>
      <c r="H16" s="18" t="n">
        <f>178717723780</f>
        <v>1.7871772378E11</v>
      </c>
    </row>
    <row r="17" spans="1:8" ht="24.9" customHeight="1">
      <c r="A17" s="51"/>
      <c r="B17" s="57"/>
      <c r="C17" s="39"/>
      <c r="D17" s="20" t="s">
        <v>16</v>
      </c>
      <c r="E17" s="21" t="n">
        <v>130152.0</v>
      </c>
      <c r="F17" s="22" t="n">
        <f>14202</f>
        <v>14202.0</v>
      </c>
      <c r="G17" s="21" t="n">
        <v>9.0402237907E11</v>
      </c>
      <c r="H17" s="22" t="n">
        <f>98655350570</f>
        <v>9.865535057E10</v>
      </c>
    </row>
    <row r="18" spans="1:8" ht="24.9" customHeight="1">
      <c r="A18" s="51"/>
      <c r="B18" s="57"/>
      <c r="C18" s="39"/>
      <c r="D18" s="20" t="s">
        <v>17</v>
      </c>
      <c r="E18" s="21" t="n">
        <v>201024.0</v>
      </c>
      <c r="F18" s="22" t="n">
        <f>20975</f>
        <v>20975.0</v>
      </c>
      <c r="G18" s="21" t="n">
        <v>1.40057621292E12</v>
      </c>
      <c r="H18" s="22" t="n">
        <f>146166823420</f>
        <v>1.4616682342E11</v>
      </c>
    </row>
    <row r="19" spans="1:8" ht="24.9" customHeight="1">
      <c r="A19" s="51"/>
      <c r="B19" s="57"/>
      <c r="C19" s="39"/>
      <c r="D19" s="24" t="s">
        <v>18</v>
      </c>
      <c r="E19" s="25" t="n">
        <v>544091.0</v>
      </c>
      <c r="F19" s="26" t="n">
        <f>60921</f>
        <v>60921.0</v>
      </c>
      <c r="G19" s="25" t="n">
        <v>3.78354055227E12</v>
      </c>
      <c r="H19" s="26" t="n">
        <f>423539897770</f>
        <v>4.2353989777E11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325710.0</v>
      </c>
      <c r="F20" s="18" t="str">
        <f>"－"</f>
        <v>－</v>
      </c>
      <c r="G20" s="17" t="n">
        <v>2.26206242E11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178125.0</v>
      </c>
      <c r="F21" s="22" t="str">
        <f>"－"</f>
        <v>－</v>
      </c>
      <c r="G21" s="21" t="n">
        <v>1.2371620595E11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229788.0</v>
      </c>
      <c r="F22" s="22" t="str">
        <f>"－"</f>
        <v>－</v>
      </c>
      <c r="G22" s="21" t="n">
        <v>1.601141837E11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733623.0</v>
      </c>
      <c r="F23" s="26" t="str">
        <f>"－"</f>
        <v>－</v>
      </c>
      <c r="G23" s="25" t="n">
        <v>5.1003663165E11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15326.0</v>
      </c>
      <c r="F24" s="18" t="n">
        <f>31</f>
        <v>31.0</v>
      </c>
      <c r="G24" s="17" t="n">
        <v>6.12980508E11</v>
      </c>
      <c r="H24" s="18" t="n">
        <f>1240853000</f>
        <v>1.240853E9</v>
      </c>
    </row>
    <row r="25" spans="1:8" ht="24.9" customHeight="1">
      <c r="A25" s="51"/>
      <c r="B25" s="57"/>
      <c r="C25" s="39"/>
      <c r="D25" s="20" t="s">
        <v>16</v>
      </c>
      <c r="E25" s="21" t="n">
        <v>12508.0</v>
      </c>
      <c r="F25" s="22" t="n">
        <f>292</f>
        <v>292.0</v>
      </c>
      <c r="G25" s="21" t="n">
        <v>4.99689596E11</v>
      </c>
      <c r="H25" s="22" t="n">
        <f>11665946000</f>
        <v>1.1665946E10</v>
      </c>
    </row>
    <row r="26" spans="1:8" ht="24.9" customHeight="1">
      <c r="A26" s="51"/>
      <c r="B26" s="57"/>
      <c r="C26" s="39"/>
      <c r="D26" s="20" t="s">
        <v>17</v>
      </c>
      <c r="E26" s="21" t="n">
        <v>24935.0</v>
      </c>
      <c r="F26" s="22" t="n">
        <f>4709</f>
        <v>4709.0</v>
      </c>
      <c r="G26" s="21" t="n">
        <v>9.9712709268E11</v>
      </c>
      <c r="H26" s="22" t="n">
        <f>188245867680</f>
        <v>1.8824586768E11</v>
      </c>
    </row>
    <row r="27" spans="1:8" ht="24.9" customHeight="1">
      <c r="A27" s="51"/>
      <c r="B27" s="57"/>
      <c r="C27" s="39"/>
      <c r="D27" s="24" t="s">
        <v>18</v>
      </c>
      <c r="E27" s="25" t="n">
        <v>52769.0</v>
      </c>
      <c r="F27" s="26" t="n">
        <f>5032</f>
        <v>5032.0</v>
      </c>
      <c r="G27" s="25" t="n">
        <v>2.10979719668E12</v>
      </c>
      <c r="H27" s="26" t="n">
        <f>201152666680</f>
        <v>2.0115266668E11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4929.0</v>
      </c>
      <c r="F28" s="18" t="n">
        <f>498</f>
        <v>498.0</v>
      </c>
      <c r="G28" s="17" t="n">
        <v>1.972022175E10</v>
      </c>
      <c r="H28" s="18" t="n">
        <f>1991867000</f>
        <v>1.991867E9</v>
      </c>
    </row>
    <row r="29" spans="1:8" ht="24.9" customHeight="1">
      <c r="A29" s="51"/>
      <c r="B29" s="57"/>
      <c r="C29" s="39"/>
      <c r="D29" s="20" t="s">
        <v>16</v>
      </c>
      <c r="E29" s="21" t="n">
        <v>6035.0</v>
      </c>
      <c r="F29" s="22" t="n">
        <f>139</f>
        <v>139.0</v>
      </c>
      <c r="G29" s="21" t="n">
        <v>2.410983305E10</v>
      </c>
      <c r="H29" s="22" t="n">
        <f>555375550</f>
        <v>5.5537555E8</v>
      </c>
    </row>
    <row r="30" spans="1:8" ht="24.9" customHeight="1">
      <c r="A30" s="51"/>
      <c r="B30" s="57"/>
      <c r="C30" s="39"/>
      <c r="D30" s="20" t="s">
        <v>17</v>
      </c>
      <c r="E30" s="21" t="n">
        <v>7319.0</v>
      </c>
      <c r="F30" s="22" t="n">
        <f>367</f>
        <v>367.0</v>
      </c>
      <c r="G30" s="21" t="n">
        <v>2.927335885E10</v>
      </c>
      <c r="H30" s="22" t="n">
        <f>1468122100</f>
        <v>1.4681221E9</v>
      </c>
    </row>
    <row r="31" spans="1:8" ht="24.9" customHeight="1">
      <c r="A31" s="51"/>
      <c r="B31" s="57"/>
      <c r="C31" s="39"/>
      <c r="D31" s="24" t="s">
        <v>18</v>
      </c>
      <c r="E31" s="25" t="n">
        <v>18283.0</v>
      </c>
      <c r="F31" s="26" t="n">
        <f>1004</f>
        <v>1004.0</v>
      </c>
      <c r="G31" s="25" t="n">
        <v>7.310341365E10</v>
      </c>
      <c r="H31" s="26" t="n">
        <f>4015364650</f>
        <v>4.01536465E9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512.0</v>
      </c>
      <c r="F36" s="18" t="n">
        <f>55</f>
        <v>55.0</v>
      </c>
      <c r="G36" s="17" t="n">
        <v>1.85501698E9</v>
      </c>
      <c r="H36" s="18" t="n">
        <f>199789480</f>
        <v>1.9978948E8</v>
      </c>
    </row>
    <row r="37" spans="1:8" ht="24.9" customHeight="1">
      <c r="A37" s="51"/>
      <c r="B37" s="57"/>
      <c r="C37" s="39"/>
      <c r="D37" s="20" t="s">
        <v>16</v>
      </c>
      <c r="E37" s="21" t="n">
        <v>1066.0</v>
      </c>
      <c r="F37" s="22" t="n">
        <f>0</f>
        <v>0.0</v>
      </c>
      <c r="G37" s="21" t="n">
        <v>3.861367E9</v>
      </c>
      <c r="H37" s="22" t="n">
        <f>0</f>
        <v>0.0</v>
      </c>
    </row>
    <row r="38" spans="1:8" ht="24.9" customHeight="1">
      <c r="A38" s="51"/>
      <c r="B38" s="57"/>
      <c r="C38" s="39"/>
      <c r="D38" s="20" t="s">
        <v>17</v>
      </c>
      <c r="E38" s="21" t="n">
        <v>1994.0</v>
      </c>
      <c r="F38" s="22" t="n">
        <f>389</f>
        <v>389.0</v>
      </c>
      <c r="G38" s="21" t="n">
        <v>7.22215484E9</v>
      </c>
      <c r="H38" s="22" t="n">
        <f>1409346340</f>
        <v>1.40934634E9</v>
      </c>
    </row>
    <row r="39" spans="1:8" ht="24.9" customHeight="1">
      <c r="A39" s="51"/>
      <c r="B39" s="57"/>
      <c r="C39" s="39"/>
      <c r="D39" s="24" t="s">
        <v>18</v>
      </c>
      <c r="E39" s="25" t="n">
        <v>3572.0</v>
      </c>
      <c r="F39" s="26" t="n">
        <f>444</f>
        <v>444.0</v>
      </c>
      <c r="G39" s="25" t="n">
        <v>1.293853882E10</v>
      </c>
      <c r="H39" s="26" t="n">
        <f>1609135820</f>
        <v>1.60913582E9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0.0</v>
      </c>
      <c r="F45" s="22" t="n">
        <f>0</f>
        <v>0.0</v>
      </c>
      <c r="G45" s="21" t="n">
        <v>0.0</v>
      </c>
      <c r="H45" s="22" t="n">
        <f>0</f>
        <v>0.0</v>
      </c>
    </row>
    <row r="46" spans="1:8" ht="24.9" customHeight="1">
      <c r="A46" s="51"/>
      <c r="B46" s="57"/>
      <c r="C46" s="39"/>
      <c r="D46" s="20" t="s">
        <v>17</v>
      </c>
      <c r="E46" s="21" t="n">
        <v>60.0</v>
      </c>
      <c r="F46" s="22" t="n">
        <f>60</f>
        <v>60.0</v>
      </c>
      <c r="G46" s="21" t="n">
        <v>4.059E8</v>
      </c>
      <c r="H46" s="22" t="n">
        <f>405900000</f>
        <v>4.059E8</v>
      </c>
    </row>
    <row r="47" spans="1:8" ht="24.9" customHeight="1">
      <c r="A47" s="51"/>
      <c r="B47" s="57"/>
      <c r="C47" s="39"/>
      <c r="D47" s="24" t="s">
        <v>18</v>
      </c>
      <c r="E47" s="25" t="n">
        <v>60.0</v>
      </c>
      <c r="F47" s="26" t="n">
        <f>60</f>
        <v>60.0</v>
      </c>
      <c r="G47" s="25" t="n">
        <v>4.059E8</v>
      </c>
      <c r="H47" s="26" t="n">
        <f>405900000</f>
        <v>4.059E8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67.0</v>
      </c>
      <c r="F48" s="18" t="n">
        <f>67</f>
        <v>67.0</v>
      </c>
      <c r="G48" s="17" t="n">
        <v>1.19774E8</v>
      </c>
      <c r="H48" s="18" t="n">
        <f>119774000</f>
        <v>1.19774E8</v>
      </c>
    </row>
    <row r="49" spans="1:8" ht="24.9" customHeight="1">
      <c r="A49" s="51"/>
      <c r="B49" s="57"/>
      <c r="C49" s="39"/>
      <c r="D49" s="20" t="s">
        <v>16</v>
      </c>
      <c r="E49" s="21" t="n">
        <v>343.0</v>
      </c>
      <c r="F49" s="22" t="n">
        <f>250</f>
        <v>250.0</v>
      </c>
      <c r="G49" s="21" t="n">
        <v>6.07075E8</v>
      </c>
      <c r="H49" s="22" t="n">
        <f>442230000</f>
        <v>4.4223E8</v>
      </c>
    </row>
    <row r="50" spans="1:8" ht="24.9" customHeight="1">
      <c r="A50" s="51"/>
      <c r="B50" s="57"/>
      <c r="C50" s="39"/>
      <c r="D50" s="20" t="s">
        <v>17</v>
      </c>
      <c r="E50" s="21" t="n">
        <v>747.0</v>
      </c>
      <c r="F50" s="22" t="n">
        <f>454</f>
        <v>454.0</v>
      </c>
      <c r="G50" s="21" t="n">
        <v>1.31050538E9</v>
      </c>
      <c r="H50" s="22" t="n">
        <f>796673880</f>
        <v>7.9667388E8</v>
      </c>
    </row>
    <row r="51" spans="1:8" ht="24.9" customHeight="1">
      <c r="A51" s="51"/>
      <c r="B51" s="57"/>
      <c r="C51" s="39"/>
      <c r="D51" s="24" t="s">
        <v>18</v>
      </c>
      <c r="E51" s="25" t="n">
        <v>1157.0</v>
      </c>
      <c r="F51" s="26" t="n">
        <f>771</f>
        <v>771.0</v>
      </c>
      <c r="G51" s="25" t="n">
        <v>2.03735438E9</v>
      </c>
      <c r="H51" s="26" t="n">
        <f>1358677880</f>
        <v>1.35867788E9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456.0</v>
      </c>
      <c r="F56" s="18" t="n">
        <f>17</f>
        <v>17.0</v>
      </c>
      <c r="G56" s="17" t="n">
        <v>3.16175E8</v>
      </c>
      <c r="H56" s="18" t="n">
        <f>11775000</f>
        <v>1.1775E7</v>
      </c>
    </row>
    <row r="57" spans="1:8" ht="24.9" customHeight="1">
      <c r="A57" s="51"/>
      <c r="B57" s="57"/>
      <c r="C57" s="39"/>
      <c r="D57" s="20" t="s">
        <v>16</v>
      </c>
      <c r="E57" s="21" t="n">
        <v>1501.0</v>
      </c>
      <c r="F57" s="22" t="n">
        <f>58</f>
        <v>58.0</v>
      </c>
      <c r="G57" s="21" t="n">
        <v>1.0407862E9</v>
      </c>
      <c r="H57" s="22" t="n">
        <f>40211200</f>
        <v>4.02112E7</v>
      </c>
    </row>
    <row r="58" spans="1:8" ht="24.9" customHeight="1">
      <c r="A58" s="51"/>
      <c r="B58" s="57"/>
      <c r="C58" s="39"/>
      <c r="D58" s="20" t="s">
        <v>17</v>
      </c>
      <c r="E58" s="21" t="n">
        <v>1543.0</v>
      </c>
      <c r="F58" s="22" t="n">
        <f>50</f>
        <v>50.0</v>
      </c>
      <c r="G58" s="21" t="n">
        <v>1.08087113E9</v>
      </c>
      <c r="H58" s="22" t="n">
        <f>35161130</f>
        <v>3.516113E7</v>
      </c>
    </row>
    <row r="59" spans="1:8" ht="24.9" customHeight="1">
      <c r="A59" s="51"/>
      <c r="B59" s="57"/>
      <c r="C59" s="39"/>
      <c r="D59" s="24" t="s">
        <v>18</v>
      </c>
      <c r="E59" s="25" t="n">
        <v>3500.0</v>
      </c>
      <c r="F59" s="26" t="n">
        <f>125</f>
        <v>125.0</v>
      </c>
      <c r="G59" s="25" t="n">
        <v>2.43783233E9</v>
      </c>
      <c r="H59" s="26" t="n">
        <f>87147330</f>
        <v>8.714733E7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514.0</v>
      </c>
      <c r="F60" s="18" t="n">
        <f>5</f>
        <v>5.0</v>
      </c>
      <c r="G60" s="17" t="n">
        <v>2.64895805E9</v>
      </c>
      <c r="H60" s="18" t="n">
        <f>25887050</f>
        <v>2.588705E7</v>
      </c>
    </row>
    <row r="61" spans="1:8" ht="24.9" customHeight="1">
      <c r="A61" s="51"/>
      <c r="B61" s="57"/>
      <c r="C61" s="39"/>
      <c r="D61" s="20" t="s">
        <v>16</v>
      </c>
      <c r="E61" s="21" t="n">
        <v>17.0</v>
      </c>
      <c r="F61" s="22" t="n">
        <f>1</f>
        <v>1.0</v>
      </c>
      <c r="G61" s="21" t="n">
        <v>8.820639E7</v>
      </c>
      <c r="H61" s="22" t="n">
        <f>5176890</f>
        <v>5176890.0</v>
      </c>
    </row>
    <row r="62" spans="1:8" ht="24.9" customHeight="1">
      <c r="A62" s="51"/>
      <c r="B62" s="57"/>
      <c r="C62" s="39"/>
      <c r="D62" s="20" t="s">
        <v>17</v>
      </c>
      <c r="E62" s="21" t="n">
        <v>65.0</v>
      </c>
      <c r="F62" s="22" t="n">
        <f>5</f>
        <v>5.0</v>
      </c>
      <c r="G62" s="21" t="n">
        <v>3.379052E8</v>
      </c>
      <c r="H62" s="22" t="n">
        <f>25890000</f>
        <v>2.589E7</v>
      </c>
    </row>
    <row r="63" spans="1:8" ht="24.9" customHeight="1">
      <c r="A63" s="51"/>
      <c r="B63" s="57"/>
      <c r="C63" s="39"/>
      <c r="D63" s="24" t="s">
        <v>18</v>
      </c>
      <c r="E63" s="25" t="n">
        <v>596.0</v>
      </c>
      <c r="F63" s="26" t="n">
        <f>11</f>
        <v>11.0</v>
      </c>
      <c r="G63" s="25" t="n">
        <v>3.07506964E9</v>
      </c>
      <c r="H63" s="26" t="n">
        <f>56953940</f>
        <v>5.695394E7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1096.0</v>
      </c>
      <c r="F72" s="18" t="n">
        <f>1096</f>
        <v>1096.0</v>
      </c>
      <c r="G72" s="17" t="n">
        <v>1.22752E9</v>
      </c>
      <c r="H72" s="18" t="n">
        <f>1227520000</f>
        <v>1.22752E9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1096.0</v>
      </c>
      <c r="F75" s="26" t="n">
        <f>1096</f>
        <v>1096.0</v>
      </c>
      <c r="G75" s="25" t="n">
        <v>1.22752E9</v>
      </c>
      <c r="H75" s="26" t="n">
        <f>1227520000</f>
        <v>1.22752E9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27.0</v>
      </c>
      <c r="F77" s="22" t="n">
        <f>0</f>
        <v>0.0</v>
      </c>
      <c r="G77" s="21" t="n">
        <v>9614500.0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17.0</v>
      </c>
      <c r="F78" s="22" t="n">
        <f>0</f>
        <v>0.0</v>
      </c>
      <c r="G78" s="21" t="n">
        <v>6093500.0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44.0</v>
      </c>
      <c r="F79" s="26" t="n">
        <f>0</f>
        <v>0.0</v>
      </c>
      <c r="G79" s="25" t="n">
        <v>1.5708E7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2.0</v>
      </c>
      <c r="F92" s="18" t="n">
        <f>0</f>
        <v>0.0</v>
      </c>
      <c r="G92" s="17" t="n">
        <v>3179800.0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1.0</v>
      </c>
      <c r="F93" s="22" t="n">
        <f>0</f>
        <v>0.0</v>
      </c>
      <c r="G93" s="21" t="n">
        <v>1591000.0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2.0</v>
      </c>
      <c r="F94" s="22" t="n">
        <f>0</f>
        <v>0.0</v>
      </c>
      <c r="G94" s="21" t="n">
        <v>3181100.0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5.0</v>
      </c>
      <c r="F95" s="26" t="n">
        <f>0</f>
        <v>0.0</v>
      </c>
      <c r="G95" s="25" t="n">
        <v>7951900.0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0.0</v>
      </c>
      <c r="F96" s="18" t="n">
        <f>0</f>
        <v>0.0</v>
      </c>
      <c r="G96" s="17" t="n">
        <v>0.0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0.0</v>
      </c>
      <c r="F97" s="22" t="n">
        <f>0</f>
        <v>0.0</v>
      </c>
      <c r="G97" s="21" t="n">
        <v>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2.0</v>
      </c>
      <c r="F98" s="22" t="n">
        <f>0</f>
        <v>0.0</v>
      </c>
      <c r="G98" s="21" t="n">
        <v>4734000.0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2.0</v>
      </c>
      <c r="F99" s="26" t="n">
        <f>0</f>
        <v>0.0</v>
      </c>
      <c r="G99" s="25" t="n">
        <v>4734000.0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0.0</v>
      </c>
      <c r="F100" s="18" t="n">
        <f>0</f>
        <v>0.0</v>
      </c>
      <c r="G100" s="17" t="n">
        <v>0.0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100.0</v>
      </c>
      <c r="F102" s="22" t="n">
        <f>0</f>
        <v>0.0</v>
      </c>
      <c r="G102" s="21" t="n">
        <v>1.8498E8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100.0</v>
      </c>
      <c r="F103" s="26" t="n">
        <f>0</f>
        <v>0.0</v>
      </c>
      <c r="G103" s="25" t="n">
        <v>1.8498E8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10351.0</v>
      </c>
      <c r="F108" s="18" t="n">
        <f>227</f>
        <v>227.0</v>
      </c>
      <c r="G108" s="17" t="n">
        <v>1.32793947E12</v>
      </c>
      <c r="H108" s="18" t="n">
        <f>29115030000</f>
        <v>2.911503E10</v>
      </c>
    </row>
    <row r="109" spans="1:8" ht="24.9" customHeight="1">
      <c r="A109" s="51"/>
      <c r="B109" s="57"/>
      <c r="C109" s="39"/>
      <c r="D109" s="20" t="s">
        <v>16</v>
      </c>
      <c r="E109" s="21" t="n">
        <v>10952.0</v>
      </c>
      <c r="F109" s="22" t="n">
        <f>519</f>
        <v>519.0</v>
      </c>
      <c r="G109" s="21" t="n">
        <v>1.402503485E12</v>
      </c>
      <c r="H109" s="22" t="n">
        <f>66482585000</f>
        <v>6.6482585E10</v>
      </c>
    </row>
    <row r="110" spans="1:8" ht="24.9" customHeight="1">
      <c r="A110" s="51"/>
      <c r="B110" s="57"/>
      <c r="C110" s="39"/>
      <c r="D110" s="20" t="s">
        <v>17</v>
      </c>
      <c r="E110" s="21" t="n">
        <v>24645.0</v>
      </c>
      <c r="F110" s="22" t="n">
        <f>2704</f>
        <v>2704.0</v>
      </c>
      <c r="G110" s="21" t="n">
        <v>3.149681165E12</v>
      </c>
      <c r="H110" s="22" t="n">
        <f>345607165000</f>
        <v>3.45607165E11</v>
      </c>
    </row>
    <row r="111" spans="1:8" ht="24.9" customHeight="1">
      <c r="A111" s="51"/>
      <c r="B111" s="57"/>
      <c r="C111" s="39"/>
      <c r="D111" s="24" t="s">
        <v>18</v>
      </c>
      <c r="E111" s="25" t="n">
        <v>45948.0</v>
      </c>
      <c r="F111" s="26" t="n">
        <f>3450</f>
        <v>3450.0</v>
      </c>
      <c r="G111" s="25" t="n">
        <v>5.88012412E12</v>
      </c>
      <c r="H111" s="26" t="n">
        <f>441204780000</f>
        <v>4.4120478E11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16.0</v>
      </c>
      <c r="F113" s="22" t="n">
        <f>0</f>
        <v>0.0</v>
      </c>
      <c r="G113" s="21" t="n">
        <v>2.04992E8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0.0</v>
      </c>
      <c r="F114" s="22" t="n">
        <f>0</f>
        <v>0.0</v>
      </c>
      <c r="G114" s="21" t="n">
        <v>0.0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16.0</v>
      </c>
      <c r="F115" s="26" t="n">
        <f>0</f>
        <v>0.0</v>
      </c>
      <c r="G115" s="25" t="n">
        <v>2.04992E8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200.0</v>
      </c>
      <c r="F118" s="22" t="n">
        <f>0</f>
        <v>0.0</v>
      </c>
      <c r="G118" s="21" t="n">
        <v>1.8456E9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200.0</v>
      </c>
      <c r="F119" s="26" t="n">
        <f>0</f>
        <v>0.0</v>
      </c>
      <c r="G119" s="25" t="n">
        <v>1.8456E9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442.0</v>
      </c>
      <c r="F120" s="18" t="n">
        <f>0</f>
        <v>0.0</v>
      </c>
      <c r="G120" s="17" t="n">
        <v>1.094922125E10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927.0</v>
      </c>
      <c r="F121" s="22" t="n">
        <f>0</f>
        <v>0.0</v>
      </c>
      <c r="G121" s="21" t="n">
        <v>2.2917788125E10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1106.0</v>
      </c>
      <c r="F122" s="22" t="n">
        <f>0</f>
        <v>0.0</v>
      </c>
      <c r="G122" s="21" t="n">
        <v>2.7435976875E10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2475.0</v>
      </c>
      <c r="F123" s="26" t="n">
        <f>0</f>
        <v>0.0</v>
      </c>
      <c r="G123" s="25" t="n">
        <v>6.130298625E10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4410.0</v>
      </c>
      <c r="F124" s="18" t="n">
        <f>0</f>
        <v>0.0</v>
      </c>
      <c r="G124" s="17" t="n">
        <v>1.00982072E11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1555.0</v>
      </c>
      <c r="F125" s="22" t="n">
        <f>0</f>
        <v>0.0</v>
      </c>
      <c r="G125" s="21" t="n">
        <v>3.5390242E10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1727.0</v>
      </c>
      <c r="F126" s="22" t="n">
        <f>0</f>
        <v>0.0</v>
      </c>
      <c r="G126" s="21" t="n">
        <v>3.9375834E10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7692.0</v>
      </c>
      <c r="F127" s="26" t="n">
        <f>0</f>
        <v>0.0</v>
      </c>
      <c r="G127" s="25" t="n">
        <v>1.75748148E11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64.0</v>
      </c>
      <c r="F128" s="18" t="n">
        <f>0</f>
        <v>0.0</v>
      </c>
      <c r="G128" s="17" t="n">
        <v>1.463912E8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63.0</v>
      </c>
      <c r="F129" s="22" t="n">
        <f>0</f>
        <v>0.0</v>
      </c>
      <c r="G129" s="21" t="n">
        <v>1.431928E8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33.0</v>
      </c>
      <c r="F130" s="22" t="n">
        <f>0</f>
        <v>0.0</v>
      </c>
      <c r="G130" s="21" t="n">
        <v>7.52131E7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160.0</v>
      </c>
      <c r="F131" s="26" t="n">
        <f>0</f>
        <v>0.0</v>
      </c>
      <c r="G131" s="25" t="n">
        <v>3.647971E8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4987.0</v>
      </c>
      <c r="F132" s="18" t="n">
        <f>0</f>
        <v>0.0</v>
      </c>
      <c r="G132" s="17" t="n">
        <v>1.1429749E10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1495.0</v>
      </c>
      <c r="F133" s="22" t="n">
        <f>0</f>
        <v>0.0</v>
      </c>
      <c r="G133" s="21" t="n">
        <v>3.4043386E9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1708.0</v>
      </c>
      <c r="F134" s="22" t="n">
        <f>0</f>
        <v>0.0</v>
      </c>
      <c r="G134" s="21" t="n">
        <v>3.89540325E9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8190.0</v>
      </c>
      <c r="F135" s="26" t="n">
        <f>0</f>
        <v>0.0</v>
      </c>
      <c r="G135" s="25" t="n">
        <v>1.872949085E10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73.0</v>
      </c>
      <c r="F136" s="18" t="n">
        <f>0</f>
        <v>0.0</v>
      </c>
      <c r="G136" s="17" t="n">
        <v>1.664122E8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12.0</v>
      </c>
      <c r="F137" s="22" t="n">
        <f>0</f>
        <v>0.0</v>
      </c>
      <c r="G137" s="21" t="n">
        <v>2.7117E7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10.0</v>
      </c>
      <c r="F138" s="22" t="n">
        <f>0</f>
        <v>0.0</v>
      </c>
      <c r="G138" s="21" t="n">
        <v>2.26144E7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95.0</v>
      </c>
      <c r="F139" s="26" t="n">
        <f>0</f>
        <v>0.0</v>
      </c>
      <c r="G139" s="25" t="n">
        <v>2.161436E8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967.0</v>
      </c>
      <c r="F144" s="18" t="n">
        <f>0</f>
        <v>0.0</v>
      </c>
      <c r="G144" s="17" t="n">
        <v>4.3736765E9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552.0</v>
      </c>
      <c r="F145" s="22" t="n">
        <f>0</f>
        <v>0.0</v>
      </c>
      <c r="G145" s="21" t="n">
        <v>2.4575165E9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637.0</v>
      </c>
      <c r="F146" s="22" t="n">
        <f>0</f>
        <v>0.0</v>
      </c>
      <c r="G146" s="21" t="n">
        <v>2.8248535E9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2156.0</v>
      </c>
      <c r="F147" s="26" t="n">
        <f>0</f>
        <v>0.0</v>
      </c>
      <c r="G147" s="25" t="n">
        <v>9.6560465E9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5.0</v>
      </c>
      <c r="F148" s="18" t="n">
        <f>0</f>
        <v>0.0</v>
      </c>
      <c r="G148" s="17" t="n">
        <v>4629400.0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162.0</v>
      </c>
      <c r="F149" s="22" t="n">
        <f>0</f>
        <v>0.0</v>
      </c>
      <c r="G149" s="21" t="n">
        <v>1.478886E8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18.0</v>
      </c>
      <c r="F150" s="22" t="n">
        <f>0</f>
        <v>0.0</v>
      </c>
      <c r="G150" s="21" t="n">
        <v>1.62799E7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185.0</v>
      </c>
      <c r="F151" s="26" t="n">
        <f>0</f>
        <v>0.0</v>
      </c>
      <c r="G151" s="25" t="n">
        <v>1.687979E8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289.0</v>
      </c>
      <c r="F152" s="18" t="n">
        <f>0</f>
        <v>0.0</v>
      </c>
      <c r="G152" s="17" t="n">
        <v>2.6157375E8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212.0</v>
      </c>
      <c r="F153" s="22" t="n">
        <f>0</f>
        <v>0.0</v>
      </c>
      <c r="G153" s="21" t="n">
        <v>1.898733E8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211.0</v>
      </c>
      <c r="F154" s="22" t="n">
        <f>0</f>
        <v>0.0</v>
      </c>
      <c r="G154" s="21" t="n">
        <v>1.87042E8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712.0</v>
      </c>
      <c r="F155" s="26" t="n">
        <f>0</f>
        <v>0.0</v>
      </c>
      <c r="G155" s="25" t="n">
        <v>6.3848905E8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117.0</v>
      </c>
      <c r="F156" s="18" t="n">
        <f>0</f>
        <v>0.0</v>
      </c>
      <c r="G156" s="17" t="n">
        <v>1.062013E8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292.0</v>
      </c>
      <c r="F157" s="22" t="n">
        <f>0</f>
        <v>0.0</v>
      </c>
      <c r="G157" s="21" t="n">
        <v>2.619947E8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378.0</v>
      </c>
      <c r="F158" s="22" t="n">
        <f>0</f>
        <v>0.0</v>
      </c>
      <c r="G158" s="21" t="n">
        <v>3.360546E8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787.0</v>
      </c>
      <c r="F159" s="26" t="n">
        <f>0</f>
        <v>0.0</v>
      </c>
      <c r="G159" s="25" t="n">
        <v>7.042506E8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122.0</v>
      </c>
      <c r="F168" s="18" t="n">
        <f>0</f>
        <v>0.0</v>
      </c>
      <c r="G168" s="17" t="n">
        <v>2.65285E8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283.0</v>
      </c>
      <c r="F169" s="22" t="n">
        <f>0</f>
        <v>0.0</v>
      </c>
      <c r="G169" s="21" t="n">
        <v>6.142285E8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552.0</v>
      </c>
      <c r="F170" s="22" t="n">
        <f>2</f>
        <v>2.0</v>
      </c>
      <c r="G170" s="21" t="n">
        <v>1.2102135E9</v>
      </c>
      <c r="H170" s="22" t="n">
        <f>4423000</f>
        <v>4423000.0</v>
      </c>
    </row>
    <row r="171" spans="1:8" ht="24.9" customHeight="1">
      <c r="A171" s="51"/>
      <c r="B171" s="57"/>
      <c r="C171" s="39"/>
      <c r="D171" s="24" t="s">
        <v>18</v>
      </c>
      <c r="E171" s="25" t="n">
        <v>957.0</v>
      </c>
      <c r="F171" s="26" t="n">
        <f>2</f>
        <v>2.0</v>
      </c>
      <c r="G171" s="25" t="n">
        <v>2.089727E9</v>
      </c>
      <c r="H171" s="26" t="n">
        <f>4423000</f>
        <v>4423000.0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0.0</v>
      </c>
      <c r="F176" s="18" t="n">
        <f>0</f>
        <v>0.0</v>
      </c>
      <c r="G176" s="17" t="n">
        <v>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180.0</v>
      </c>
      <c r="F178" s="22" t="n">
        <f>0</f>
        <v>0.0</v>
      </c>
      <c r="G178" s="21" t="n">
        <v>3.25026E8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180.0</v>
      </c>
      <c r="F179" s="26" t="n">
        <f>0</f>
        <v>0.0</v>
      </c>
      <c r="G179" s="25" t="n">
        <v>3.25026E8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434.0</v>
      </c>
      <c r="F204" s="18" t="n">
        <f>0</f>
        <v>0.0</v>
      </c>
      <c r="G204" s="17" t="n">
        <v>1.648718E9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185.0</v>
      </c>
      <c r="F205" s="22" t="n">
        <f>0</f>
        <v>0.0</v>
      </c>
      <c r="G205" s="21" t="n">
        <v>7.01398E8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954.0</v>
      </c>
      <c r="F206" s="22" t="n">
        <f>0</f>
        <v>0.0</v>
      </c>
      <c r="G206" s="21" t="n">
        <v>3.593334E9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1573.0</v>
      </c>
      <c r="F207" s="26" t="n">
        <f>0</f>
        <v>0.0</v>
      </c>
      <c r="G207" s="25" t="n">
        <v>5.94345E9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40.0</v>
      </c>
      <c r="F210" s="22" t="n">
        <f>40</f>
        <v>40.0</v>
      </c>
      <c r="G210" s="21" t="n">
        <v>5.514528E7</v>
      </c>
      <c r="H210" s="22" t="n">
        <f>55145280</f>
        <v>5.514528E7</v>
      </c>
    </row>
    <row r="211" spans="1:8" ht="24.9" customHeight="1">
      <c r="A211" s="57"/>
      <c r="B211" s="59"/>
      <c r="C211" s="39"/>
      <c r="D211" s="24" t="s">
        <v>18</v>
      </c>
      <c r="E211" s="25" t="n">
        <v>40.0</v>
      </c>
      <c r="F211" s="26" t="n">
        <f>40</f>
        <v>40.0</v>
      </c>
      <c r="G211" s="25" t="n">
        <v>5.514528E7</v>
      </c>
      <c r="H211" s="26" t="n">
        <f>55145280</f>
        <v>5.514528E7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60.0</v>
      </c>
      <c r="F212" s="18" t="n">
        <f>60</f>
        <v>60.0</v>
      </c>
      <c r="G212" s="17" t="n">
        <v>6.5772E7</v>
      </c>
      <c r="H212" s="18" t="n">
        <f>65772000</f>
        <v>6.5772E7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60.0</v>
      </c>
      <c r="F215" s="26" t="n">
        <f>60</f>
        <v>60.0</v>
      </c>
      <c r="G215" s="25" t="n">
        <v>6.5772E7</v>
      </c>
      <c r="H215" s="26" t="n">
        <f>65772000</f>
        <v>6.5772E7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9.0</v>
      </c>
      <c r="F224" s="18" t="n">
        <f>9</f>
        <v>9.0</v>
      </c>
      <c r="G224" s="17" t="n">
        <v>5808420.0</v>
      </c>
      <c r="H224" s="18" t="n">
        <f>5808420</f>
        <v>5808420.0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9.0</v>
      </c>
      <c r="F227" s="26" t="n">
        <f>9</f>
        <v>9.0</v>
      </c>
      <c r="G227" s="25" t="n">
        <v>5808420.0</v>
      </c>
      <c r="H227" s="26" t="n">
        <f>5808420</f>
        <v>5808420.0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46189.0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46189.0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4148</f>
        <v>4148.0</v>
      </c>
      <c r="E12" s="35" t="n">
        <f>2581</f>
        <v>2581.0</v>
      </c>
      <c r="F12" s="17" t="n">
        <f>1775</f>
        <v>1775.0</v>
      </c>
      <c r="G12" s="35" t="n">
        <f>481</f>
        <v>481.0</v>
      </c>
      <c r="H12" s="17" t="n">
        <f>5923</f>
        <v>5923.0</v>
      </c>
      <c r="I12" s="35" t="n">
        <f>3062</f>
        <v>3062.0</v>
      </c>
      <c r="J12" s="17" t="n">
        <f>5414764230</f>
        <v>5.41476423E9</v>
      </c>
      <c r="K12" s="35" t="n">
        <f>4506546230</f>
        <v>4.50654623E9</v>
      </c>
      <c r="L12" s="17" t="n">
        <f>2474503270</f>
        <v>2.47450327E9</v>
      </c>
      <c r="M12" s="35" t="n">
        <f>1798511270</f>
        <v>1.79851127E9</v>
      </c>
      <c r="N12" s="17" t="n">
        <f>7889267500</f>
        <v>7.8892675E9</v>
      </c>
      <c r="O12" s="35" t="n">
        <f>6305057500</f>
        <v>6.3050575E9</v>
      </c>
    </row>
    <row r="13" spans="1:15" ht="24.9" customHeight="1">
      <c r="A13" s="38"/>
      <c r="B13" s="62"/>
      <c r="C13" s="20" t="s">
        <v>16</v>
      </c>
      <c r="D13" s="21" t="n">
        <f>4017</f>
        <v>4017.0</v>
      </c>
      <c r="E13" s="36" t="n">
        <f>2272</f>
        <v>2272.0</v>
      </c>
      <c r="F13" s="21" t="n">
        <f>3062</f>
        <v>3062.0</v>
      </c>
      <c r="G13" s="36" t="n">
        <f>590</f>
        <v>590.0</v>
      </c>
      <c r="H13" s="21" t="n">
        <f>7079</f>
        <v>7079.0</v>
      </c>
      <c r="I13" s="36" t="n">
        <f>2862</f>
        <v>2862.0</v>
      </c>
      <c r="J13" s="21" t="n">
        <f>8190567835</f>
        <v>8.190567835E9</v>
      </c>
      <c r="K13" s="36" t="n">
        <f>7331300835</f>
        <v>7.331300835E9</v>
      </c>
      <c r="L13" s="21" t="n">
        <f>1584928100</f>
        <v>1.5849281E9</v>
      </c>
      <c r="M13" s="36" t="n">
        <f>854420100</f>
        <v>8.544201E8</v>
      </c>
      <c r="N13" s="21" t="n">
        <f>9775495935</f>
        <v>9.775495935E9</v>
      </c>
      <c r="O13" s="36" t="n">
        <f>8185720935</f>
        <v>8.185720935E9</v>
      </c>
    </row>
    <row r="14" spans="1:15" ht="24.9" customHeight="1">
      <c r="A14" s="38"/>
      <c r="B14" s="62"/>
      <c r="C14" s="20" t="s">
        <v>17</v>
      </c>
      <c r="D14" s="21" t="n">
        <f>22001</f>
        <v>22001.0</v>
      </c>
      <c r="E14" s="36" t="n">
        <f>17106</f>
        <v>17106.0</v>
      </c>
      <c r="F14" s="21" t="n">
        <f>11510</f>
        <v>11510.0</v>
      </c>
      <c r="G14" s="36" t="n">
        <f>8748</f>
        <v>8748.0</v>
      </c>
      <c r="H14" s="21" t="n">
        <f>33511</f>
        <v>33511.0</v>
      </c>
      <c r="I14" s="36" t="n">
        <f>25854</f>
        <v>25854.0</v>
      </c>
      <c r="J14" s="21" t="n">
        <f>23618156788</f>
        <v>2.3618156788E10</v>
      </c>
      <c r="K14" s="36" t="n">
        <f>21622762788</f>
        <v>2.1622762788E10</v>
      </c>
      <c r="L14" s="21" t="n">
        <f>15805547847</f>
        <v>1.5805547847E10</v>
      </c>
      <c r="M14" s="36" t="n">
        <f>14421394847</f>
        <v>1.4421394847E10</v>
      </c>
      <c r="N14" s="21" t="n">
        <f>39423704635</f>
        <v>3.9423704635E10</v>
      </c>
      <c r="O14" s="36" t="n">
        <f>36044157635</f>
        <v>3.6044157635E10</v>
      </c>
    </row>
    <row r="15" spans="1:15" ht="24.9" customHeight="1">
      <c r="A15" s="38"/>
      <c r="B15" s="62"/>
      <c r="C15" s="24" t="s">
        <v>18</v>
      </c>
      <c r="D15" s="25" t="n">
        <f>30166</f>
        <v>30166.0</v>
      </c>
      <c r="E15" s="37" t="n">
        <f>21959</f>
        <v>21959.0</v>
      </c>
      <c r="F15" s="25" t="n">
        <f>16347</f>
        <v>16347.0</v>
      </c>
      <c r="G15" s="37" t="n">
        <f>9819</f>
        <v>9819.0</v>
      </c>
      <c r="H15" s="25" t="n">
        <f>46513</f>
        <v>46513.0</v>
      </c>
      <c r="I15" s="37" t="n">
        <f>31778</f>
        <v>31778.0</v>
      </c>
      <c r="J15" s="25" t="n">
        <f>37223488853</f>
        <v>3.7223488853E10</v>
      </c>
      <c r="K15" s="37" t="n">
        <f>33460609853</f>
        <v>3.3460609853E10</v>
      </c>
      <c r="L15" s="25" t="n">
        <f>19864979217</f>
        <v>1.9864979217E10</v>
      </c>
      <c r="M15" s="37" t="n">
        <f>17074326217</f>
        <v>1.7074326217E10</v>
      </c>
      <c r="N15" s="25" t="n">
        <f>57088468070</f>
        <v>5.708846807E10</v>
      </c>
      <c r="O15" s="37" t="n">
        <f>50534936070</f>
        <v>5.053493607E10</v>
      </c>
    </row>
    <row r="16" spans="1:15" ht="24.9" customHeight="1">
      <c r="A16" s="38"/>
      <c r="B16" s="61" t="s">
        <v>105</v>
      </c>
      <c r="C16" s="16" t="s">
        <v>15</v>
      </c>
      <c r="D16" s="17" t="n">
        <f>10315</f>
        <v>10315.0</v>
      </c>
      <c r="E16" s="35" t="n">
        <f>800</f>
        <v>800.0</v>
      </c>
      <c r="F16" s="17" t="n">
        <f>4253</f>
        <v>4253.0</v>
      </c>
      <c r="G16" s="35" t="n">
        <f>140</f>
        <v>140.0</v>
      </c>
      <c r="H16" s="17" t="n">
        <f>14568</f>
        <v>14568.0</v>
      </c>
      <c r="I16" s="35" t="n">
        <f>940</f>
        <v>940.0</v>
      </c>
      <c r="J16" s="17" t="n">
        <f>485937600</f>
        <v>4.859376E8</v>
      </c>
      <c r="K16" s="35" t="n">
        <f>7541000</f>
        <v>7541000.0</v>
      </c>
      <c r="L16" s="17" t="n">
        <f>732773680</f>
        <v>7.3277368E8</v>
      </c>
      <c r="M16" s="35" t="n">
        <f>6649480</f>
        <v>6649480.0</v>
      </c>
      <c r="N16" s="17" t="n">
        <f>1218711280</f>
        <v>1.21871128E9</v>
      </c>
      <c r="O16" s="35" t="n">
        <f>14190480</f>
        <v>1.419048E7</v>
      </c>
    </row>
    <row r="17" spans="1:15" ht="24.9" customHeight="1">
      <c r="A17" s="38"/>
      <c r="B17" s="62"/>
      <c r="C17" s="20" t="s">
        <v>16</v>
      </c>
      <c r="D17" s="21" t="n">
        <f>12570</f>
        <v>12570.0</v>
      </c>
      <c r="E17" s="36" t="n">
        <f>830</f>
        <v>830.0</v>
      </c>
      <c r="F17" s="21" t="n">
        <f>2909</f>
        <v>2909.0</v>
      </c>
      <c r="G17" s="36" t="n">
        <f>80</f>
        <v>80.0</v>
      </c>
      <c r="H17" s="21" t="n">
        <f>15479</f>
        <v>15479.0</v>
      </c>
      <c r="I17" s="36" t="n">
        <f>910</f>
        <v>910.0</v>
      </c>
      <c r="J17" s="21" t="n">
        <f>260685800</f>
        <v>2.606858E8</v>
      </c>
      <c r="K17" s="36" t="n">
        <f>2779200</f>
        <v>2779200.0</v>
      </c>
      <c r="L17" s="21" t="n">
        <f>141995860</f>
        <v>1.4199586E8</v>
      </c>
      <c r="M17" s="36" t="n">
        <f>4213660</f>
        <v>4213660.0</v>
      </c>
      <c r="N17" s="21" t="n">
        <f>402681660</f>
        <v>4.0268166E8</v>
      </c>
      <c r="O17" s="36" t="n">
        <f>6992860</f>
        <v>6992860.0</v>
      </c>
    </row>
    <row r="18" spans="1:15" ht="24.9" customHeight="1">
      <c r="A18" s="38"/>
      <c r="B18" s="62"/>
      <c r="C18" s="20" t="s">
        <v>17</v>
      </c>
      <c r="D18" s="21" t="n">
        <f>16696</f>
        <v>16696.0</v>
      </c>
      <c r="E18" s="36" t="n">
        <f>2130</f>
        <v>2130.0</v>
      </c>
      <c r="F18" s="21" t="n">
        <f>6081</f>
        <v>6081.0</v>
      </c>
      <c r="G18" s="36" t="n">
        <f>260</f>
        <v>260.0</v>
      </c>
      <c r="H18" s="21" t="n">
        <f>22777</f>
        <v>22777.0</v>
      </c>
      <c r="I18" s="36" t="n">
        <f>2390</f>
        <v>2390.0</v>
      </c>
      <c r="J18" s="21" t="n">
        <f>414213720</f>
        <v>4.1421372E8</v>
      </c>
      <c r="K18" s="36" t="n">
        <f>9415320</f>
        <v>9415320.0</v>
      </c>
      <c r="L18" s="21" t="n">
        <f>315204620</f>
        <v>3.1520462E8</v>
      </c>
      <c r="M18" s="36" t="n">
        <f>5457620</f>
        <v>5457620.0</v>
      </c>
      <c r="N18" s="21" t="n">
        <f>729418340</f>
        <v>7.2941834E8</v>
      </c>
      <c r="O18" s="36" t="n">
        <f>14872940</f>
        <v>1.487294E7</v>
      </c>
    </row>
    <row r="19" spans="1:15" ht="24.9" customHeight="1">
      <c r="A19" s="38"/>
      <c r="B19" s="62"/>
      <c r="C19" s="24" t="s">
        <v>18</v>
      </c>
      <c r="D19" s="25" t="n">
        <f>39581</f>
        <v>39581.0</v>
      </c>
      <c r="E19" s="37" t="n">
        <f>3760</f>
        <v>3760.0</v>
      </c>
      <c r="F19" s="25" t="n">
        <f>13243</f>
        <v>13243.0</v>
      </c>
      <c r="G19" s="37" t="n">
        <f>480</f>
        <v>480.0</v>
      </c>
      <c r="H19" s="25" t="n">
        <f>52824</f>
        <v>52824.0</v>
      </c>
      <c r="I19" s="37" t="n">
        <f>4240</f>
        <v>4240.0</v>
      </c>
      <c r="J19" s="25" t="n">
        <f>1160837120</f>
        <v>1.16083712E9</v>
      </c>
      <c r="K19" s="37" t="n">
        <f>19735520</f>
        <v>1.973552E7</v>
      </c>
      <c r="L19" s="25" t="n">
        <f>1189974160</f>
        <v>1.18997416E9</v>
      </c>
      <c r="M19" s="37" t="n">
        <f>16320760</f>
        <v>1.632076E7</v>
      </c>
      <c r="N19" s="25" t="n">
        <f>2350811280</f>
        <v>2.35081128E9</v>
      </c>
      <c r="O19" s="37" t="n">
        <f>36056280</f>
        <v>3.605628E7</v>
      </c>
    </row>
    <row r="20" spans="1:15" ht="24.9" customHeight="1">
      <c r="A20" s="38"/>
      <c r="B20" s="61" t="s">
        <v>106</v>
      </c>
      <c r="C20" s="16" t="s">
        <v>15</v>
      </c>
      <c r="D20" s="17" t="n">
        <f>0</f>
        <v>0.0</v>
      </c>
      <c r="E20" s="35" t="n">
        <f>0</f>
        <v>0.0</v>
      </c>
      <c r="F20" s="17" t="n">
        <f>0</f>
        <v>0.0</v>
      </c>
      <c r="G20" s="35" t="n">
        <f>0</f>
        <v>0.0</v>
      </c>
      <c r="H20" s="17" t="n">
        <f>0</f>
        <v>0.0</v>
      </c>
      <c r="I20" s="35" t="n">
        <f>0</f>
        <v>0.0</v>
      </c>
      <c r="J20" s="17" t="n">
        <f>0</f>
        <v>0.0</v>
      </c>
      <c r="K20" s="35" t="n">
        <f>0</f>
        <v>0.0</v>
      </c>
      <c r="L20" s="17" t="n">
        <f>0</f>
        <v>0.0</v>
      </c>
      <c r="M20" s="35" t="n">
        <f>0</f>
        <v>0.0</v>
      </c>
      <c r="N20" s="17" t="n">
        <f>0</f>
        <v>0.0</v>
      </c>
      <c r="O20" s="35" t="n">
        <f>0</f>
        <v>0.0</v>
      </c>
    </row>
    <row r="21" spans="1:15" ht="24.9" customHeight="1">
      <c r="A21" s="38"/>
      <c r="B21" s="62"/>
      <c r="C21" s="20" t="s">
        <v>16</v>
      </c>
      <c r="D21" s="21" t="n">
        <f>0</f>
        <v>0.0</v>
      </c>
      <c r="E21" s="36" t="n">
        <f>0</f>
        <v>0.0</v>
      </c>
      <c r="F21" s="21" t="n">
        <f>0</f>
        <v>0.0</v>
      </c>
      <c r="G21" s="36" t="n">
        <f>0</f>
        <v>0.0</v>
      </c>
      <c r="H21" s="21" t="n">
        <f>0</f>
        <v>0.0</v>
      </c>
      <c r="I21" s="36" t="n">
        <f>0</f>
        <v>0.0</v>
      </c>
      <c r="J21" s="21" t="n">
        <f>0</f>
        <v>0.0</v>
      </c>
      <c r="K21" s="36" t="n">
        <f>0</f>
        <v>0.0</v>
      </c>
      <c r="L21" s="21" t="n">
        <f>0</f>
        <v>0.0</v>
      </c>
      <c r="M21" s="36" t="n">
        <f>0</f>
        <v>0.0</v>
      </c>
      <c r="N21" s="21" t="n">
        <f>0</f>
        <v>0.0</v>
      </c>
      <c r="O21" s="36" t="n">
        <f>0</f>
        <v>0.0</v>
      </c>
    </row>
    <row r="22" spans="1:15" ht="24.9" customHeight="1">
      <c r="A22" s="38"/>
      <c r="B22" s="62"/>
      <c r="C22" s="20" t="s">
        <v>17</v>
      </c>
      <c r="D22" s="21" t="n">
        <f>3451</f>
        <v>3451.0</v>
      </c>
      <c r="E22" s="36" t="n">
        <f>3451</f>
        <v>3451.0</v>
      </c>
      <c r="F22" s="21" t="n">
        <f>1387</f>
        <v>1387.0</v>
      </c>
      <c r="G22" s="36" t="n">
        <f>1387</f>
        <v>1387.0</v>
      </c>
      <c r="H22" s="21" t="n">
        <f>4838</f>
        <v>4838.0</v>
      </c>
      <c r="I22" s="36" t="n">
        <f>4838</f>
        <v>4838.0</v>
      </c>
      <c r="J22" s="21" t="n">
        <f>4622766810</f>
        <v>4.62276681E9</v>
      </c>
      <c r="K22" s="36" t="n">
        <f>4622766810</f>
        <v>4.62276681E9</v>
      </c>
      <c r="L22" s="21" t="n">
        <f>4501428400</f>
        <v>4.5014284E9</v>
      </c>
      <c r="M22" s="36" t="n">
        <f>4501428400</f>
        <v>4.5014284E9</v>
      </c>
      <c r="N22" s="21" t="n">
        <f>9124195210</f>
        <v>9.12419521E9</v>
      </c>
      <c r="O22" s="36" t="n">
        <f>9124195210</f>
        <v>9.12419521E9</v>
      </c>
    </row>
    <row r="23" spans="1:15" ht="24.9" customHeight="1">
      <c r="A23" s="38"/>
      <c r="B23" s="62"/>
      <c r="C23" s="24" t="s">
        <v>18</v>
      </c>
      <c r="D23" s="25" t="n">
        <f>3451</f>
        <v>3451.0</v>
      </c>
      <c r="E23" s="37" t="n">
        <f>3451</f>
        <v>3451.0</v>
      </c>
      <c r="F23" s="25" t="n">
        <f>1387</f>
        <v>1387.0</v>
      </c>
      <c r="G23" s="37" t="n">
        <f>1387</f>
        <v>1387.0</v>
      </c>
      <c r="H23" s="25" t="n">
        <f>4838</f>
        <v>4838.0</v>
      </c>
      <c r="I23" s="37" t="n">
        <f>4838</f>
        <v>4838.0</v>
      </c>
      <c r="J23" s="25" t="n">
        <f>4622766810</f>
        <v>4.62276681E9</v>
      </c>
      <c r="K23" s="37" t="n">
        <f>4622766810</f>
        <v>4.62276681E9</v>
      </c>
      <c r="L23" s="25" t="n">
        <f>4501428400</f>
        <v>4.5014284E9</v>
      </c>
      <c r="M23" s="37" t="n">
        <f>4501428400</f>
        <v>4.5014284E9</v>
      </c>
      <c r="N23" s="25" t="n">
        <f>9124195210</f>
        <v>9.12419521E9</v>
      </c>
      <c r="O23" s="37" t="n">
        <f>9124195210</f>
        <v>9.12419521E9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2</f>
        <v>2.0</v>
      </c>
      <c r="G36" s="18" t="n">
        <f>0</f>
        <v>0.0</v>
      </c>
      <c r="H36" s="17" t="n">
        <f>2</f>
        <v>2.0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220000</f>
        <v>220000.0</v>
      </c>
      <c r="M36" s="18" t="n">
        <f>0</f>
        <v>0.0</v>
      </c>
      <c r="N36" s="17" t="n">
        <f>220000</f>
        <v>220000.0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337</f>
        <v>337.0</v>
      </c>
      <c r="E37" s="22" t="n">
        <f>0</f>
        <v>0.0</v>
      </c>
      <c r="F37" s="21" t="n">
        <f>16</f>
        <v>16.0</v>
      </c>
      <c r="G37" s="22" t="n">
        <f>0</f>
        <v>0.0</v>
      </c>
      <c r="H37" s="21" t="n">
        <f>353</f>
        <v>353.0</v>
      </c>
      <c r="I37" s="22" t="n">
        <f>0</f>
        <v>0.0</v>
      </c>
      <c r="J37" s="21" t="n">
        <f>46530000</f>
        <v>4.653E7</v>
      </c>
      <c r="K37" s="22" t="n">
        <f>0</f>
        <v>0.0</v>
      </c>
      <c r="L37" s="21" t="n">
        <f>2550000</f>
        <v>2550000.0</v>
      </c>
      <c r="M37" s="22" t="n">
        <f>0</f>
        <v>0.0</v>
      </c>
      <c r="N37" s="21" t="n">
        <f>49080000</f>
        <v>4.908E7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90</f>
        <v>90.0</v>
      </c>
      <c r="E38" s="36" t="n">
        <f>0</f>
        <v>0.0</v>
      </c>
      <c r="F38" s="21" t="n">
        <f>27</f>
        <v>27.0</v>
      </c>
      <c r="G38" s="36" t="n">
        <f>0</f>
        <v>0.0</v>
      </c>
      <c r="H38" s="21" t="n">
        <f>117</f>
        <v>117.0</v>
      </c>
      <c r="I38" s="36" t="n">
        <f>0</f>
        <v>0.0</v>
      </c>
      <c r="J38" s="21" t="n">
        <f>17500000</f>
        <v>1.75E7</v>
      </c>
      <c r="K38" s="36" t="n">
        <f>0</f>
        <v>0.0</v>
      </c>
      <c r="L38" s="21" t="n">
        <f>4130000</f>
        <v>4130000.0</v>
      </c>
      <c r="M38" s="36" t="n">
        <f>0</f>
        <v>0.0</v>
      </c>
      <c r="N38" s="21" t="n">
        <f>21630000</f>
        <v>2.163E7</v>
      </c>
      <c r="O38" s="36" t="n">
        <f>0</f>
        <v>0.0</v>
      </c>
    </row>
    <row r="39" spans="1:15" ht="24.9" customHeight="1">
      <c r="A39" s="38"/>
      <c r="B39" s="62"/>
      <c r="C39" s="24" t="s">
        <v>18</v>
      </c>
      <c r="D39" s="25" t="n">
        <f>427</f>
        <v>427.0</v>
      </c>
      <c r="E39" s="37" t="n">
        <f>0</f>
        <v>0.0</v>
      </c>
      <c r="F39" s="25" t="n">
        <f>45</f>
        <v>45.0</v>
      </c>
      <c r="G39" s="37" t="n">
        <f>0</f>
        <v>0.0</v>
      </c>
      <c r="H39" s="25" t="n">
        <f>472</f>
        <v>472.0</v>
      </c>
      <c r="I39" s="37" t="n">
        <f>0</f>
        <v>0.0</v>
      </c>
      <c r="J39" s="25" t="n">
        <f>64030000</f>
        <v>6.403E7</v>
      </c>
      <c r="K39" s="37" t="n">
        <f>0</f>
        <v>0.0</v>
      </c>
      <c r="L39" s="25" t="n">
        <f>6900000</f>
        <v>6900000.0</v>
      </c>
      <c r="M39" s="37" t="n">
        <f>0</f>
        <v>0.0</v>
      </c>
      <c r="N39" s="25" t="n">
        <f>70930000</f>
        <v>7.093E7</v>
      </c>
      <c r="O39" s="37" t="n">
        <f>0</f>
        <v>0.0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536</f>
        <v>536.0</v>
      </c>
      <c r="E41" s="36" t="n">
        <f>0</f>
        <v>0.0</v>
      </c>
      <c r="F41" s="21" t="n">
        <f>8213</f>
        <v>8213.0</v>
      </c>
      <c r="G41" s="36" t="n">
        <f>1350</f>
        <v>1350.0</v>
      </c>
      <c r="H41" s="21" t="n">
        <f>8749</f>
        <v>8749.0</v>
      </c>
      <c r="I41" s="36" t="n">
        <f>1350</f>
        <v>1350.0</v>
      </c>
      <c r="J41" s="21" t="n">
        <f>16958100</f>
        <v>1.69581E7</v>
      </c>
      <c r="K41" s="36" t="n">
        <f>0</f>
        <v>0.0</v>
      </c>
      <c r="L41" s="21" t="n">
        <f>28198230</f>
        <v>2.819823E7</v>
      </c>
      <c r="M41" s="36" t="n">
        <f>10260000</f>
        <v>1.026E7</v>
      </c>
      <c r="N41" s="21" t="n">
        <f>45156330</f>
        <v>4.515633E7</v>
      </c>
      <c r="O41" s="36" t="n">
        <f>10260000</f>
        <v>1.026E7</v>
      </c>
    </row>
    <row r="42" spans="1:15" ht="24.9" customHeight="1">
      <c r="A42" s="38"/>
      <c r="B42" s="62"/>
      <c r="C42" s="20" t="s">
        <v>17</v>
      </c>
      <c r="D42" s="21" t="n">
        <f>16297</f>
        <v>16297.0</v>
      </c>
      <c r="E42" s="36" t="n">
        <f>15751</f>
        <v>15751.0</v>
      </c>
      <c r="F42" s="21" t="n">
        <f>8658</f>
        <v>8658.0</v>
      </c>
      <c r="G42" s="36" t="n">
        <f>1700</f>
        <v>1700.0</v>
      </c>
      <c r="H42" s="21" t="n">
        <f>24955</f>
        <v>24955.0</v>
      </c>
      <c r="I42" s="36" t="n">
        <f>17451</f>
        <v>17451.0</v>
      </c>
      <c r="J42" s="21" t="n">
        <f>391215950</f>
        <v>3.9121595E8</v>
      </c>
      <c r="K42" s="36" t="n">
        <f>378988050</f>
        <v>3.7898805E8</v>
      </c>
      <c r="L42" s="21" t="n">
        <f>177735668</f>
        <v>1.77735668E8</v>
      </c>
      <c r="M42" s="36" t="n">
        <f>173945000</f>
        <v>1.73945E8</v>
      </c>
      <c r="N42" s="21" t="n">
        <f>568951618</f>
        <v>5.68951618E8</v>
      </c>
      <c r="O42" s="36" t="n">
        <f>552933050</f>
        <v>5.5293305E8</v>
      </c>
    </row>
    <row r="43" spans="1:15" ht="24.9" customHeight="1">
      <c r="A43" s="38"/>
      <c r="B43" s="62"/>
      <c r="C43" s="24" t="s">
        <v>18</v>
      </c>
      <c r="D43" s="25" t="n">
        <f>16833</f>
        <v>16833.0</v>
      </c>
      <c r="E43" s="37" t="n">
        <f>15751</f>
        <v>15751.0</v>
      </c>
      <c r="F43" s="25" t="n">
        <f>16871</f>
        <v>16871.0</v>
      </c>
      <c r="G43" s="37" t="n">
        <f>3050</f>
        <v>3050.0</v>
      </c>
      <c r="H43" s="25" t="n">
        <f>33704</f>
        <v>33704.0</v>
      </c>
      <c r="I43" s="37" t="n">
        <f>18801</f>
        <v>18801.0</v>
      </c>
      <c r="J43" s="25" t="n">
        <f>408174050</f>
        <v>4.0817405E8</v>
      </c>
      <c r="K43" s="37" t="n">
        <f>378988050</f>
        <v>3.7898805E8</v>
      </c>
      <c r="L43" s="25" t="n">
        <f>205933898</f>
        <v>2.05933898E8</v>
      </c>
      <c r="M43" s="37" t="n">
        <f>184205000</f>
        <v>1.84205E8</v>
      </c>
      <c r="N43" s="25" t="n">
        <f>614107948</f>
        <v>6.14107948E8</v>
      </c>
      <c r="O43" s="37" t="n">
        <f>563193050</f>
        <v>5.6319305E8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