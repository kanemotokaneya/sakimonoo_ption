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<sst xmlns="http://schemas.openxmlformats.org/spreadsheetml/2006/main" count="528" uniqueCount="129">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</sst>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DATE(2026,08,18)</f>
        <v>46252.0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DATE(2026,08,18)</f>
        <v>46252.0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437920.0</f>
        <v>437920.0</v>
      </c>
      <c r="E12" s="18" t="n">
        <f>20771.0</f>
        <v>20771.0</v>
      </c>
      <c r="F12" s="19" t="n">
        <f>1.0</f>
        <v>1.0</v>
      </c>
      <c r="G12" s="17" t="n">
        <f>3785680011105.0</f>
        <v>3.785680011105E12</v>
      </c>
      <c r="H12" s="18" t="n">
        <f>272949513980.0</f>
        <v>2.7294951398E11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354039.0</f>
        <v>354039.0</v>
      </c>
      <c r="E13" s="22" t="n">
        <f>15702.0</f>
        <v>15702.0</v>
      </c>
      <c r="F13" s="23" t="n">
        <f>1.0</f>
        <v>1.0</v>
      </c>
      <c r="G13" s="21" t="n">
        <f>3915370042185.0</f>
        <v>3.915370042185E12</v>
      </c>
      <c r="H13" s="22" t="n">
        <f>311051995710.0</f>
        <v>3.1105199571E11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549091.0</f>
        <v>549091.0</v>
      </c>
      <c r="E14" s="22" t="n">
        <f>37542.0</f>
        <v>37542.0</v>
      </c>
      <c r="F14" s="23" t="n">
        <f>1.0</f>
        <v>1.0</v>
      </c>
      <c r="G14" s="21" t="n">
        <f>6601750511186.0</f>
        <v>6.601750511186E12</v>
      </c>
      <c r="H14" s="22" t="n">
        <f>1084042059536.0</f>
        <v>1.084042059536E12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1341050.0</f>
        <v>1341050.0</v>
      </c>
      <c r="E15" s="26" t="n">
        <f>74015.0</f>
        <v>74015.0</v>
      </c>
      <c r="F15" s="27" t="n">
        <f>1.0</f>
        <v>1.0</v>
      </c>
      <c r="G15" s="25" t="n">
        <f>14302800564476.0</f>
        <v>1.4302800564476E13</v>
      </c>
      <c r="H15" s="26" t="n">
        <f>1668043569226.0</f>
        <v>1.668043569226E12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14799.0</f>
        <v>14799.0</v>
      </c>
      <c r="E16" s="18" t="n">
        <f>540.0</f>
        <v>540.0</v>
      </c>
      <c r="F16" s="19" t="n">
        <f>0.034</f>
        <v>0.034</v>
      </c>
      <c r="G16" s="17" t="n">
        <f>1582676810625.0</f>
        <v>1.582676810625E12</v>
      </c>
      <c r="H16" s="18" t="n">
        <f>68108665000.0</f>
        <v>6.8108665E10</v>
      </c>
      <c r="I16" s="19" t="n">
        <f>0.418</f>
        <v>0.418</v>
      </c>
    </row>
    <row r="17" spans="1:9" ht="24.9" customHeight="1">
      <c r="A17" s="41"/>
      <c r="B17" s="39"/>
      <c r="C17" s="20" t="s">
        <v>16</v>
      </c>
      <c r="D17" s="21" t="n">
        <f>14619.0</f>
        <v>14619.0</v>
      </c>
      <c r="E17" s="22" t="n">
        <f>1473.0</f>
        <v>1473.0</v>
      </c>
      <c r="F17" s="23" t="n">
        <f>0.041</f>
        <v>0.041</v>
      </c>
      <c r="G17" s="21" t="n">
        <f>1771092890625.0</f>
        <v>1.771092890625E12</v>
      </c>
      <c r="H17" s="22" t="n">
        <f>185658100000.0</f>
        <v>1.856581E11</v>
      </c>
      <c r="I17" s="23" t="n">
        <f>0.452</f>
        <v>0.452</v>
      </c>
    </row>
    <row r="18" spans="1:9" ht="24.9" customHeight="1">
      <c r="A18" s="41"/>
      <c r="B18" s="39"/>
      <c r="C18" s="20" t="s">
        <v>17</v>
      </c>
      <c r="D18" s="21" t="n">
        <f>19103.0</f>
        <v>19103.0</v>
      </c>
      <c r="E18" s="22" t="n">
        <f>1902.0</f>
        <v>1902.0</v>
      </c>
      <c r="F18" s="23" t="n">
        <f>0.035</f>
        <v>0.035</v>
      </c>
      <c r="G18" s="21" t="n">
        <f>2359488746250.0</f>
        <v>2.35948874625E12</v>
      </c>
      <c r="H18" s="22" t="n">
        <f>239910730000.0</f>
        <v>2.3991073E11</v>
      </c>
      <c r="I18" s="23" t="n">
        <f>0.357</f>
        <v>0.357</v>
      </c>
    </row>
    <row r="19" spans="1:9" ht="24.9" customHeight="1">
      <c r="A19" s="41"/>
      <c r="B19" s="39"/>
      <c r="C19" s="24" t="s">
        <v>18</v>
      </c>
      <c r="D19" s="25" t="n">
        <f>48521.0</f>
        <v>48521.0</v>
      </c>
      <c r="E19" s="26" t="n">
        <f>3915.0</f>
        <v>3915.0</v>
      </c>
      <c r="F19" s="27" t="n">
        <f>0.036</f>
        <v>0.036</v>
      </c>
      <c r="G19" s="25" t="n">
        <f>5713258447500.0</f>
        <v>5.7132584475E12</v>
      </c>
      <c r="H19" s="26" t="n">
        <f>493677495000.0</f>
        <v>4.93677495E11</v>
      </c>
      <c r="I19" s="27" t="n">
        <f>0.399</f>
        <v>0.399</v>
      </c>
    </row>
    <row r="20" spans="1:9" ht="24.9" customHeight="1">
      <c r="A20" s="41"/>
      <c r="B20" s="39" t="s">
        <v>21</v>
      </c>
      <c r="C20" s="16" t="s">
        <v>15</v>
      </c>
      <c r="D20" s="17" t="n">
        <f>410082.0</f>
        <v>410082.0</v>
      </c>
      <c r="E20" s="18" t="n">
        <f>20228.0</f>
        <v>20228.0</v>
      </c>
      <c r="F20" s="19" t="n">
        <f>0.936</f>
        <v>0.936</v>
      </c>
      <c r="G20" s="17" t="n">
        <f>2067991760630.0</f>
        <v>2.06799176063E12</v>
      </c>
      <c r="H20" s="18" t="n">
        <f>204828586480.0</f>
        <v>2.0482858648E11</v>
      </c>
      <c r="I20" s="19" t="n">
        <f>0.546</f>
        <v>0.546</v>
      </c>
    </row>
    <row r="21" spans="1:9" ht="24.9" customHeight="1">
      <c r="A21" s="41"/>
      <c r="B21" s="39"/>
      <c r="C21" s="20" t="s">
        <v>16</v>
      </c>
      <c r="D21" s="21" t="n">
        <f>331950.0</f>
        <v>331950.0</v>
      </c>
      <c r="E21" s="22" t="n">
        <f>14229.0</f>
        <v>14229.0</v>
      </c>
      <c r="F21" s="23" t="n">
        <f>0.938</f>
        <v>0.938</v>
      </c>
      <c r="G21" s="21" t="n">
        <f>2066970632210.0</f>
        <v>2.06697063221E12</v>
      </c>
      <c r="H21" s="22" t="n">
        <f>125393895710.0</f>
        <v>1.2539389571E11</v>
      </c>
      <c r="I21" s="23" t="n">
        <f>0.528</f>
        <v>0.528</v>
      </c>
    </row>
    <row r="22" spans="1:9" ht="24.9" customHeight="1">
      <c r="A22" s="41"/>
      <c r="B22" s="39"/>
      <c r="C22" s="20" t="s">
        <v>17</v>
      </c>
      <c r="D22" s="21" t="n">
        <f>520070.0</f>
        <v>520070.0</v>
      </c>
      <c r="E22" s="22" t="n">
        <f>34572.0</f>
        <v>34572.0</v>
      </c>
      <c r="F22" s="23" t="n">
        <f>0.947</f>
        <v>0.947</v>
      </c>
      <c r="G22" s="21" t="n">
        <f>4177509642036.0</f>
        <v>4.177509642036E12</v>
      </c>
      <c r="H22" s="22" t="n">
        <f>842663798036.0</f>
        <v>8.42663798036E11</v>
      </c>
      <c r="I22" s="23" t="n">
        <f>0.633</f>
        <v>0.633</v>
      </c>
    </row>
    <row r="23" spans="1:9" ht="24.9" customHeight="1">
      <c r="A23" s="41"/>
      <c r="B23" s="39"/>
      <c r="C23" s="24" t="s">
        <v>18</v>
      </c>
      <c r="D23" s="25" t="n">
        <f>1262102.0</f>
        <v>1262102.0</v>
      </c>
      <c r="E23" s="26" t="n">
        <f>69029.0</f>
        <v>69029.0</v>
      </c>
      <c r="F23" s="27" t="n">
        <f>0.941</f>
        <v>0.941</v>
      </c>
      <c r="G23" s="25" t="n">
        <f>8312472034876.0</f>
        <v>8.312472034876E12</v>
      </c>
      <c r="H23" s="26" t="n">
        <f>1172886280226.0</f>
        <v>1.172886280226E12</v>
      </c>
      <c r="I23" s="27" t="n">
        <f>0.581</f>
        <v>0.581</v>
      </c>
    </row>
    <row r="24" spans="1:9" ht="24.9" customHeight="1">
      <c r="A24" s="41"/>
      <c r="B24" s="39" t="s">
        <v>22</v>
      </c>
      <c r="C24" s="16" t="s">
        <v>15</v>
      </c>
      <c r="D24" s="17" t="n">
        <f>12396.0</f>
        <v>12396.0</v>
      </c>
      <c r="E24" s="18" t="n">
        <f>0.0</f>
        <v>0.0</v>
      </c>
      <c r="F24" s="19" t="n">
        <f>0.028</f>
        <v>0.028</v>
      </c>
      <c r="G24" s="17" t="n">
        <f>132563165350.0</f>
        <v>1.3256316535E11</v>
      </c>
      <c r="H24" s="18" t="n">
        <f>0.0</f>
        <v>0.0</v>
      </c>
      <c r="I24" s="19" t="n">
        <f>0.035</f>
        <v>0.035</v>
      </c>
    </row>
    <row r="25" spans="1:9" ht="24.9" customHeight="1">
      <c r="A25" s="41"/>
      <c r="B25" s="39"/>
      <c r="C25" s="20" t="s">
        <v>16</v>
      </c>
      <c r="D25" s="21" t="n">
        <f>7274.0</f>
        <v>7274.0</v>
      </c>
      <c r="E25" s="22" t="n">
        <f>0.0</f>
        <v>0.0</v>
      </c>
      <c r="F25" s="23" t="n">
        <f>0.021</f>
        <v>0.021</v>
      </c>
      <c r="G25" s="21" t="n">
        <f>76554203850.0</f>
        <v>7.655420385E10</v>
      </c>
      <c r="H25" s="22" t="n">
        <f>0.0</f>
        <v>0.0</v>
      </c>
      <c r="I25" s="23" t="n">
        <f>0.02</f>
        <v>0.02</v>
      </c>
    </row>
    <row r="26" spans="1:9" ht="24.9" customHeight="1">
      <c r="A26" s="41"/>
      <c r="B26" s="39"/>
      <c r="C26" s="20" t="s">
        <v>17</v>
      </c>
      <c r="D26" s="21" t="n">
        <f>7198.0</f>
        <v>7198.0</v>
      </c>
      <c r="E26" s="22" t="n">
        <f>2.0</f>
        <v>2.0</v>
      </c>
      <c r="F26" s="23" t="n">
        <f>0.013</f>
        <v>0.013</v>
      </c>
      <c r="G26" s="21" t="n">
        <f>56854440400.0</f>
        <v>5.68544404E10</v>
      </c>
      <c r="H26" s="22" t="n">
        <f>4205000.0</f>
        <v>4205000.0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26868.0</f>
        <v>26868.0</v>
      </c>
      <c r="E27" s="26" t="n">
        <f>2.0</f>
        <v>2.0</v>
      </c>
      <c r="F27" s="27" t="n">
        <f>0.02</f>
        <v>0.02</v>
      </c>
      <c r="G27" s="25" t="n">
        <f>265971809600.0</f>
        <v>2.659718096E11</v>
      </c>
      <c r="H27" s="26" t="n">
        <f>4205000.0</f>
        <v>4205000.0</v>
      </c>
      <c r="I27" s="27" t="n">
        <f>0.019</f>
        <v>0.019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643.0</f>
        <v>643.0</v>
      </c>
      <c r="E28" s="18" t="n">
        <f>3.0</f>
        <v>3.0</v>
      </c>
      <c r="F28" s="19" t="n">
        <f>0.001</f>
        <v>0.001</v>
      </c>
      <c r="G28" s="17" t="n">
        <f>2448274500.0</f>
        <v>2.4482745E9</v>
      </c>
      <c r="H28" s="18" t="n">
        <f>12262500.0</f>
        <v>1.22625E7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196.0</f>
        <v>196.0</v>
      </c>
      <c r="E29" s="22" t="n">
        <f>0.0</f>
        <v>0.0</v>
      </c>
      <c r="F29" s="23" t="n">
        <f>0.001</f>
        <v>0.001</v>
      </c>
      <c r="G29" s="21" t="n">
        <f>752315500.0</f>
        <v>7.523155E8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2720.0</f>
        <v>2720.0</v>
      </c>
      <c r="E30" s="22" t="n">
        <f>1066.0</f>
        <v>1066.0</v>
      </c>
      <c r="F30" s="23" t="n">
        <f>0.005</f>
        <v>0.005</v>
      </c>
      <c r="G30" s="21" t="n">
        <f>7897682500.0</f>
        <v>7.8976825E9</v>
      </c>
      <c r="H30" s="22" t="n">
        <f>1463326500.0</f>
        <v>1.4633265E9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3559.0</f>
        <v>3559.0</v>
      </c>
      <c r="E31" s="26" t="n">
        <f>1069.0</f>
        <v>1069.0</v>
      </c>
      <c r="F31" s="27" t="n">
        <f>0.003</f>
        <v>0.003</v>
      </c>
      <c r="G31" s="25" t="n">
        <f>11098272500.0</f>
        <v>1.10982725E10</v>
      </c>
      <c r="H31" s="26" t="n">
        <f>1475589000.0</f>
        <v>1.475589E9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46252.0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46252.0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16273</f>
        <v>16273.0</v>
      </c>
      <c r="E11" s="18" t="n">
        <f>3606</f>
        <v>3606.0</v>
      </c>
      <c r="F11" s="19" t="n">
        <f>1</f>
        <v>1.0</v>
      </c>
      <c r="G11" s="17" t="n">
        <f>4523263334</f>
        <v>4.523263334E9</v>
      </c>
      <c r="H11" s="18" t="n">
        <f>2865259734</f>
        <v>2.865259734E9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21702</f>
        <v>21702.0</v>
      </c>
      <c r="E12" s="22" t="n">
        <f>2673</f>
        <v>2673.0</v>
      </c>
      <c r="F12" s="23" t="n">
        <f>1</f>
        <v>1.0</v>
      </c>
      <c r="G12" s="21" t="n">
        <f>4801537452</f>
        <v>4.801537452E9</v>
      </c>
      <c r="H12" s="22" t="n">
        <f>2834525080</f>
        <v>2.83452508E9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54524</f>
        <v>54524.0</v>
      </c>
      <c r="E13" s="22" t="n">
        <f>20659</f>
        <v>20659.0</v>
      </c>
      <c r="F13" s="23" t="n">
        <f>1</f>
        <v>1.0</v>
      </c>
      <c r="G13" s="21" t="n">
        <f>18142918910</f>
        <v>1.814291891E10</v>
      </c>
      <c r="H13" s="22" t="n">
        <f>15055058880</f>
        <v>1.505505888E10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92499</f>
        <v>92499.0</v>
      </c>
      <c r="E14" s="26" t="n">
        <f>26938</f>
        <v>26938.0</v>
      </c>
      <c r="F14" s="27" t="n">
        <f>1</f>
        <v>1.0</v>
      </c>
      <c r="G14" s="25" t="n">
        <f>27467719696</f>
        <v>2.7467719696E10</v>
      </c>
      <c r="H14" s="26" t="n">
        <f>20754843694</f>
        <v>2.0754843694E10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</f>
        <v>2.0</v>
      </c>
      <c r="E15" s="18" t="n">
        <f>0</f>
        <v>0.0</v>
      </c>
      <c r="F15" s="19" t="n">
        <f>0</f>
        <v>0.0</v>
      </c>
      <c r="G15" s="17" t="n">
        <f>300000</f>
        <v>300000.0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80</f>
        <v>80.0</v>
      </c>
      <c r="E16" s="22" t="n">
        <f>0</f>
        <v>0.0</v>
      </c>
      <c r="F16" s="23" t="n">
        <f>0.004</f>
        <v>0.004</v>
      </c>
      <c r="G16" s="21" t="n">
        <f>12850000</f>
        <v>1.285E7</v>
      </c>
      <c r="H16" s="22" t="n">
        <f>0</f>
        <v>0.0</v>
      </c>
      <c r="I16" s="23" t="n">
        <f>0.003</f>
        <v>0.003</v>
      </c>
    </row>
    <row r="17" spans="1:9" ht="24.9" customHeight="1">
      <c r="A17" s="41"/>
      <c r="B17" s="39"/>
      <c r="C17" s="20" t="s">
        <v>17</v>
      </c>
      <c r="D17" s="21" t="n">
        <f>376</f>
        <v>376.0</v>
      </c>
      <c r="E17" s="22" t="n">
        <f>185</f>
        <v>185.0</v>
      </c>
      <c r="F17" s="23" t="n">
        <f>0.007</f>
        <v>0.007</v>
      </c>
      <c r="G17" s="21" t="n">
        <f>38420000</f>
        <v>3.842E7</v>
      </c>
      <c r="H17" s="22" t="n">
        <f>25600000</f>
        <v>2.56E7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458</f>
        <v>458.0</v>
      </c>
      <c r="E18" s="26" t="n">
        <f>185</f>
        <v>185.0</v>
      </c>
      <c r="F18" s="27" t="n">
        <f>0.005</f>
        <v>0.005</v>
      </c>
      <c r="G18" s="25" t="n">
        <f>51570000</f>
        <v>5.157E7</v>
      </c>
      <c r="H18" s="26" t="n">
        <f>25600000</f>
        <v>2.56E7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16271</f>
        <v>16271.0</v>
      </c>
      <c r="E19" s="18" t="n">
        <f>3606</f>
        <v>3606.0</v>
      </c>
      <c r="F19" s="19" t="n">
        <f>1</f>
        <v>1.0</v>
      </c>
      <c r="G19" s="17" t="n">
        <f>4522963334</f>
        <v>4.522963334E9</v>
      </c>
      <c r="H19" s="18" t="n">
        <f>2865259734</f>
        <v>2.865259734E9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19695</f>
        <v>19695.0</v>
      </c>
      <c r="E20" s="22" t="n">
        <f>2673</f>
        <v>2673.0</v>
      </c>
      <c r="F20" s="23" t="n">
        <f>0.908</f>
        <v>0.908</v>
      </c>
      <c r="G20" s="21" t="n">
        <f>4777784480</f>
        <v>4.77778448E9</v>
      </c>
      <c r="H20" s="22" t="n">
        <f>2834525080</f>
        <v>2.83452508E9</v>
      </c>
      <c r="I20" s="23" t="n">
        <f>0.995</f>
        <v>0.995</v>
      </c>
    </row>
    <row r="21" spans="1:9" ht="24.9" customHeight="1">
      <c r="A21" s="41"/>
      <c r="B21" s="39"/>
      <c r="C21" s="20" t="s">
        <v>17</v>
      </c>
      <c r="D21" s="21" t="n">
        <f>48972</f>
        <v>48972.0</v>
      </c>
      <c r="E21" s="22" t="n">
        <f>20474</f>
        <v>20474.0</v>
      </c>
      <c r="F21" s="23" t="n">
        <f>0.898</f>
        <v>0.898</v>
      </c>
      <c r="G21" s="21" t="n">
        <f>18087786280</f>
        <v>1.808778628E10</v>
      </c>
      <c r="H21" s="22" t="n">
        <f>15029458880</f>
        <v>1.502945888E10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84938</f>
        <v>84938.0</v>
      </c>
      <c r="E22" s="26" t="n">
        <f>26753</f>
        <v>26753.0</v>
      </c>
      <c r="F22" s="27" t="n">
        <f>0.918</f>
        <v>0.918</v>
      </c>
      <c r="G22" s="25" t="n">
        <f>27388534094</f>
        <v>2.7388534094E10</v>
      </c>
      <c r="H22" s="26" t="n">
        <f>20729243694</f>
        <v>2.0729243694E10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1927</f>
        <v>1927.0</v>
      </c>
      <c r="E24" s="22" t="n">
        <f>0</f>
        <v>0.0</v>
      </c>
      <c r="F24" s="23" t="n">
        <f>0.089</f>
        <v>0.089</v>
      </c>
      <c r="G24" s="21" t="n">
        <f>10902972</f>
        <v>1.0902972E7</v>
      </c>
      <c r="H24" s="22" t="n">
        <f>0</f>
        <v>0.0</v>
      </c>
      <c r="I24" s="23" t="n">
        <f>0.002</f>
        <v>0.002</v>
      </c>
    </row>
    <row r="25" spans="1:9" ht="24.9" customHeight="1">
      <c r="A25" s="41"/>
      <c r="B25" s="39"/>
      <c r="C25" s="20" t="s">
        <v>17</v>
      </c>
      <c r="D25" s="21" t="n">
        <f>5176</f>
        <v>5176.0</v>
      </c>
      <c r="E25" s="22" t="n">
        <f>0</f>
        <v>0.0</v>
      </c>
      <c r="F25" s="23" t="n">
        <f>0.095</f>
        <v>0.095</v>
      </c>
      <c r="G25" s="21" t="n">
        <f>16712630</f>
        <v>1.671263E7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7103</f>
        <v>7103.0</v>
      </c>
      <c r="E26" s="26" t="n">
        <f>0</f>
        <v>0.0</v>
      </c>
      <c r="F26" s="27" t="n">
        <f>0.077</f>
        <v>0.077</v>
      </c>
      <c r="G26" s="25" t="n">
        <f>27615602</f>
        <v>2.7615602E7</v>
      </c>
      <c r="H26" s="26" t="n">
        <f>0</f>
        <v>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46252.0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46252.0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5829.0</v>
      </c>
      <c r="F12" s="18" t="n">
        <f>1036</f>
        <v>1036.0</v>
      </c>
      <c r="G12" s="17" t="n">
        <v>4.033902843E11</v>
      </c>
      <c r="H12" s="18" t="n">
        <f>71882042300</f>
        <v>7.18820423E10</v>
      </c>
    </row>
    <row r="13" spans="1:8" ht="24.9" customHeight="1">
      <c r="A13" s="51"/>
      <c r="B13" s="57"/>
      <c r="C13" s="39"/>
      <c r="D13" s="20" t="s">
        <v>16</v>
      </c>
      <c r="E13" s="21" t="n">
        <v>6588.0</v>
      </c>
      <c r="F13" s="22" t="n">
        <f>366</f>
        <v>366.0</v>
      </c>
      <c r="G13" s="21" t="n">
        <v>4.532901488E11</v>
      </c>
      <c r="H13" s="22" t="n">
        <f>25190165800</f>
        <v>2.51901658E10</v>
      </c>
    </row>
    <row r="14" spans="1:8" ht="24.9" customHeight="1">
      <c r="A14" s="51"/>
      <c r="B14" s="57"/>
      <c r="C14" s="39"/>
      <c r="D14" s="20" t="s">
        <v>17</v>
      </c>
      <c r="E14" s="21" t="n">
        <v>23259.0</v>
      </c>
      <c r="F14" s="22" t="n">
        <f>7232</f>
        <v>7232.0</v>
      </c>
      <c r="G14" s="21" t="n">
        <v>1.5769226319E12</v>
      </c>
      <c r="H14" s="22" t="n">
        <f>490367521900</f>
        <v>4.903675219E11</v>
      </c>
    </row>
    <row r="15" spans="1:8" ht="24.9" customHeight="1">
      <c r="A15" s="51"/>
      <c r="B15" s="57"/>
      <c r="C15" s="39"/>
      <c r="D15" s="24" t="s">
        <v>18</v>
      </c>
      <c r="E15" s="25" t="n">
        <v>35676.0</v>
      </c>
      <c r="F15" s="26" t="n">
        <f>8634</f>
        <v>8634.0</v>
      </c>
      <c r="G15" s="25" t="n">
        <v>2.433603065E12</v>
      </c>
      <c r="H15" s="26" t="n">
        <f>587439730000</f>
        <v>5.8743973E11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152152.0</v>
      </c>
      <c r="F16" s="18" t="n">
        <f>18917</f>
        <v>18917.0</v>
      </c>
      <c r="G16" s="17" t="n">
        <v>1.05261918923E12</v>
      </c>
      <c r="H16" s="18" t="n">
        <f>130882092230</f>
        <v>1.3088209223E11</v>
      </c>
    </row>
    <row r="17" spans="1:8" ht="24.9" customHeight="1">
      <c r="A17" s="51"/>
      <c r="B17" s="57"/>
      <c r="C17" s="39"/>
      <c r="D17" s="20" t="s">
        <v>16</v>
      </c>
      <c r="E17" s="21" t="n">
        <v>124651.0</v>
      </c>
      <c r="F17" s="22" t="n">
        <f>13367</f>
        <v>13367.0</v>
      </c>
      <c r="G17" s="21" t="n">
        <v>8.5768381604E11</v>
      </c>
      <c r="H17" s="22" t="n">
        <f>91983560540</f>
        <v>9.198356054E10</v>
      </c>
    </row>
    <row r="18" spans="1:8" ht="24.9" customHeight="1">
      <c r="A18" s="51"/>
      <c r="B18" s="57"/>
      <c r="C18" s="39"/>
      <c r="D18" s="20" t="s">
        <v>17</v>
      </c>
      <c r="E18" s="21" t="n">
        <v>206714.0</v>
      </c>
      <c r="F18" s="22" t="n">
        <f>21622</f>
        <v>21622.0</v>
      </c>
      <c r="G18" s="21" t="n">
        <v>1.403200171896E12</v>
      </c>
      <c r="H18" s="22" t="n">
        <f>146830697396</f>
        <v>1.46830697396E11</v>
      </c>
    </row>
    <row r="19" spans="1:8" ht="24.9" customHeight="1">
      <c r="A19" s="51"/>
      <c r="B19" s="57"/>
      <c r="C19" s="39"/>
      <c r="D19" s="24" t="s">
        <v>18</v>
      </c>
      <c r="E19" s="25" t="n">
        <v>483517.0</v>
      </c>
      <c r="F19" s="26" t="n">
        <f>53906</f>
        <v>53906.0</v>
      </c>
      <c r="G19" s="25" t="n">
        <v>3.313503177166E12</v>
      </c>
      <c r="H19" s="26" t="n">
        <f>369696350166</f>
        <v>3.69696350166E11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236649.0</v>
      </c>
      <c r="F20" s="18" t="str">
        <f>"－"</f>
        <v>－</v>
      </c>
      <c r="G20" s="17" t="n">
        <v>1.6371710175E11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178783.0</v>
      </c>
      <c r="F21" s="22" t="str">
        <f>"－"</f>
        <v>－</v>
      </c>
      <c r="G21" s="21" t="n">
        <v>1.230237736E11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255142.0</v>
      </c>
      <c r="F22" s="22" t="str">
        <f>"－"</f>
        <v>－</v>
      </c>
      <c r="G22" s="21" t="n">
        <v>1.732400671E11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670574.0</v>
      </c>
      <c r="F23" s="26" t="str">
        <f>"－"</f>
        <v>－</v>
      </c>
      <c r="G23" s="25" t="n">
        <v>4.5998094245E11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10210.0</v>
      </c>
      <c r="F24" s="18" t="n">
        <f>29</f>
        <v>29.0</v>
      </c>
      <c r="G24" s="17" t="n">
        <v>4.277314015E11</v>
      </c>
      <c r="H24" s="18" t="n">
        <f>1215076500</f>
        <v>1.2150765E9</v>
      </c>
    </row>
    <row r="25" spans="1:8" ht="24.9" customHeight="1">
      <c r="A25" s="51"/>
      <c r="B25" s="57"/>
      <c r="C25" s="39"/>
      <c r="D25" s="20" t="s">
        <v>16</v>
      </c>
      <c r="E25" s="21" t="n">
        <v>14481.0</v>
      </c>
      <c r="F25" s="22" t="n">
        <f>174</f>
        <v>174.0</v>
      </c>
      <c r="G25" s="21" t="n">
        <v>6.058077225E11</v>
      </c>
      <c r="H25" s="22" t="n">
        <f>7283997500</f>
        <v>7.2839975E9</v>
      </c>
    </row>
    <row r="26" spans="1:8" ht="24.9" customHeight="1">
      <c r="A26" s="51"/>
      <c r="B26" s="57"/>
      <c r="C26" s="39"/>
      <c r="D26" s="20" t="s">
        <v>17</v>
      </c>
      <c r="E26" s="21" t="n">
        <v>23681.0</v>
      </c>
      <c r="F26" s="22" t="n">
        <f>4888</f>
        <v>4888.0</v>
      </c>
      <c r="G26" s="21" t="n">
        <v>9.839668707E11</v>
      </c>
      <c r="H26" s="22" t="n">
        <f>203342585700</f>
        <v>2.033425857E11</v>
      </c>
    </row>
    <row r="27" spans="1:8" ht="24.9" customHeight="1">
      <c r="A27" s="51"/>
      <c r="B27" s="57"/>
      <c r="C27" s="39"/>
      <c r="D27" s="24" t="s">
        <v>18</v>
      </c>
      <c r="E27" s="25" t="n">
        <v>48372.0</v>
      </c>
      <c r="F27" s="26" t="n">
        <f>5091</f>
        <v>5091.0</v>
      </c>
      <c r="G27" s="25" t="n">
        <v>2.0175059947E12</v>
      </c>
      <c r="H27" s="26" t="n">
        <f>211841659700</f>
        <v>2.118416597E11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4447.0</v>
      </c>
      <c r="F28" s="18" t="n">
        <f>171</f>
        <v>171.0</v>
      </c>
      <c r="G28" s="17" t="n">
        <v>1.861933205E10</v>
      </c>
      <c r="H28" s="18" t="n">
        <f>716028550</f>
        <v>7.1602855E8</v>
      </c>
    </row>
    <row r="29" spans="1:8" ht="24.9" customHeight="1">
      <c r="A29" s="51"/>
      <c r="B29" s="57"/>
      <c r="C29" s="39"/>
      <c r="D29" s="20" t="s">
        <v>16</v>
      </c>
      <c r="E29" s="21" t="n">
        <v>5654.0</v>
      </c>
      <c r="F29" s="22" t="n">
        <f>157</f>
        <v>157.0</v>
      </c>
      <c r="G29" s="21" t="n">
        <v>2.3652139E10</v>
      </c>
      <c r="H29" s="22" t="n">
        <f>656761500</f>
        <v>6.567615E8</v>
      </c>
    </row>
    <row r="30" spans="1:8" ht="24.9" customHeight="1">
      <c r="A30" s="51"/>
      <c r="B30" s="57"/>
      <c r="C30" s="39"/>
      <c r="D30" s="20" t="s">
        <v>17</v>
      </c>
      <c r="E30" s="21" t="n">
        <v>7580.0</v>
      </c>
      <c r="F30" s="22" t="n">
        <f>264</f>
        <v>264.0</v>
      </c>
      <c r="G30" s="21" t="n">
        <v>3.148733807E10</v>
      </c>
      <c r="H30" s="22" t="n">
        <f>1097518070</f>
        <v>1.09751807E9</v>
      </c>
    </row>
    <row r="31" spans="1:8" ht="24.9" customHeight="1">
      <c r="A31" s="51"/>
      <c r="B31" s="57"/>
      <c r="C31" s="39"/>
      <c r="D31" s="24" t="s">
        <v>18</v>
      </c>
      <c r="E31" s="25" t="n">
        <v>17681.0</v>
      </c>
      <c r="F31" s="26" t="n">
        <f>592</f>
        <v>592.0</v>
      </c>
      <c r="G31" s="25" t="n">
        <v>7.375880912E10</v>
      </c>
      <c r="H31" s="26" t="n">
        <f>2470308120</f>
        <v>2.47030812E9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198.0</v>
      </c>
      <c r="F36" s="18" t="n">
        <f>0</f>
        <v>0.0</v>
      </c>
      <c r="G36" s="17" t="n">
        <v>7.488205E8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546.0</v>
      </c>
      <c r="F37" s="22" t="n">
        <f>6</f>
        <v>6.0</v>
      </c>
      <c r="G37" s="21" t="n">
        <v>2.062072E9</v>
      </c>
      <c r="H37" s="22" t="n">
        <f>22640000</f>
        <v>2.264E7</v>
      </c>
    </row>
    <row r="38" spans="1:8" ht="24.9" customHeight="1">
      <c r="A38" s="51"/>
      <c r="B38" s="57"/>
      <c r="C38" s="39"/>
      <c r="D38" s="20" t="s">
        <v>17</v>
      </c>
      <c r="E38" s="21" t="n">
        <v>1853.0</v>
      </c>
      <c r="F38" s="22" t="n">
        <f>178</f>
        <v>178.0</v>
      </c>
      <c r="G38" s="21" t="n">
        <v>6.9454055E9</v>
      </c>
      <c r="H38" s="22" t="n">
        <f>667527000</f>
        <v>6.67527E8</v>
      </c>
    </row>
    <row r="39" spans="1:8" ht="24.9" customHeight="1">
      <c r="A39" s="51"/>
      <c r="B39" s="57"/>
      <c r="C39" s="39"/>
      <c r="D39" s="24" t="s">
        <v>18</v>
      </c>
      <c r="E39" s="25" t="n">
        <v>2597.0</v>
      </c>
      <c r="F39" s="26" t="n">
        <f>184</f>
        <v>184.0</v>
      </c>
      <c r="G39" s="25" t="n">
        <v>9.756298E9</v>
      </c>
      <c r="H39" s="26" t="n">
        <f>690167000</f>
        <v>6.90167E8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8.0</v>
      </c>
      <c r="F45" s="22" t="n">
        <f>0</f>
        <v>0.0</v>
      </c>
      <c r="G45" s="21" t="n">
        <v>6.1296E7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8.0</v>
      </c>
      <c r="F46" s="22" t="n">
        <f>0</f>
        <v>0.0</v>
      </c>
      <c r="G46" s="21" t="n">
        <v>6.1104E7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16.0</v>
      </c>
      <c r="F47" s="26" t="n">
        <f>0</f>
        <v>0.0</v>
      </c>
      <c r="G47" s="25" t="n">
        <v>1.224E8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69.0</v>
      </c>
      <c r="F48" s="18" t="n">
        <f>69</f>
        <v>69.0</v>
      </c>
      <c r="G48" s="17" t="n">
        <v>1.242147E8</v>
      </c>
      <c r="H48" s="18" t="n">
        <f>124214700</f>
        <v>1.242147E8</v>
      </c>
    </row>
    <row r="49" spans="1:8" ht="24.9" customHeight="1">
      <c r="A49" s="51"/>
      <c r="B49" s="57"/>
      <c r="C49" s="39"/>
      <c r="D49" s="20" t="s">
        <v>16</v>
      </c>
      <c r="E49" s="21" t="n">
        <v>185.0</v>
      </c>
      <c r="F49" s="22" t="n">
        <f>131</f>
        <v>131.0</v>
      </c>
      <c r="G49" s="21" t="n">
        <v>3.3207377E8</v>
      </c>
      <c r="H49" s="22" t="n">
        <f>235560270</f>
        <v>2.3556027E8</v>
      </c>
    </row>
    <row r="50" spans="1:8" ht="24.9" customHeight="1">
      <c r="A50" s="51"/>
      <c r="B50" s="57"/>
      <c r="C50" s="39"/>
      <c r="D50" s="20" t="s">
        <v>17</v>
      </c>
      <c r="E50" s="21" t="n">
        <v>176.0</v>
      </c>
      <c r="F50" s="22" t="n">
        <f>58</f>
        <v>58.0</v>
      </c>
      <c r="G50" s="21" t="n">
        <v>3.1456276E8</v>
      </c>
      <c r="H50" s="22" t="n">
        <f>103767760</f>
        <v>1.0376776E8</v>
      </c>
    </row>
    <row r="51" spans="1:8" ht="24.9" customHeight="1">
      <c r="A51" s="51"/>
      <c r="B51" s="57"/>
      <c r="C51" s="39"/>
      <c r="D51" s="24" t="s">
        <v>18</v>
      </c>
      <c r="E51" s="25" t="n">
        <v>430.0</v>
      </c>
      <c r="F51" s="26" t="n">
        <f>258</f>
        <v>258.0</v>
      </c>
      <c r="G51" s="25" t="n">
        <v>7.7085123E8</v>
      </c>
      <c r="H51" s="26" t="n">
        <f>463542730</f>
        <v>4.6354273E8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382.0</v>
      </c>
      <c r="F56" s="18" t="n">
        <f>5</f>
        <v>5.0</v>
      </c>
      <c r="G56" s="17" t="n">
        <v>2.88454E8</v>
      </c>
      <c r="H56" s="18" t="n">
        <f>3779000</f>
        <v>3779000.0</v>
      </c>
    </row>
    <row r="57" spans="1:8" ht="24.9" customHeight="1">
      <c r="A57" s="51"/>
      <c r="B57" s="57"/>
      <c r="C57" s="39"/>
      <c r="D57" s="20" t="s">
        <v>16</v>
      </c>
      <c r="E57" s="21" t="n">
        <v>979.0</v>
      </c>
      <c r="F57" s="22" t="n">
        <f>28</f>
        <v>28.0</v>
      </c>
      <c r="G57" s="21" t="n">
        <v>7.414201E8</v>
      </c>
      <c r="H57" s="22" t="n">
        <f>21210100</f>
        <v>2.12101E7</v>
      </c>
    </row>
    <row r="58" spans="1:8" ht="24.9" customHeight="1">
      <c r="A58" s="51"/>
      <c r="B58" s="57"/>
      <c r="C58" s="39"/>
      <c r="D58" s="20" t="s">
        <v>17</v>
      </c>
      <c r="E58" s="21" t="n">
        <v>1613.0</v>
      </c>
      <c r="F58" s="22" t="n">
        <f>329</f>
        <v>329.0</v>
      </c>
      <c r="G58" s="21" t="n">
        <v>1.2111806E9</v>
      </c>
      <c r="H58" s="22" t="n">
        <f>248834600</f>
        <v>2.488346E8</v>
      </c>
    </row>
    <row r="59" spans="1:8" ht="24.9" customHeight="1">
      <c r="A59" s="51"/>
      <c r="B59" s="57"/>
      <c r="C59" s="39"/>
      <c r="D59" s="24" t="s">
        <v>18</v>
      </c>
      <c r="E59" s="25" t="n">
        <v>2974.0</v>
      </c>
      <c r="F59" s="26" t="n">
        <f>362</f>
        <v>362.0</v>
      </c>
      <c r="G59" s="25" t="n">
        <v>2.2410547E9</v>
      </c>
      <c r="H59" s="26" t="n">
        <f>273823700</f>
        <v>2.738237E8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138.0</v>
      </c>
      <c r="F60" s="18" t="n">
        <f>1</f>
        <v>1.0</v>
      </c>
      <c r="G60" s="17" t="n">
        <v>7.402602E8</v>
      </c>
      <c r="H60" s="18" t="n">
        <f>5353200</f>
        <v>5353200.0</v>
      </c>
    </row>
    <row r="61" spans="1:8" ht="24.9" customHeight="1">
      <c r="A61" s="51"/>
      <c r="B61" s="57"/>
      <c r="C61" s="39"/>
      <c r="D61" s="20" t="s">
        <v>16</v>
      </c>
      <c r="E61" s="21" t="n">
        <v>58.0</v>
      </c>
      <c r="F61" s="22" t="n">
        <f>0</f>
        <v>0.0</v>
      </c>
      <c r="G61" s="21" t="n">
        <v>3.103849E8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29.0</v>
      </c>
      <c r="F62" s="22" t="n">
        <f>1</f>
        <v>1.0</v>
      </c>
      <c r="G62" s="21" t="n">
        <v>1.5509451E8</v>
      </c>
      <c r="H62" s="22" t="n">
        <f>5345610</f>
        <v>5345610.0</v>
      </c>
    </row>
    <row r="63" spans="1:8" ht="24.9" customHeight="1">
      <c r="A63" s="51"/>
      <c r="B63" s="57"/>
      <c r="C63" s="39"/>
      <c r="D63" s="24" t="s">
        <v>18</v>
      </c>
      <c r="E63" s="25" t="n">
        <v>225.0</v>
      </c>
      <c r="F63" s="26" t="n">
        <f>2</f>
        <v>2.0</v>
      </c>
      <c r="G63" s="25" t="n">
        <v>1.20573961E9</v>
      </c>
      <c r="H63" s="26" t="n">
        <f>10698810</f>
        <v>1.069881E7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17.0</v>
      </c>
      <c r="F77" s="22" t="n">
        <f>0</f>
        <v>0.0</v>
      </c>
      <c r="G77" s="21" t="n">
        <v>5785500.0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15.0</v>
      </c>
      <c r="F78" s="22" t="n">
        <f>0</f>
        <v>0.0</v>
      </c>
      <c r="G78" s="21" t="n">
        <v>5215000.0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32.0</v>
      </c>
      <c r="F79" s="26" t="n">
        <f>0</f>
        <v>0.0</v>
      </c>
      <c r="G79" s="25" t="n">
        <v>1.10005E7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8.0</v>
      </c>
      <c r="F92" s="18" t="n">
        <f>0</f>
        <v>0.0</v>
      </c>
      <c r="G92" s="17" t="n">
        <v>1.27024E7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8.0</v>
      </c>
      <c r="F95" s="26" t="n">
        <f>0</f>
        <v>0.0</v>
      </c>
      <c r="G95" s="25" t="n">
        <v>1.27024E7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0.0</v>
      </c>
      <c r="F99" s="26" t="n">
        <f>0</f>
        <v>0.0</v>
      </c>
      <c r="G99" s="25" t="n">
        <v>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12007.0</v>
      </c>
      <c r="F108" s="18" t="n">
        <f>540</f>
        <v>540.0</v>
      </c>
      <c r="G108" s="17" t="n">
        <v>1.513734935E12</v>
      </c>
      <c r="H108" s="18" t="n">
        <f>68108665000</f>
        <v>6.8108665E10</v>
      </c>
    </row>
    <row r="109" spans="1:8" ht="24.9" customHeight="1">
      <c r="A109" s="51"/>
      <c r="B109" s="57"/>
      <c r="C109" s="39"/>
      <c r="D109" s="20" t="s">
        <v>16</v>
      </c>
      <c r="E109" s="21" t="n">
        <v>13939.0</v>
      </c>
      <c r="F109" s="22" t="n">
        <f>1473</f>
        <v>1473.0</v>
      </c>
      <c r="G109" s="21" t="n">
        <v>1.75665389E12</v>
      </c>
      <c r="H109" s="22" t="n">
        <f>185658100000</f>
        <v>1.856581E11</v>
      </c>
    </row>
    <row r="110" spans="1:8" ht="24.9" customHeight="1">
      <c r="A110" s="51"/>
      <c r="B110" s="57"/>
      <c r="C110" s="39"/>
      <c r="D110" s="20" t="s">
        <v>17</v>
      </c>
      <c r="E110" s="21" t="n">
        <v>18611.0</v>
      </c>
      <c r="F110" s="22" t="n">
        <f>1902</f>
        <v>1902.0</v>
      </c>
      <c r="G110" s="21" t="n">
        <v>2.34749949E12</v>
      </c>
      <c r="H110" s="22" t="n">
        <f>239910730000</f>
        <v>2.3991073E11</v>
      </c>
    </row>
    <row r="111" spans="1:8" ht="24.9" customHeight="1">
      <c r="A111" s="51"/>
      <c r="B111" s="57"/>
      <c r="C111" s="39"/>
      <c r="D111" s="24" t="s">
        <v>18</v>
      </c>
      <c r="E111" s="25" t="n">
        <v>44557.0</v>
      </c>
      <c r="F111" s="26" t="n">
        <f>3915</f>
        <v>3915.0</v>
      </c>
      <c r="G111" s="25" t="n">
        <v>5.617888315E12</v>
      </c>
      <c r="H111" s="26" t="n">
        <f>493677495000</f>
        <v>4.93677495E11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181.0</v>
      </c>
      <c r="F113" s="22" t="n">
        <f>0</f>
        <v>0.0</v>
      </c>
      <c r="G113" s="21" t="n">
        <v>2.280175E9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181.0</v>
      </c>
      <c r="F115" s="26" t="n">
        <f>0</f>
        <v>0.0</v>
      </c>
      <c r="G115" s="25" t="n">
        <v>2.280175E9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10.0</v>
      </c>
      <c r="F117" s="22" t="n">
        <f>0</f>
        <v>0.0</v>
      </c>
      <c r="G117" s="21" t="n">
        <v>8.889E7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10.0</v>
      </c>
      <c r="F118" s="22" t="n">
        <f>0</f>
        <v>0.0</v>
      </c>
      <c r="G118" s="21" t="n">
        <v>8.88E7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20.0</v>
      </c>
      <c r="F119" s="26" t="n">
        <f>0</f>
        <v>0.0</v>
      </c>
      <c r="G119" s="25" t="n">
        <v>1.7769E8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2792.0</v>
      </c>
      <c r="F120" s="18" t="n">
        <f>0</f>
        <v>0.0</v>
      </c>
      <c r="G120" s="17" t="n">
        <v>6.8941875625E10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489.0</v>
      </c>
      <c r="F121" s="22" t="n">
        <f>0</f>
        <v>0.0</v>
      </c>
      <c r="G121" s="21" t="n">
        <v>1.2069935625E10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482.0</v>
      </c>
      <c r="F122" s="22" t="n">
        <f>0</f>
        <v>0.0</v>
      </c>
      <c r="G122" s="21" t="n">
        <v>1.190045625E10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3763.0</v>
      </c>
      <c r="F123" s="26" t="n">
        <f>0</f>
        <v>0.0</v>
      </c>
      <c r="G123" s="25" t="n">
        <v>9.29122675E10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4930.0</v>
      </c>
      <c r="F124" s="18" t="n">
        <f>0</f>
        <v>0.0</v>
      </c>
      <c r="G124" s="17" t="n">
        <v>1.13939015E11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2812.0</v>
      </c>
      <c r="F125" s="22" t="n">
        <f>0</f>
        <v>0.0</v>
      </c>
      <c r="G125" s="21" t="n">
        <v>6.5320112E10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1864.0</v>
      </c>
      <c r="F126" s="22" t="n">
        <f>0</f>
        <v>0.0</v>
      </c>
      <c r="G126" s="21" t="n">
        <v>4.3074909E10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9606.0</v>
      </c>
      <c r="F127" s="26" t="n">
        <f>0</f>
        <v>0.0</v>
      </c>
      <c r="G127" s="25" t="n">
        <v>2.22334036E11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48.0</v>
      </c>
      <c r="F128" s="18" t="n">
        <f>0</f>
        <v>0.0</v>
      </c>
      <c r="G128" s="17" t="n">
        <v>1.10328E8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54.0</v>
      </c>
      <c r="F129" s="22" t="n">
        <f>0</f>
        <v>0.0</v>
      </c>
      <c r="G129" s="21" t="n">
        <v>1.245885E8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158.0</v>
      </c>
      <c r="F130" s="22" t="n">
        <f>0</f>
        <v>0.0</v>
      </c>
      <c r="G130" s="21" t="n">
        <v>3.624818E8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260.0</v>
      </c>
      <c r="F131" s="26" t="n">
        <f>0</f>
        <v>0.0</v>
      </c>
      <c r="G131" s="25" t="n">
        <v>5.973983E8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5887.0</v>
      </c>
      <c r="F132" s="18" t="n">
        <f>0</f>
        <v>0.0</v>
      </c>
      <c r="G132" s="17" t="n">
        <v>1.36434492E10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3131.0</v>
      </c>
      <c r="F133" s="22" t="n">
        <f>0</f>
        <v>0.0</v>
      </c>
      <c r="G133" s="21" t="n">
        <v>7.29317095E9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3259.0</v>
      </c>
      <c r="F134" s="22" t="n">
        <f>0</f>
        <v>0.0</v>
      </c>
      <c r="G134" s="21" t="n">
        <v>7.55344375E9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12277.0</v>
      </c>
      <c r="F135" s="26" t="n">
        <f>0</f>
        <v>0.0</v>
      </c>
      <c r="G135" s="25" t="n">
        <v>2.84900639E10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92.0</v>
      </c>
      <c r="F136" s="18" t="n">
        <f>0</f>
        <v>0.0</v>
      </c>
      <c r="G136" s="17" t="n">
        <v>2.099296E8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46.0</v>
      </c>
      <c r="F137" s="22" t="n">
        <f>0</f>
        <v>0.0</v>
      </c>
      <c r="G137" s="21" t="n">
        <v>1.051477E8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29.0</v>
      </c>
      <c r="F138" s="22" t="n">
        <f>0</f>
        <v>0.0</v>
      </c>
      <c r="G138" s="21" t="n">
        <v>6.60033E7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167.0</v>
      </c>
      <c r="F139" s="26" t="n">
        <f>0</f>
        <v>0.0</v>
      </c>
      <c r="G139" s="25" t="n">
        <v>3.810806E8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889.0</v>
      </c>
      <c r="F144" s="18" t="n">
        <f>0</f>
        <v>0.0</v>
      </c>
      <c r="G144" s="17" t="n">
        <v>3.986772E9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696.0</v>
      </c>
      <c r="F145" s="22" t="n">
        <f>0</f>
        <v>0.0</v>
      </c>
      <c r="G145" s="21" t="n">
        <v>3.14767E9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993.0</v>
      </c>
      <c r="F146" s="22" t="n">
        <f>0</f>
        <v>0.0</v>
      </c>
      <c r="G146" s="21" t="n">
        <v>4.4306895E9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2578.0</v>
      </c>
      <c r="F147" s="26" t="n">
        <f>0</f>
        <v>0.0</v>
      </c>
      <c r="G147" s="25" t="n">
        <v>1.15651315E10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23.0</v>
      </c>
      <c r="F148" s="18" t="n">
        <f>0</f>
        <v>0.0</v>
      </c>
      <c r="G148" s="17" t="n">
        <v>2.11564E7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44.0</v>
      </c>
      <c r="F149" s="22" t="n">
        <f>0</f>
        <v>0.0</v>
      </c>
      <c r="G149" s="21" t="n">
        <v>4.04292E7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75.0</v>
      </c>
      <c r="F150" s="22" t="n">
        <f>0</f>
        <v>0.0</v>
      </c>
      <c r="G150" s="21" t="n">
        <v>6.81949E7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142.0</v>
      </c>
      <c r="F151" s="26" t="n">
        <f>0</f>
        <v>0.0</v>
      </c>
      <c r="G151" s="25" t="n">
        <v>1.297805E8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266.0</v>
      </c>
      <c r="F152" s="18" t="n">
        <f>0</f>
        <v>0.0</v>
      </c>
      <c r="G152" s="17" t="n">
        <v>2.3783785E8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259.0</v>
      </c>
      <c r="F153" s="22" t="n">
        <f>0</f>
        <v>0.0</v>
      </c>
      <c r="G153" s="21" t="n">
        <v>2.330403E8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283.0</v>
      </c>
      <c r="F154" s="22" t="n">
        <f>0</f>
        <v>0.0</v>
      </c>
      <c r="G154" s="21" t="n">
        <v>2.5199555E8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808.0</v>
      </c>
      <c r="F155" s="26" t="n">
        <f>0</f>
        <v>0.0</v>
      </c>
      <c r="G155" s="25" t="n">
        <v>7.228737E8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118.0</v>
      </c>
      <c r="F156" s="18" t="n">
        <f>0</f>
        <v>0.0</v>
      </c>
      <c r="G156" s="17" t="n">
        <v>1.059188E8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167.0</v>
      </c>
      <c r="F157" s="22" t="n">
        <f>0</f>
        <v>0.0</v>
      </c>
      <c r="G157" s="21" t="n">
        <v>1.510102E8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84.0</v>
      </c>
      <c r="F158" s="22" t="n">
        <f>0</f>
        <v>0.0</v>
      </c>
      <c r="G158" s="21" t="n">
        <v>7.51086E7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369.0</v>
      </c>
      <c r="F159" s="26" t="n">
        <f>0</f>
        <v>0.0</v>
      </c>
      <c r="G159" s="25" t="n">
        <v>3.320376E8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143.0</v>
      </c>
      <c r="F168" s="18" t="n">
        <f>0</f>
        <v>0.0</v>
      </c>
      <c r="G168" s="17" t="n">
        <v>3.087585E8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65.0</v>
      </c>
      <c r="F169" s="22" t="n">
        <f>0</f>
        <v>0.0</v>
      </c>
      <c r="G169" s="21" t="n">
        <v>1.39035E8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449.0</v>
      </c>
      <c r="F170" s="22" t="n">
        <f>2</f>
        <v>2.0</v>
      </c>
      <c r="G170" s="21" t="n">
        <v>9.64788E8</v>
      </c>
      <c r="H170" s="22" t="n">
        <f>4205000</f>
        <v>4205000.0</v>
      </c>
    </row>
    <row r="171" spans="1:8" ht="24.9" customHeight="1">
      <c r="A171" s="51"/>
      <c r="B171" s="57"/>
      <c r="C171" s="39"/>
      <c r="D171" s="24" t="s">
        <v>18</v>
      </c>
      <c r="E171" s="25" t="n">
        <v>657.0</v>
      </c>
      <c r="F171" s="26" t="n">
        <f>2</f>
        <v>2.0</v>
      </c>
      <c r="G171" s="25" t="n">
        <v>1.4125815E9</v>
      </c>
      <c r="H171" s="26" t="n">
        <f>4205000</f>
        <v>4205000.0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4.0</v>
      </c>
      <c r="F178" s="22" t="n">
        <f>0</f>
        <v>0.0</v>
      </c>
      <c r="G178" s="21" t="n">
        <v>6826000.0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4.0</v>
      </c>
      <c r="F179" s="26" t="n">
        <f>0</f>
        <v>0.0</v>
      </c>
      <c r="G179" s="25" t="n">
        <v>6826000.0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643.0</v>
      </c>
      <c r="F204" s="18" t="n">
        <f>3</f>
        <v>3.0</v>
      </c>
      <c r="G204" s="17" t="n">
        <v>2.4482745E9</v>
      </c>
      <c r="H204" s="18" t="n">
        <f>12262500</f>
        <v>1.22625E7</v>
      </c>
    </row>
    <row r="205" spans="1:8" ht="24.9" customHeight="1">
      <c r="A205" s="57"/>
      <c r="B205" s="59"/>
      <c r="C205" s="39"/>
      <c r="D205" s="20" t="s">
        <v>16</v>
      </c>
      <c r="E205" s="21" t="n">
        <v>196.0</v>
      </c>
      <c r="F205" s="22" t="n">
        <f>0</f>
        <v>0.0</v>
      </c>
      <c r="G205" s="21" t="n">
        <v>7.523155E8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1654.0</v>
      </c>
      <c r="F206" s="22" t="n">
        <f>0</f>
        <v>0.0</v>
      </c>
      <c r="G206" s="21" t="n">
        <v>6.434356E9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2493.0</v>
      </c>
      <c r="F207" s="26" t="n">
        <f>3</f>
        <v>3.0</v>
      </c>
      <c r="G207" s="25" t="n">
        <v>9.634946E9</v>
      </c>
      <c r="H207" s="26" t="n">
        <f>12262500</f>
        <v>1.22625E7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1050.0</v>
      </c>
      <c r="F210" s="22" t="n">
        <f>1050</f>
        <v>1050.0</v>
      </c>
      <c r="G210" s="21" t="n">
        <v>1.4536104E9</v>
      </c>
      <c r="H210" s="22" t="n">
        <f>1453610400</f>
        <v>1.4536104E9</v>
      </c>
    </row>
    <row r="211" spans="1:8" ht="24.9" customHeight="1">
      <c r="A211" s="57"/>
      <c r="B211" s="59"/>
      <c r="C211" s="39"/>
      <c r="D211" s="24" t="s">
        <v>18</v>
      </c>
      <c r="E211" s="25" t="n">
        <v>1050.0</v>
      </c>
      <c r="F211" s="26" t="n">
        <f>1050</f>
        <v>1050.0</v>
      </c>
      <c r="G211" s="25" t="n">
        <v>1.4536104E9</v>
      </c>
      <c r="H211" s="26" t="n">
        <f>1453610400</f>
        <v>1.4536104E9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1.0</v>
      </c>
      <c r="F214" s="22" t="n">
        <f>1</f>
        <v>1.0</v>
      </c>
      <c r="G214" s="21" t="n">
        <v>1324800.0</v>
      </c>
      <c r="H214" s="22" t="n">
        <f>1324800</f>
        <v>1324800.0</v>
      </c>
    </row>
    <row r="215" spans="1:8" ht="24.9" customHeight="1">
      <c r="A215" s="57"/>
      <c r="B215" s="59"/>
      <c r="C215" s="39"/>
      <c r="D215" s="24" t="s">
        <v>18</v>
      </c>
      <c r="E215" s="25" t="n">
        <v>1.0</v>
      </c>
      <c r="F215" s="26" t="n">
        <f>1</f>
        <v>1.0</v>
      </c>
      <c r="G215" s="25" t="n">
        <v>1324800.0</v>
      </c>
      <c r="H215" s="26" t="n">
        <f>1324800</f>
        <v>1324800.0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15.0</v>
      </c>
      <c r="F222" s="22" t="n">
        <f>15</f>
        <v>15.0</v>
      </c>
      <c r="G222" s="21" t="n">
        <v>8391300.0</v>
      </c>
      <c r="H222" s="22" t="n">
        <f>8391300</f>
        <v>8391300.0</v>
      </c>
    </row>
    <row r="223" spans="1:8" ht="24.9" customHeight="1">
      <c r="A223" s="57"/>
      <c r="B223" s="59"/>
      <c r="C223" s="39"/>
      <c r="D223" s="24" t="s">
        <v>18</v>
      </c>
      <c r="E223" s="25" t="n">
        <v>15.0</v>
      </c>
      <c r="F223" s="26" t="n">
        <f>15</f>
        <v>15.0</v>
      </c>
      <c r="G223" s="25" t="n">
        <v>8391300.0</v>
      </c>
      <c r="H223" s="26" t="n">
        <f>8391300</f>
        <v>8391300.0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46252.0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46252.0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2473</f>
        <v>2473.0</v>
      </c>
      <c r="E12" s="35" t="n">
        <f>1356</f>
        <v>1356.0</v>
      </c>
      <c r="F12" s="17" t="n">
        <f>2069</f>
        <v>2069.0</v>
      </c>
      <c r="G12" s="35" t="n">
        <f>1390</f>
        <v>1390.0</v>
      </c>
      <c r="H12" s="17" t="n">
        <f>4542</f>
        <v>4542.0</v>
      </c>
      <c r="I12" s="35" t="n">
        <f>2746</f>
        <v>2746.0</v>
      </c>
      <c r="J12" s="17" t="n">
        <f>1321463500</f>
        <v>1.3214635E9</v>
      </c>
      <c r="K12" s="35" t="n">
        <f>760245500</f>
        <v>7.602455E8</v>
      </c>
      <c r="L12" s="17" t="n">
        <f>2451288634</f>
        <v>2.451288634E9</v>
      </c>
      <c r="M12" s="35" t="n">
        <f>2100491634</f>
        <v>2.100491634E9</v>
      </c>
      <c r="N12" s="17" t="n">
        <f>3772752134</f>
        <v>3.772752134E9</v>
      </c>
      <c r="O12" s="35" t="n">
        <f>2860737134</f>
        <v>2.860737134E9</v>
      </c>
    </row>
    <row r="13" spans="1:15" ht="24.9" customHeight="1">
      <c r="A13" s="38"/>
      <c r="B13" s="62"/>
      <c r="C13" s="20" t="s">
        <v>16</v>
      </c>
      <c r="D13" s="21" t="n">
        <f>3004</f>
        <v>3004.0</v>
      </c>
      <c r="E13" s="36" t="n">
        <f>476</f>
        <v>476.0</v>
      </c>
      <c r="F13" s="21" t="n">
        <f>2677</f>
        <v>2677.0</v>
      </c>
      <c r="G13" s="36" t="n">
        <f>1287</f>
        <v>1287.0</v>
      </c>
      <c r="H13" s="21" t="n">
        <f>5681</f>
        <v>5681.0</v>
      </c>
      <c r="I13" s="36" t="n">
        <f>1763</f>
        <v>1763.0</v>
      </c>
      <c r="J13" s="21" t="n">
        <f>1352129050</f>
        <v>1.35212905E9</v>
      </c>
      <c r="K13" s="36" t="n">
        <f>235464050</f>
        <v>2.3546405E8</v>
      </c>
      <c r="L13" s="21" t="n">
        <f>3030734520</f>
        <v>3.03073452E9</v>
      </c>
      <c r="M13" s="36" t="n">
        <f>2531317520</f>
        <v>2.53131752E9</v>
      </c>
      <c r="N13" s="21" t="n">
        <f>4382863570</f>
        <v>4.38286357E9</v>
      </c>
      <c r="O13" s="36" t="n">
        <f>2766781570</f>
        <v>2.76678157E9</v>
      </c>
    </row>
    <row r="14" spans="1:15" ht="24.9" customHeight="1">
      <c r="A14" s="38"/>
      <c r="B14" s="62"/>
      <c r="C14" s="20" t="s">
        <v>17</v>
      </c>
      <c r="D14" s="21" t="n">
        <f>16497</f>
        <v>16497.0</v>
      </c>
      <c r="E14" s="36" t="n">
        <f>12332</f>
        <v>12332.0</v>
      </c>
      <c r="F14" s="21" t="n">
        <f>7341</f>
        <v>7341.0</v>
      </c>
      <c r="G14" s="36" t="n">
        <f>5442</f>
        <v>5442.0</v>
      </c>
      <c r="H14" s="21" t="n">
        <f>23838</f>
        <v>23838.0</v>
      </c>
      <c r="I14" s="36" t="n">
        <f>17774</f>
        <v>17774.0</v>
      </c>
      <c r="J14" s="21" t="n">
        <f>8613405480</f>
        <v>8.61340548E9</v>
      </c>
      <c r="K14" s="36" t="n">
        <f>6824872480</f>
        <v>6.82487248E9</v>
      </c>
      <c r="L14" s="21" t="n">
        <f>8405304850</f>
        <v>8.40530485E9</v>
      </c>
      <c r="M14" s="36" t="n">
        <f>7728838850</f>
        <v>7.72883885E9</v>
      </c>
      <c r="N14" s="21" t="n">
        <f>17018710330</f>
        <v>1.701871033E10</v>
      </c>
      <c r="O14" s="36" t="n">
        <f>14553711330</f>
        <v>1.455371133E10</v>
      </c>
    </row>
    <row r="15" spans="1:15" ht="24.9" customHeight="1">
      <c r="A15" s="38"/>
      <c r="B15" s="62"/>
      <c r="C15" s="24" t="s">
        <v>18</v>
      </c>
      <c r="D15" s="25" t="n">
        <f>21974</f>
        <v>21974.0</v>
      </c>
      <c r="E15" s="37" t="n">
        <f>14164</f>
        <v>14164.0</v>
      </c>
      <c r="F15" s="25" t="n">
        <f>12087</f>
        <v>12087.0</v>
      </c>
      <c r="G15" s="37" t="n">
        <f>8119</f>
        <v>8119.0</v>
      </c>
      <c r="H15" s="25" t="n">
        <f>34061</f>
        <v>34061.0</v>
      </c>
      <c r="I15" s="37" t="n">
        <f>22283</f>
        <v>22283.0</v>
      </c>
      <c r="J15" s="25" t="n">
        <f>11286998030</f>
        <v>1.128699803E10</v>
      </c>
      <c r="K15" s="37" t="n">
        <f>7820582030</f>
        <v>7.82058203E9</v>
      </c>
      <c r="L15" s="25" t="n">
        <f>13887328004</f>
        <v>1.3887328004E10</v>
      </c>
      <c r="M15" s="37" t="n">
        <f>12360648004</f>
        <v>1.2360648004E10</v>
      </c>
      <c r="N15" s="25" t="n">
        <f>25174326034</f>
        <v>2.5174326034E10</v>
      </c>
      <c r="O15" s="37" t="n">
        <f>20181230034</f>
        <v>2.0181230034E10</v>
      </c>
    </row>
    <row r="16" spans="1:15" ht="24.9" customHeight="1">
      <c r="A16" s="38"/>
      <c r="B16" s="61" t="s">
        <v>105</v>
      </c>
      <c r="C16" s="16" t="s">
        <v>15</v>
      </c>
      <c r="D16" s="17" t="n">
        <f>8030</f>
        <v>8030.0</v>
      </c>
      <c r="E16" s="35" t="n">
        <f>820</f>
        <v>820.0</v>
      </c>
      <c r="F16" s="17" t="n">
        <f>3699</f>
        <v>3699.0</v>
      </c>
      <c r="G16" s="35" t="n">
        <f>40</f>
        <v>40.0</v>
      </c>
      <c r="H16" s="17" t="n">
        <f>11729</f>
        <v>11729.0</v>
      </c>
      <c r="I16" s="35" t="n">
        <f>860</f>
        <v>860.0</v>
      </c>
      <c r="J16" s="17" t="n">
        <f>347645390</f>
        <v>3.4764539E8</v>
      </c>
      <c r="K16" s="35" t="n">
        <f>2572990</f>
        <v>2572990.0</v>
      </c>
      <c r="L16" s="17" t="n">
        <f>402565810</f>
        <v>4.0256581E8</v>
      </c>
      <c r="M16" s="35" t="n">
        <f>1949610</f>
        <v>1949610.0</v>
      </c>
      <c r="N16" s="17" t="n">
        <f>750211200</f>
        <v>7.502112E8</v>
      </c>
      <c r="O16" s="35" t="n">
        <f>4522600</f>
        <v>4522600.0</v>
      </c>
    </row>
    <row r="17" spans="1:15" ht="24.9" customHeight="1">
      <c r="A17" s="38"/>
      <c r="B17" s="62"/>
      <c r="C17" s="20" t="s">
        <v>16</v>
      </c>
      <c r="D17" s="21" t="n">
        <f>9191</f>
        <v>9191.0</v>
      </c>
      <c r="E17" s="36" t="n">
        <f>570</f>
        <v>570.0</v>
      </c>
      <c r="F17" s="21" t="n">
        <f>4823</f>
        <v>4823.0</v>
      </c>
      <c r="G17" s="36" t="n">
        <f>340</f>
        <v>340.0</v>
      </c>
      <c r="H17" s="21" t="n">
        <f>14014</f>
        <v>14014.0</v>
      </c>
      <c r="I17" s="36" t="n">
        <f>910</f>
        <v>910.0</v>
      </c>
      <c r="J17" s="21" t="n">
        <f>218807420</f>
        <v>2.1880742E8</v>
      </c>
      <c r="K17" s="36" t="n">
        <f>34725620</f>
        <v>3.472562E7</v>
      </c>
      <c r="L17" s="21" t="n">
        <f>176113490</f>
        <v>1.7611349E8</v>
      </c>
      <c r="M17" s="36" t="n">
        <f>33017890</f>
        <v>3.301789E7</v>
      </c>
      <c r="N17" s="21" t="n">
        <f>394920910</f>
        <v>3.9492091E8</v>
      </c>
      <c r="O17" s="36" t="n">
        <f>67743510</f>
        <v>6.774351E7</v>
      </c>
    </row>
    <row r="18" spans="1:15" ht="24.9" customHeight="1">
      <c r="A18" s="38"/>
      <c r="B18" s="62"/>
      <c r="C18" s="20" t="s">
        <v>17</v>
      </c>
      <c r="D18" s="21" t="n">
        <f>14364</f>
        <v>14364.0</v>
      </c>
      <c r="E18" s="36" t="n">
        <f>980</f>
        <v>980.0</v>
      </c>
      <c r="F18" s="21" t="n">
        <f>9570</f>
        <v>9570.0</v>
      </c>
      <c r="G18" s="36" t="n">
        <f>520</f>
        <v>520.0</v>
      </c>
      <c r="H18" s="21" t="n">
        <f>23934</f>
        <v>23934.0</v>
      </c>
      <c r="I18" s="36" t="n">
        <f>1500</f>
        <v>1500.0</v>
      </c>
      <c r="J18" s="21" t="n">
        <f>369432390</f>
        <v>3.6943239E8</v>
      </c>
      <c r="K18" s="36" t="n">
        <f>15670890</f>
        <v>1.567089E7</v>
      </c>
      <c r="L18" s="21" t="n">
        <f>246643560</f>
        <v>2.4664356E8</v>
      </c>
      <c r="M18" s="36" t="n">
        <f>7076660</f>
        <v>7076660.0</v>
      </c>
      <c r="N18" s="21" t="n">
        <f>616075950</f>
        <v>6.1607595E8</v>
      </c>
      <c r="O18" s="36" t="n">
        <f>22747550</f>
        <v>2.274755E7</v>
      </c>
    </row>
    <row r="19" spans="1:15" ht="24.9" customHeight="1">
      <c r="A19" s="38"/>
      <c r="B19" s="62"/>
      <c r="C19" s="24" t="s">
        <v>18</v>
      </c>
      <c r="D19" s="25" t="n">
        <f>31585</f>
        <v>31585.0</v>
      </c>
      <c r="E19" s="37" t="n">
        <f>2370</f>
        <v>2370.0</v>
      </c>
      <c r="F19" s="25" t="n">
        <f>18092</f>
        <v>18092.0</v>
      </c>
      <c r="G19" s="37" t="n">
        <f>900</f>
        <v>900.0</v>
      </c>
      <c r="H19" s="25" t="n">
        <f>49677</f>
        <v>49677.0</v>
      </c>
      <c r="I19" s="37" t="n">
        <f>3270</f>
        <v>3270.0</v>
      </c>
      <c r="J19" s="25" t="n">
        <f>935885200</f>
        <v>9.358852E8</v>
      </c>
      <c r="K19" s="37" t="n">
        <f>52969500</f>
        <v>5.29695E7</v>
      </c>
      <c r="L19" s="25" t="n">
        <f>825322860</f>
        <v>8.2532286E8</v>
      </c>
      <c r="M19" s="37" t="n">
        <f>42044160</f>
        <v>4.204416E7</v>
      </c>
      <c r="N19" s="25" t="n">
        <f>1761208060</f>
        <v>1.76120806E9</v>
      </c>
      <c r="O19" s="37" t="n">
        <f>95013660</f>
        <v>9.501366E7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600</f>
        <v>600.0</v>
      </c>
      <c r="E22" s="36" t="n">
        <f>600</f>
        <v>600.0</v>
      </c>
      <c r="F22" s="21" t="n">
        <f>600</f>
        <v>600.0</v>
      </c>
      <c r="G22" s="36" t="n">
        <f>600</f>
        <v>600.0</v>
      </c>
      <c r="H22" s="21" t="n">
        <f>1200</f>
        <v>1200.0</v>
      </c>
      <c r="I22" s="36" t="n">
        <f>1200</f>
        <v>1200.0</v>
      </c>
      <c r="J22" s="21" t="n">
        <f>258000000</f>
        <v>2.58E8</v>
      </c>
      <c r="K22" s="36" t="n">
        <f>258000000</f>
        <v>2.58E8</v>
      </c>
      <c r="L22" s="21" t="n">
        <f>195000000</f>
        <v>1.95E8</v>
      </c>
      <c r="M22" s="36" t="n">
        <f>195000000</f>
        <v>1.95E8</v>
      </c>
      <c r="N22" s="21" t="n">
        <f>453000000</f>
        <v>4.53E8</v>
      </c>
      <c r="O22" s="36" t="n">
        <f>453000000</f>
        <v>4.53E8</v>
      </c>
    </row>
    <row r="23" spans="1:15" ht="24.9" customHeight="1">
      <c r="A23" s="38"/>
      <c r="B23" s="62"/>
      <c r="C23" s="24" t="s">
        <v>18</v>
      </c>
      <c r="D23" s="25" t="n">
        <f>600</f>
        <v>600.0</v>
      </c>
      <c r="E23" s="37" t="n">
        <f>600</f>
        <v>600.0</v>
      </c>
      <c r="F23" s="25" t="n">
        <f>600</f>
        <v>600.0</v>
      </c>
      <c r="G23" s="37" t="n">
        <f>600</f>
        <v>600.0</v>
      </c>
      <c r="H23" s="25" t="n">
        <f>1200</f>
        <v>1200.0</v>
      </c>
      <c r="I23" s="37" t="n">
        <f>1200</f>
        <v>1200.0</v>
      </c>
      <c r="J23" s="25" t="n">
        <f>258000000</f>
        <v>2.58E8</v>
      </c>
      <c r="K23" s="37" t="n">
        <f>258000000</f>
        <v>2.58E8</v>
      </c>
      <c r="L23" s="25" t="n">
        <f>195000000</f>
        <v>1.95E8</v>
      </c>
      <c r="M23" s="37" t="n">
        <f>195000000</f>
        <v>1.95E8</v>
      </c>
      <c r="N23" s="25" t="n">
        <f>453000000</f>
        <v>4.53E8</v>
      </c>
      <c r="O23" s="37" t="n">
        <f>453000000</f>
        <v>4.53E8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2</f>
        <v>2.0</v>
      </c>
      <c r="G36" s="18" t="n">
        <f>0</f>
        <v>0.0</v>
      </c>
      <c r="H36" s="17" t="n">
        <f>2</f>
        <v>2.0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300000</f>
        <v>300000.0</v>
      </c>
      <c r="M36" s="18" t="n">
        <f>0</f>
        <v>0.0</v>
      </c>
      <c r="N36" s="17" t="n">
        <f>300000</f>
        <v>300000.0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80</f>
        <v>80.0</v>
      </c>
      <c r="E37" s="22" t="n">
        <f>0</f>
        <v>0.0</v>
      </c>
      <c r="F37" s="21" t="n">
        <f>0</f>
        <v>0.0</v>
      </c>
      <c r="G37" s="22" t="n">
        <f>0</f>
        <v>0.0</v>
      </c>
      <c r="H37" s="21" t="n">
        <f>80</f>
        <v>80.0</v>
      </c>
      <c r="I37" s="22" t="n">
        <f>0</f>
        <v>0.0</v>
      </c>
      <c r="J37" s="21" t="n">
        <f>12850000</f>
        <v>1.285E7</v>
      </c>
      <c r="K37" s="22" t="n">
        <f>0</f>
        <v>0.0</v>
      </c>
      <c r="L37" s="21" t="n">
        <f>0</f>
        <v>0.0</v>
      </c>
      <c r="M37" s="22" t="n">
        <f>0</f>
        <v>0.0</v>
      </c>
      <c r="N37" s="21" t="n">
        <f>12850000</f>
        <v>1.285E7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167</f>
        <v>167.0</v>
      </c>
      <c r="E38" s="36" t="n">
        <f>165</f>
        <v>165.0</v>
      </c>
      <c r="F38" s="21" t="n">
        <f>209</f>
        <v>209.0</v>
      </c>
      <c r="G38" s="36" t="n">
        <f>20</f>
        <v>20.0</v>
      </c>
      <c r="H38" s="21" t="n">
        <f>376</f>
        <v>376.0</v>
      </c>
      <c r="I38" s="36" t="n">
        <f>185</f>
        <v>185.0</v>
      </c>
      <c r="J38" s="21" t="n">
        <f>23990000</f>
        <v>2.399E7</v>
      </c>
      <c r="K38" s="36" t="n">
        <f>23800000</f>
        <v>2.38E7</v>
      </c>
      <c r="L38" s="21" t="n">
        <f>14430000</f>
        <v>1.443E7</v>
      </c>
      <c r="M38" s="36" t="n">
        <f>1800000</f>
        <v>1800000.0</v>
      </c>
      <c r="N38" s="21" t="n">
        <f>38420000</f>
        <v>3.842E7</v>
      </c>
      <c r="O38" s="36" t="n">
        <f>25600000</f>
        <v>2.56E7</v>
      </c>
    </row>
    <row r="39" spans="1:15" ht="24.9" customHeight="1">
      <c r="A39" s="38"/>
      <c r="B39" s="62"/>
      <c r="C39" s="24" t="s">
        <v>18</v>
      </c>
      <c r="D39" s="25" t="n">
        <f>247</f>
        <v>247.0</v>
      </c>
      <c r="E39" s="37" t="n">
        <f>165</f>
        <v>165.0</v>
      </c>
      <c r="F39" s="25" t="n">
        <f>211</f>
        <v>211.0</v>
      </c>
      <c r="G39" s="37" t="n">
        <f>20</f>
        <v>20.0</v>
      </c>
      <c r="H39" s="25" t="n">
        <f>458</f>
        <v>458.0</v>
      </c>
      <c r="I39" s="37" t="n">
        <f>185</f>
        <v>185.0</v>
      </c>
      <c r="J39" s="25" t="n">
        <f>36840000</f>
        <v>3.684E7</v>
      </c>
      <c r="K39" s="37" t="n">
        <f>23800000</f>
        <v>2.38E7</v>
      </c>
      <c r="L39" s="25" t="n">
        <f>14730000</f>
        <v>1.473E7</v>
      </c>
      <c r="M39" s="37" t="n">
        <f>1800000</f>
        <v>1800000.0</v>
      </c>
      <c r="N39" s="25" t="n">
        <f>51570000</f>
        <v>5.157E7</v>
      </c>
      <c r="O39" s="37" t="n">
        <f>25600000</f>
        <v>2.56E7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1465</f>
        <v>1465.0</v>
      </c>
      <c r="E41" s="36" t="n">
        <f>0</f>
        <v>0.0</v>
      </c>
      <c r="F41" s="21" t="n">
        <f>462</f>
        <v>462.0</v>
      </c>
      <c r="G41" s="36" t="n">
        <f>0</f>
        <v>0.0</v>
      </c>
      <c r="H41" s="21" t="n">
        <f>1927</f>
        <v>1927.0</v>
      </c>
      <c r="I41" s="36" t="n">
        <f>0</f>
        <v>0.0</v>
      </c>
      <c r="J41" s="21" t="n">
        <f>8332264</f>
        <v>8332264.0</v>
      </c>
      <c r="K41" s="36" t="n">
        <f>0</f>
        <v>0.0</v>
      </c>
      <c r="L41" s="21" t="n">
        <f>2570708</f>
        <v>2570708.0</v>
      </c>
      <c r="M41" s="36" t="n">
        <f>0</f>
        <v>0.0</v>
      </c>
      <c r="N41" s="21" t="n">
        <f>10902972</f>
        <v>1.0902972E7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1527</f>
        <v>1527.0</v>
      </c>
      <c r="E42" s="36" t="n">
        <f>0</f>
        <v>0.0</v>
      </c>
      <c r="F42" s="21" t="n">
        <f>3649</f>
        <v>3649.0</v>
      </c>
      <c r="G42" s="36" t="n">
        <f>0</f>
        <v>0.0</v>
      </c>
      <c r="H42" s="21" t="n">
        <f>5176</f>
        <v>5176.0</v>
      </c>
      <c r="I42" s="36" t="n">
        <f>0</f>
        <v>0.0</v>
      </c>
      <c r="J42" s="21" t="n">
        <f>9928806</f>
        <v>9928806.0</v>
      </c>
      <c r="K42" s="36" t="n">
        <f>0</f>
        <v>0.0</v>
      </c>
      <c r="L42" s="21" t="n">
        <f>6783824</f>
        <v>6783824.0</v>
      </c>
      <c r="M42" s="36" t="n">
        <f>0</f>
        <v>0.0</v>
      </c>
      <c r="N42" s="21" t="n">
        <f>16712630</f>
        <v>1.671263E7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2992</f>
        <v>2992.0</v>
      </c>
      <c r="E43" s="37" t="n">
        <f>0</f>
        <v>0.0</v>
      </c>
      <c r="F43" s="25" t="n">
        <f>4111</f>
        <v>4111.0</v>
      </c>
      <c r="G43" s="37" t="n">
        <f>0</f>
        <v>0.0</v>
      </c>
      <c r="H43" s="25" t="n">
        <f>7103</f>
        <v>7103.0</v>
      </c>
      <c r="I43" s="37" t="n">
        <f>0</f>
        <v>0.0</v>
      </c>
      <c r="J43" s="25" t="n">
        <f>18261070</f>
        <v>1.826107E7</v>
      </c>
      <c r="K43" s="37" t="n">
        <f>0</f>
        <v>0.0</v>
      </c>
      <c r="L43" s="25" t="n">
        <f>9354532</f>
        <v>9354532.0</v>
      </c>
      <c r="M43" s="37" t="n">
        <f>0</f>
        <v>0.0</v>
      </c>
      <c r="N43" s="25" t="n">
        <f>27615602</f>
        <v>2.7615602E7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