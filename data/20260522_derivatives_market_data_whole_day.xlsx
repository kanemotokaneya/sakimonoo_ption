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<sst xmlns="http://schemas.openxmlformats.org/spreadsheetml/2006/main" count="528" uniqueCount="129">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</sst>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DATE(2026,05,22)</f>
        <v>46164.0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DATE(2026,05,22)</f>
        <v>46164.0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874654.0</f>
        <v>874654.0</v>
      </c>
      <c r="E12" s="18" t="n">
        <f>38252.0</f>
        <v>38252.0</v>
      </c>
      <c r="F12" s="19" t="n">
        <f>1.0</f>
        <v>1.0</v>
      </c>
      <c r="G12" s="17" t="n">
        <f>5728282273655.0</f>
        <v>5.728282273655E12</v>
      </c>
      <c r="H12" s="18" t="n">
        <f>293780147380.0</f>
        <v>2.9378014738E11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390649.0</f>
        <v>390649.0</v>
      </c>
      <c r="E13" s="22" t="n">
        <f>23844.0</f>
        <v>23844.0</v>
      </c>
      <c r="F13" s="23" t="n">
        <f>1.0</f>
        <v>1.0</v>
      </c>
      <c r="G13" s="21" t="n">
        <f>3787595160693.0</f>
        <v>3.787595160693E12</v>
      </c>
      <c r="H13" s="22" t="n">
        <f>279983372018.0</f>
        <v>2.79983372018E11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449593.0</f>
        <v>449593.0</v>
      </c>
      <c r="E14" s="22" t="n">
        <f>43109.0</f>
        <v>43109.0</v>
      </c>
      <c r="F14" s="23" t="n">
        <f>1.0</f>
        <v>1.0</v>
      </c>
      <c r="G14" s="21" t="n">
        <f>6179156660512.0</f>
        <v>6.179156660512E12</v>
      </c>
      <c r="H14" s="22" t="n">
        <f>1306228873737.0</f>
        <v>1.306228873737E12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1714896.0</f>
        <v>1714896.0</v>
      </c>
      <c r="E15" s="26" t="n">
        <f>105205.0</f>
        <v>105205.0</v>
      </c>
      <c r="F15" s="27" t="n">
        <f>1.0</f>
        <v>1.0</v>
      </c>
      <c r="G15" s="25" t="n">
        <f>15695034094860.0</f>
        <v>1.569503409486E13</v>
      </c>
      <c r="H15" s="26" t="n">
        <f>1879992393135.0</f>
        <v>1.879992393135E12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15281.0</f>
        <v>15281.0</v>
      </c>
      <c r="E16" s="18" t="n">
        <f>93.0</f>
        <v>93.0</v>
      </c>
      <c r="F16" s="19" t="n">
        <f>0.017</f>
        <v>0.017</v>
      </c>
      <c r="G16" s="17" t="n">
        <f>1641250538125.0</f>
        <v>1.641250538125E12</v>
      </c>
      <c r="H16" s="18" t="n">
        <f>11898290000.0</f>
        <v>1.189829E10</v>
      </c>
      <c r="I16" s="19" t="n">
        <f>0.287</f>
        <v>0.287</v>
      </c>
    </row>
    <row r="17" spans="1:9" ht="24.9" customHeight="1">
      <c r="A17" s="41"/>
      <c r="B17" s="39"/>
      <c r="C17" s="20" t="s">
        <v>16</v>
      </c>
      <c r="D17" s="21" t="n">
        <f>13017.0</f>
        <v>13017.0</v>
      </c>
      <c r="E17" s="22" t="n">
        <f>1018.0</f>
        <v>1018.0</v>
      </c>
      <c r="F17" s="23" t="n">
        <f>0.033</f>
        <v>0.033</v>
      </c>
      <c r="G17" s="21" t="n">
        <f>1480260053125.0</f>
        <v>1.480260053125E12</v>
      </c>
      <c r="H17" s="22" t="n">
        <f>82655150000.0</f>
        <v>8.265515E10</v>
      </c>
      <c r="I17" s="23" t="n">
        <f>0.391</f>
        <v>0.391</v>
      </c>
    </row>
    <row r="18" spans="1:9" ht="24.9" customHeight="1">
      <c r="A18" s="41"/>
      <c r="B18" s="39"/>
      <c r="C18" s="20" t="s">
        <v>17</v>
      </c>
      <c r="D18" s="21" t="n">
        <f>19371.0</f>
        <v>19371.0</v>
      </c>
      <c r="E18" s="22" t="n">
        <f>1160.0</f>
        <v>1160.0</v>
      </c>
      <c r="F18" s="23" t="n">
        <f>0.043</f>
        <v>0.043</v>
      </c>
      <c r="G18" s="21" t="n">
        <f>2219548420625.0</f>
        <v>2.219548420625E12</v>
      </c>
      <c r="H18" s="22" t="n">
        <f>148325050000.0</f>
        <v>1.4832505E11</v>
      </c>
      <c r="I18" s="23" t="n">
        <f>0.359</f>
        <v>0.359</v>
      </c>
    </row>
    <row r="19" spans="1:9" ht="24.9" customHeight="1">
      <c r="A19" s="41"/>
      <c r="B19" s="39"/>
      <c r="C19" s="24" t="s">
        <v>18</v>
      </c>
      <c r="D19" s="25" t="n">
        <f>47669.0</f>
        <v>47669.0</v>
      </c>
      <c r="E19" s="26" t="n">
        <f>2271.0</f>
        <v>2271.0</v>
      </c>
      <c r="F19" s="27" t="n">
        <f>0.028</f>
        <v>0.028</v>
      </c>
      <c r="G19" s="25" t="n">
        <f>5341059011875.0</f>
        <v>5.341059011875E12</v>
      </c>
      <c r="H19" s="26" t="n">
        <f>242878490000.0</f>
        <v>2.4287849E11</v>
      </c>
      <c r="I19" s="27" t="n">
        <f>0.34</f>
        <v>0.34</v>
      </c>
    </row>
    <row r="20" spans="1:9" ht="24.9" customHeight="1">
      <c r="A20" s="41"/>
      <c r="B20" s="39" t="s">
        <v>21</v>
      </c>
      <c r="C20" s="16" t="s">
        <v>15</v>
      </c>
      <c r="D20" s="17" t="n">
        <f>842372.0</f>
        <v>842372.0</v>
      </c>
      <c r="E20" s="18" t="n">
        <f>38159.0</f>
        <v>38159.0</v>
      </c>
      <c r="F20" s="19" t="n">
        <f>0.963</f>
        <v>0.963</v>
      </c>
      <c r="G20" s="17" t="n">
        <f>3919456490030.0</f>
        <v>3.91945649003E12</v>
      </c>
      <c r="H20" s="18" t="n">
        <f>281881857380.0</f>
        <v>2.8188185738E11</v>
      </c>
      <c r="I20" s="19" t="n">
        <f>0.684</f>
        <v>0.684</v>
      </c>
    </row>
    <row r="21" spans="1:9" ht="24.9" customHeight="1">
      <c r="A21" s="41"/>
      <c r="B21" s="39"/>
      <c r="C21" s="20" t="s">
        <v>16</v>
      </c>
      <c r="D21" s="21" t="n">
        <f>373413.0</f>
        <v>373413.0</v>
      </c>
      <c r="E21" s="22" t="n">
        <f>22826.0</f>
        <v>22826.0</v>
      </c>
      <c r="F21" s="23" t="n">
        <f>0.956</f>
        <v>0.956</v>
      </c>
      <c r="G21" s="21" t="n">
        <f>2271498802668.0</f>
        <v>2.271498802668E12</v>
      </c>
      <c r="H21" s="22" t="n">
        <f>197328222018.0</f>
        <v>1.97328222018E11</v>
      </c>
      <c r="I21" s="23" t="n">
        <f>0.6</f>
        <v>0.6</v>
      </c>
    </row>
    <row r="22" spans="1:9" ht="24.9" customHeight="1">
      <c r="A22" s="41"/>
      <c r="B22" s="39"/>
      <c r="C22" s="20" t="s">
        <v>17</v>
      </c>
      <c r="D22" s="21" t="n">
        <f>423366.0</f>
        <v>423366.0</v>
      </c>
      <c r="E22" s="22" t="n">
        <f>41831.0</f>
        <v>41831.0</v>
      </c>
      <c r="F22" s="23" t="n">
        <f>0.942</f>
        <v>0.942</v>
      </c>
      <c r="G22" s="21" t="n">
        <f>3894828235537.0</f>
        <v>3.894828235537E12</v>
      </c>
      <c r="H22" s="22" t="n">
        <f>1157681249337.0</f>
        <v>1.157681249337E12</v>
      </c>
      <c r="I22" s="23" t="n">
        <f>0.63</f>
        <v>0.63</v>
      </c>
    </row>
    <row r="23" spans="1:9" ht="24.9" customHeight="1">
      <c r="A23" s="41"/>
      <c r="B23" s="39"/>
      <c r="C23" s="24" t="s">
        <v>18</v>
      </c>
      <c r="D23" s="25" t="n">
        <f>1639151.0</f>
        <v>1639151.0</v>
      </c>
      <c r="E23" s="26" t="n">
        <f>102816.0</f>
        <v>102816.0</v>
      </c>
      <c r="F23" s="27" t="n">
        <f>0.956</f>
        <v>0.956</v>
      </c>
      <c r="G23" s="25" t="n">
        <f>10085783528235.0</f>
        <v>1.0085783528235E13</v>
      </c>
      <c r="H23" s="26" t="n">
        <f>1636891328735.0</f>
        <v>1.636891328735E12</v>
      </c>
      <c r="I23" s="27" t="n">
        <f>0.643</f>
        <v>0.643</v>
      </c>
    </row>
    <row r="24" spans="1:9" ht="24.9" customHeight="1">
      <c r="A24" s="41"/>
      <c r="B24" s="39" t="s">
        <v>22</v>
      </c>
      <c r="C24" s="16" t="s">
        <v>15</v>
      </c>
      <c r="D24" s="17" t="n">
        <f>15963.0</f>
        <v>15963.0</v>
      </c>
      <c r="E24" s="18" t="n">
        <f>0.0</f>
        <v>0.0</v>
      </c>
      <c r="F24" s="19" t="n">
        <f>0.018</f>
        <v>0.018</v>
      </c>
      <c r="G24" s="17" t="n">
        <f>163035158500.0</f>
        <v>1.630351585E11</v>
      </c>
      <c r="H24" s="18" t="n">
        <f>0.0</f>
        <v>0.0</v>
      </c>
      <c r="I24" s="19" t="n">
        <f>0.028</f>
        <v>0.028</v>
      </c>
    </row>
    <row r="25" spans="1:9" ht="24.9" customHeight="1">
      <c r="A25" s="41"/>
      <c r="B25" s="39"/>
      <c r="C25" s="20" t="s">
        <v>16</v>
      </c>
      <c r="D25" s="21" t="n">
        <f>4086.0</f>
        <v>4086.0</v>
      </c>
      <c r="E25" s="22" t="n">
        <f>0.0</f>
        <v>0.0</v>
      </c>
      <c r="F25" s="23" t="n">
        <f>0.01</f>
        <v>0.01</v>
      </c>
      <c r="G25" s="21" t="n">
        <f>35263054900.0</f>
        <v>3.52630549E10</v>
      </c>
      <c r="H25" s="22" t="n">
        <f>0.0</f>
        <v>0.0</v>
      </c>
      <c r="I25" s="23" t="n">
        <f>0.009</f>
        <v>0.009</v>
      </c>
    </row>
    <row r="26" spans="1:9" ht="24.9" customHeight="1">
      <c r="A26" s="41"/>
      <c r="B26" s="39"/>
      <c r="C26" s="20" t="s">
        <v>17</v>
      </c>
      <c r="D26" s="21" t="n">
        <f>5661.0</f>
        <v>5661.0</v>
      </c>
      <c r="E26" s="22" t="n">
        <f>82.0</f>
        <v>82.0</v>
      </c>
      <c r="F26" s="23" t="n">
        <f>0.013</f>
        <v>0.013</v>
      </c>
      <c r="G26" s="21" t="n">
        <f>59667838450.0</f>
        <v>5.966783845E10</v>
      </c>
      <c r="H26" s="22" t="n">
        <f>162770000.0</f>
        <v>1.6277E8</v>
      </c>
      <c r="I26" s="23" t="n">
        <f>0.01</f>
        <v>0.01</v>
      </c>
    </row>
    <row r="27" spans="1:9" ht="24.9" customHeight="1">
      <c r="A27" s="42"/>
      <c r="B27" s="39"/>
      <c r="C27" s="24" t="s">
        <v>18</v>
      </c>
      <c r="D27" s="25" t="n">
        <f>25710.0</f>
        <v>25710.0</v>
      </c>
      <c r="E27" s="26" t="n">
        <f>82.0</f>
        <v>82.0</v>
      </c>
      <c r="F27" s="27" t="n">
        <f>0.015</f>
        <v>0.015</v>
      </c>
      <c r="G27" s="25" t="n">
        <f>257966051850.0</f>
        <v>2.5796605185E11</v>
      </c>
      <c r="H27" s="26" t="n">
        <f>162770000.0</f>
        <v>1.6277E8</v>
      </c>
      <c r="I27" s="27" t="n">
        <f>0.016</f>
        <v>0.016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1038.0</f>
        <v>1038.0</v>
      </c>
      <c r="E28" s="18" t="n">
        <f>0.0</f>
        <v>0.0</v>
      </c>
      <c r="F28" s="19" t="n">
        <f>0.001</f>
        <v>0.001</v>
      </c>
      <c r="G28" s="17" t="n">
        <f>4540087000.0</f>
        <v>4.540087E9</v>
      </c>
      <c r="H28" s="18" t="n">
        <f>0.0</f>
        <v>0.0</v>
      </c>
      <c r="I28" s="19" t="n">
        <f>0.001</f>
        <v>0.001</v>
      </c>
    </row>
    <row r="29" spans="1:9" ht="24.9" customHeight="1">
      <c r="A29" s="38"/>
      <c r="B29" s="39"/>
      <c r="C29" s="20" t="s">
        <v>16</v>
      </c>
      <c r="D29" s="21" t="n">
        <f>133.0</f>
        <v>133.0</v>
      </c>
      <c r="E29" s="22" t="n">
        <f>0.0</f>
        <v>0.0</v>
      </c>
      <c r="F29" s="23" t="n">
        <f>0.0</f>
        <v>0.0</v>
      </c>
      <c r="G29" s="21" t="n">
        <f>573250000.0</f>
        <v>5.7325E8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1195.0</f>
        <v>1195.0</v>
      </c>
      <c r="E30" s="22" t="n">
        <f>36.0</f>
        <v>36.0</v>
      </c>
      <c r="F30" s="23" t="n">
        <f>0.003</f>
        <v>0.003</v>
      </c>
      <c r="G30" s="21" t="n">
        <f>5112165900.0</f>
        <v>5.1121659E9</v>
      </c>
      <c r="H30" s="22" t="n">
        <f>59804400.0</f>
        <v>5.98044E7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2366.0</f>
        <v>2366.0</v>
      </c>
      <c r="E31" s="26" t="n">
        <f>36.0</f>
        <v>36.0</v>
      </c>
      <c r="F31" s="27" t="n">
        <f>0.001</f>
        <v>0.001</v>
      </c>
      <c r="G31" s="25" t="n">
        <f>10225502900.0</f>
        <v>1.02255029E10</v>
      </c>
      <c r="H31" s="26" t="n">
        <f>59804400.0</f>
        <v>5.98044E7</v>
      </c>
      <c r="I31" s="27" t="n">
        <f>0.001</f>
        <v>0.001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46164.0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46164.0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16031</f>
        <v>16031.0</v>
      </c>
      <c r="E11" s="18" t="n">
        <f>2959</f>
        <v>2959.0</v>
      </c>
      <c r="F11" s="19" t="n">
        <f>1</f>
        <v>1.0</v>
      </c>
      <c r="G11" s="17" t="n">
        <f>2500924130</f>
        <v>2.50092413E9</v>
      </c>
      <c r="H11" s="18" t="n">
        <f>1000501930</f>
        <v>1.00050193E9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41195</f>
        <v>41195.0</v>
      </c>
      <c r="E12" s="22" t="n">
        <f>4464</f>
        <v>4464.0</v>
      </c>
      <c r="F12" s="23" t="n">
        <f>1</f>
        <v>1.0</v>
      </c>
      <c r="G12" s="21" t="n">
        <f>4274542171</f>
        <v>4.274542171E9</v>
      </c>
      <c r="H12" s="22" t="n">
        <f>1376681550</f>
        <v>1.37668155E9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264659</f>
        <v>264659.0</v>
      </c>
      <c r="E13" s="22" t="n">
        <f>235787</f>
        <v>235787.0</v>
      </c>
      <c r="F13" s="23" t="n">
        <f>1</f>
        <v>1.0</v>
      </c>
      <c r="G13" s="21" t="n">
        <f>28125008747</f>
        <v>2.8125008747E10</v>
      </c>
      <c r="H13" s="22" t="n">
        <f>23909436733</f>
        <v>2.3909436733E10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321885</f>
        <v>321885.0</v>
      </c>
      <c r="E14" s="26" t="n">
        <f>243210</f>
        <v>243210.0</v>
      </c>
      <c r="F14" s="27" t="n">
        <f>1</f>
        <v>1.0</v>
      </c>
      <c r="G14" s="25" t="n">
        <f>34900475048</f>
        <v>3.4900475048E10</v>
      </c>
      <c r="H14" s="26" t="n">
        <f>26286620213</f>
        <v>2.6286620213E10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0</f>
        <v>0.0</v>
      </c>
      <c r="E15" s="18" t="n">
        <f>0</f>
        <v>0.0</v>
      </c>
      <c r="F15" s="19" t="n">
        <f>0</f>
        <v>0.0</v>
      </c>
      <c r="G15" s="17" t="n">
        <f>0</f>
        <v>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50</f>
        <v>50.0</v>
      </c>
      <c r="E16" s="22" t="n">
        <f>0</f>
        <v>0.0</v>
      </c>
      <c r="F16" s="23" t="n">
        <f>0.001</f>
        <v>0.001</v>
      </c>
      <c r="G16" s="21" t="n">
        <f>14050000</f>
        <v>1.405E7</v>
      </c>
      <c r="H16" s="22" t="n">
        <f>0</f>
        <v>0.0</v>
      </c>
      <c r="I16" s="23" t="n">
        <f>0.003</f>
        <v>0.003</v>
      </c>
    </row>
    <row r="17" spans="1:9" ht="24.9" customHeight="1">
      <c r="A17" s="41"/>
      <c r="B17" s="39"/>
      <c r="C17" s="20" t="s">
        <v>17</v>
      </c>
      <c r="D17" s="21" t="n">
        <f>78</f>
        <v>78.0</v>
      </c>
      <c r="E17" s="22" t="n">
        <f>0</f>
        <v>0.0</v>
      </c>
      <c r="F17" s="23" t="n">
        <f>0</f>
        <v>0.0</v>
      </c>
      <c r="G17" s="21" t="n">
        <f>11610000</f>
        <v>1.161E7</v>
      </c>
      <c r="H17" s="22" t="n">
        <f>0</f>
        <v>0.0</v>
      </c>
      <c r="I17" s="23" t="n">
        <f>0</f>
        <v>0.0</v>
      </c>
    </row>
    <row r="18" spans="1:9" ht="24.9" customHeight="1">
      <c r="A18" s="41"/>
      <c r="B18" s="39"/>
      <c r="C18" s="24" t="s">
        <v>18</v>
      </c>
      <c r="D18" s="25" t="n">
        <f>128</f>
        <v>128.0</v>
      </c>
      <c r="E18" s="26" t="n">
        <f>0</f>
        <v>0.0</v>
      </c>
      <c r="F18" s="27" t="n">
        <f>0</f>
        <v>0.0</v>
      </c>
      <c r="G18" s="25" t="n">
        <f>25660000</f>
        <v>2.566E7</v>
      </c>
      <c r="H18" s="26" t="n">
        <f>0</f>
        <v>0.0</v>
      </c>
      <c r="I18" s="27" t="n">
        <f>0.001</f>
        <v>0.001</v>
      </c>
    </row>
    <row r="19" spans="1:9" ht="24.9" customHeight="1">
      <c r="A19" s="41"/>
      <c r="B19" s="39" t="s">
        <v>31</v>
      </c>
      <c r="C19" s="16" t="s">
        <v>15</v>
      </c>
      <c r="D19" s="17" t="n">
        <f>16031</f>
        <v>16031.0</v>
      </c>
      <c r="E19" s="18" t="n">
        <f>2959</f>
        <v>2959.0</v>
      </c>
      <c r="F19" s="19" t="n">
        <f>1</f>
        <v>1.0</v>
      </c>
      <c r="G19" s="17" t="n">
        <f>2500924130</f>
        <v>2.50092413E9</v>
      </c>
      <c r="H19" s="18" t="n">
        <f>1000501930</f>
        <v>1.00050193E9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28898</f>
        <v>28898.0</v>
      </c>
      <c r="E20" s="22" t="n">
        <f>2514</f>
        <v>2514.0</v>
      </c>
      <c r="F20" s="23" t="n">
        <f>0.701</f>
        <v>0.701</v>
      </c>
      <c r="G20" s="21" t="n">
        <f>4195095850</f>
        <v>4.19509585E9</v>
      </c>
      <c r="H20" s="22" t="n">
        <f>1351676550</f>
        <v>1.35167655E9</v>
      </c>
      <c r="I20" s="23" t="n">
        <f>0.981</f>
        <v>0.981</v>
      </c>
    </row>
    <row r="21" spans="1:9" ht="24.9" customHeight="1">
      <c r="A21" s="41"/>
      <c r="B21" s="39"/>
      <c r="C21" s="20" t="s">
        <v>17</v>
      </c>
      <c r="D21" s="21" t="n">
        <f>48239</f>
        <v>48239.0</v>
      </c>
      <c r="E21" s="22" t="n">
        <f>22887</f>
        <v>22887.0</v>
      </c>
      <c r="F21" s="23" t="n">
        <f>0.182</f>
        <v>0.182</v>
      </c>
      <c r="G21" s="21" t="n">
        <f>26784429033</f>
        <v>2.6784429033E10</v>
      </c>
      <c r="H21" s="22" t="n">
        <f>22614776733</f>
        <v>2.2614776733E10</v>
      </c>
      <c r="I21" s="23" t="n">
        <f>0.952</f>
        <v>0.952</v>
      </c>
    </row>
    <row r="22" spans="1:9" ht="24.9" customHeight="1">
      <c r="A22" s="41"/>
      <c r="B22" s="39"/>
      <c r="C22" s="24" t="s">
        <v>18</v>
      </c>
      <c r="D22" s="25" t="n">
        <f>93168</f>
        <v>93168.0</v>
      </c>
      <c r="E22" s="26" t="n">
        <f>28360</f>
        <v>28360.0</v>
      </c>
      <c r="F22" s="27" t="n">
        <f>0.289</f>
        <v>0.289</v>
      </c>
      <c r="G22" s="25" t="n">
        <f>33480449013</f>
        <v>3.3480449013E10</v>
      </c>
      <c r="H22" s="26" t="n">
        <f>24966955213</f>
        <v>2.4966955213E10</v>
      </c>
      <c r="I22" s="27" t="n">
        <f>0.959</f>
        <v>0.959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12247</f>
        <v>12247.0</v>
      </c>
      <c r="E24" s="22" t="n">
        <f>1950</f>
        <v>1950.0</v>
      </c>
      <c r="F24" s="23" t="n">
        <f>0.297</f>
        <v>0.297</v>
      </c>
      <c r="G24" s="21" t="n">
        <f>65396321</f>
        <v>6.5396321E7</v>
      </c>
      <c r="H24" s="22" t="n">
        <f>25005000</f>
        <v>2.5005E7</v>
      </c>
      <c r="I24" s="23" t="n">
        <f>0.015</f>
        <v>0.015</v>
      </c>
    </row>
    <row r="25" spans="1:9" ht="24.9" customHeight="1">
      <c r="A25" s="41"/>
      <c r="B25" s="39"/>
      <c r="C25" s="20" t="s">
        <v>17</v>
      </c>
      <c r="D25" s="21" t="n">
        <f>216342</f>
        <v>216342.0</v>
      </c>
      <c r="E25" s="22" t="n">
        <f>212900</f>
        <v>212900.0</v>
      </c>
      <c r="F25" s="23" t="n">
        <f>0.817</f>
        <v>0.817</v>
      </c>
      <c r="G25" s="21" t="n">
        <f>1328969714</f>
        <v>1.328969714E9</v>
      </c>
      <c r="H25" s="22" t="n">
        <f>1294660000</f>
        <v>1.29466E9</v>
      </c>
      <c r="I25" s="23" t="n">
        <f>0.047</f>
        <v>0.047</v>
      </c>
    </row>
    <row r="26" spans="1:9" ht="24.9" customHeight="1">
      <c r="A26" s="41"/>
      <c r="B26" s="39"/>
      <c r="C26" s="24" t="s">
        <v>18</v>
      </c>
      <c r="D26" s="25" t="n">
        <f>228589</f>
        <v>228589.0</v>
      </c>
      <c r="E26" s="26" t="n">
        <f>214850</f>
        <v>214850.0</v>
      </c>
      <c r="F26" s="27" t="n">
        <f>0.71</f>
        <v>0.71</v>
      </c>
      <c r="G26" s="25" t="n">
        <f>1394366035</f>
        <v>1.394366035E9</v>
      </c>
      <c r="H26" s="26" t="n">
        <f>1319665000</f>
        <v>1.319665E9</v>
      </c>
      <c r="I26" s="27" t="n">
        <f>0.04</f>
        <v>0.04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46164.0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46164.0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12829.0</v>
      </c>
      <c r="F12" s="18" t="n">
        <f>798</f>
        <v>798.0</v>
      </c>
      <c r="G12" s="17" t="n">
        <v>7.906495081E11</v>
      </c>
      <c r="H12" s="18" t="n">
        <f>49192858100</f>
        <v>4.91928581E10</v>
      </c>
    </row>
    <row r="13" spans="1:8" ht="24.9" customHeight="1">
      <c r="A13" s="51"/>
      <c r="B13" s="57"/>
      <c r="C13" s="39"/>
      <c r="D13" s="20" t="s">
        <v>16</v>
      </c>
      <c r="E13" s="21" t="n">
        <v>10296.0</v>
      </c>
      <c r="F13" s="22" t="n">
        <f>880</f>
        <v>880.0</v>
      </c>
      <c r="G13" s="21" t="n">
        <v>6.4540195094E11</v>
      </c>
      <c r="H13" s="22" t="n">
        <f>55171980940</f>
        <v>5.517198094E10</v>
      </c>
    </row>
    <row r="14" spans="1:8" ht="24.9" customHeight="1">
      <c r="A14" s="51"/>
      <c r="B14" s="57"/>
      <c r="C14" s="39"/>
      <c r="D14" s="20" t="s">
        <v>17</v>
      </c>
      <c r="E14" s="21" t="n">
        <v>24789.0</v>
      </c>
      <c r="F14" s="22" t="n">
        <f>10684</f>
        <v>10684.0</v>
      </c>
      <c r="G14" s="21" t="n">
        <v>1.5691606299E12</v>
      </c>
      <c r="H14" s="22" t="n">
        <f>676090625900</f>
        <v>6.760906259E11</v>
      </c>
    </row>
    <row r="15" spans="1:8" ht="24.9" customHeight="1">
      <c r="A15" s="51"/>
      <c r="B15" s="57"/>
      <c r="C15" s="39"/>
      <c r="D15" s="24" t="s">
        <v>18</v>
      </c>
      <c r="E15" s="25" t="n">
        <v>47914.0</v>
      </c>
      <c r="F15" s="26" t="n">
        <f>12362</f>
        <v>12362.0</v>
      </c>
      <c r="G15" s="25" t="n">
        <v>3.00521208894E12</v>
      </c>
      <c r="H15" s="26" t="n">
        <f>780455464940</f>
        <v>7.8045546494E11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327546.0</v>
      </c>
      <c r="F16" s="18" t="n">
        <f>36881</f>
        <v>36881.0</v>
      </c>
      <c r="G16" s="17" t="n">
        <v>2.01741126073E12</v>
      </c>
      <c r="H16" s="18" t="n">
        <f>226931621730</f>
        <v>2.2693162173E11</v>
      </c>
    </row>
    <row r="17" spans="1:8" ht="24.9" customHeight="1">
      <c r="A17" s="51"/>
      <c r="B17" s="57"/>
      <c r="C17" s="39"/>
      <c r="D17" s="20" t="s">
        <v>16</v>
      </c>
      <c r="E17" s="21" t="n">
        <v>164701.0</v>
      </c>
      <c r="F17" s="22" t="n">
        <f>20788</f>
        <v>20788.0</v>
      </c>
      <c r="G17" s="21" t="n">
        <v>1.03321287077E12</v>
      </c>
      <c r="H17" s="22" t="n">
        <f>130409395270</f>
        <v>1.3040939527E11</v>
      </c>
    </row>
    <row r="18" spans="1:8" ht="24.9" customHeight="1">
      <c r="A18" s="51"/>
      <c r="B18" s="57"/>
      <c r="C18" s="39"/>
      <c r="D18" s="20" t="s">
        <v>17</v>
      </c>
      <c r="E18" s="21" t="n">
        <v>165284.0</v>
      </c>
      <c r="F18" s="22" t="n">
        <f>21039</f>
        <v>21039.0</v>
      </c>
      <c r="G18" s="21" t="n">
        <v>1.04634507501E12</v>
      </c>
      <c r="H18" s="22" t="n">
        <f>133158746510</f>
        <v>1.3315874651E11</v>
      </c>
    </row>
    <row r="19" spans="1:8" ht="24.9" customHeight="1">
      <c r="A19" s="51"/>
      <c r="B19" s="57"/>
      <c r="C19" s="39"/>
      <c r="D19" s="24" t="s">
        <v>18</v>
      </c>
      <c r="E19" s="25" t="n">
        <v>657531.0</v>
      </c>
      <c r="F19" s="26" t="n">
        <f>78708</f>
        <v>78708.0</v>
      </c>
      <c r="G19" s="25" t="n">
        <v>4.09696920651E12</v>
      </c>
      <c r="H19" s="26" t="n">
        <f>490499763510</f>
        <v>4.9049976351E11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469605.0</v>
      </c>
      <c r="F20" s="18" t="str">
        <f>"－"</f>
        <v>－</v>
      </c>
      <c r="G20" s="17" t="n">
        <v>2.8920243345E11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177430.0</v>
      </c>
      <c r="F21" s="22" t="str">
        <f>"－"</f>
        <v>－</v>
      </c>
      <c r="G21" s="21" t="n">
        <v>1.113130425E11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193952.0</v>
      </c>
      <c r="F22" s="22" t="str">
        <f>"－"</f>
        <v>－</v>
      </c>
      <c r="G22" s="21" t="n">
        <v>1.227796625E11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840987.0</v>
      </c>
      <c r="F23" s="26" t="str">
        <f>"－"</f>
        <v>－</v>
      </c>
      <c r="G23" s="25" t="n">
        <v>5.2329513845E11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20385.0</v>
      </c>
      <c r="F24" s="18" t="n">
        <f>114</f>
        <v>114.0</v>
      </c>
      <c r="G24" s="17" t="n">
        <v>7.85269793E11</v>
      </c>
      <c r="H24" s="18" t="n">
        <f>4394468000</f>
        <v>4.394468E9</v>
      </c>
    </row>
    <row r="25" spans="1:8" ht="24.9" customHeight="1">
      <c r="A25" s="51"/>
      <c r="B25" s="57"/>
      <c r="C25" s="39"/>
      <c r="D25" s="20" t="s">
        <v>16</v>
      </c>
      <c r="E25" s="21" t="n">
        <v>11596.0</v>
      </c>
      <c r="F25" s="22" t="n">
        <f>225</f>
        <v>225.0</v>
      </c>
      <c r="G25" s="21" t="n">
        <v>4.5042752655E11</v>
      </c>
      <c r="H25" s="22" t="n">
        <f>8727341550</f>
        <v>8.72734155E9</v>
      </c>
    </row>
    <row r="26" spans="1:8" ht="24.9" customHeight="1">
      <c r="A26" s="51"/>
      <c r="B26" s="57"/>
      <c r="C26" s="39"/>
      <c r="D26" s="20" t="s">
        <v>17</v>
      </c>
      <c r="E26" s="21" t="n">
        <v>28814.0</v>
      </c>
      <c r="F26" s="22" t="n">
        <f>8886</f>
        <v>8886.0</v>
      </c>
      <c r="G26" s="21" t="n">
        <v>1.121955749752E12</v>
      </c>
      <c r="H26" s="22" t="n">
        <f>345640260752</f>
        <v>3.45640260752E11</v>
      </c>
    </row>
    <row r="27" spans="1:8" ht="24.9" customHeight="1">
      <c r="A27" s="51"/>
      <c r="B27" s="57"/>
      <c r="C27" s="39"/>
      <c r="D27" s="24" t="s">
        <v>18</v>
      </c>
      <c r="E27" s="25" t="n">
        <v>60795.0</v>
      </c>
      <c r="F27" s="26" t="n">
        <f>9225</f>
        <v>9225.0</v>
      </c>
      <c r="G27" s="25" t="n">
        <v>2.357653069302E12</v>
      </c>
      <c r="H27" s="26" t="n">
        <f>358762070302</f>
        <v>3.58762070302E11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6747.0</v>
      </c>
      <c r="F28" s="18" t="n">
        <f>342</f>
        <v>342.0</v>
      </c>
      <c r="G28" s="17" t="n">
        <v>2.598761325E10</v>
      </c>
      <c r="H28" s="18" t="n">
        <f>1316653250</f>
        <v>1.31665325E9</v>
      </c>
    </row>
    <row r="29" spans="1:8" ht="24.9" customHeight="1">
      <c r="A29" s="51"/>
      <c r="B29" s="57"/>
      <c r="C29" s="39"/>
      <c r="D29" s="20" t="s">
        <v>16</v>
      </c>
      <c r="E29" s="21" t="n">
        <v>6525.0</v>
      </c>
      <c r="F29" s="22" t="n">
        <f>537</f>
        <v>537.0</v>
      </c>
      <c r="G29" s="21" t="n">
        <v>2.53362521E10</v>
      </c>
      <c r="H29" s="22" t="n">
        <f>2087498850</f>
        <v>2.08749885E9</v>
      </c>
    </row>
    <row r="30" spans="1:8" ht="24.9" customHeight="1">
      <c r="A30" s="51"/>
      <c r="B30" s="57"/>
      <c r="C30" s="39"/>
      <c r="D30" s="20" t="s">
        <v>17</v>
      </c>
      <c r="E30" s="21" t="n">
        <v>7445.0</v>
      </c>
      <c r="F30" s="22" t="n">
        <f>382</f>
        <v>382.0</v>
      </c>
      <c r="G30" s="21" t="n">
        <v>2.9003904735E10</v>
      </c>
      <c r="H30" s="22" t="n">
        <f>1488390735</f>
        <v>1.488390735E9</v>
      </c>
    </row>
    <row r="31" spans="1:8" ht="24.9" customHeight="1">
      <c r="A31" s="51"/>
      <c r="B31" s="57"/>
      <c r="C31" s="39"/>
      <c r="D31" s="24" t="s">
        <v>18</v>
      </c>
      <c r="E31" s="25" t="n">
        <v>20717.0</v>
      </c>
      <c r="F31" s="26" t="n">
        <f>1261</f>
        <v>1261.0</v>
      </c>
      <c r="G31" s="25" t="n">
        <v>8.0327770085E10</v>
      </c>
      <c r="H31" s="26" t="n">
        <f>4892542835</f>
        <v>4.892542835E9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653.0</v>
      </c>
      <c r="F36" s="18" t="n">
        <f>0</f>
        <v>0.0</v>
      </c>
      <c r="G36" s="17" t="n">
        <v>2.280828E9</v>
      </c>
      <c r="H36" s="18" t="n">
        <f>0</f>
        <v>0.0</v>
      </c>
    </row>
    <row r="37" spans="1:8" ht="24.9" customHeight="1">
      <c r="A37" s="51"/>
      <c r="B37" s="57"/>
      <c r="C37" s="39"/>
      <c r="D37" s="20" t="s">
        <v>16</v>
      </c>
      <c r="E37" s="21" t="n">
        <v>962.0</v>
      </c>
      <c r="F37" s="22" t="n">
        <f>0</f>
        <v>0.0</v>
      </c>
      <c r="G37" s="21" t="n">
        <v>3.379752E9</v>
      </c>
      <c r="H37" s="22" t="n">
        <f>0</f>
        <v>0.0</v>
      </c>
    </row>
    <row r="38" spans="1:8" ht="24.9" customHeight="1">
      <c r="A38" s="51"/>
      <c r="B38" s="57"/>
      <c r="C38" s="39"/>
      <c r="D38" s="20" t="s">
        <v>17</v>
      </c>
      <c r="E38" s="21" t="n">
        <v>816.0</v>
      </c>
      <c r="F38" s="22" t="n">
        <f>5</f>
        <v>5.0</v>
      </c>
      <c r="G38" s="21" t="n">
        <v>2.8808485E9</v>
      </c>
      <c r="H38" s="22" t="n">
        <f>17620000</f>
        <v>1.762E7</v>
      </c>
    </row>
    <row r="39" spans="1:8" ht="24.9" customHeight="1">
      <c r="A39" s="51"/>
      <c r="B39" s="57"/>
      <c r="C39" s="39"/>
      <c r="D39" s="24" t="s">
        <v>18</v>
      </c>
      <c r="E39" s="25" t="n">
        <v>2431.0</v>
      </c>
      <c r="F39" s="26" t="n">
        <f>5</f>
        <v>5.0</v>
      </c>
      <c r="G39" s="25" t="n">
        <v>8.5414285E9</v>
      </c>
      <c r="H39" s="26" t="n">
        <f>17620000</f>
        <v>1.762E7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48.0</v>
      </c>
      <c r="F45" s="22" t="n">
        <f>48</f>
        <v>48.0</v>
      </c>
      <c r="G45" s="21" t="n">
        <v>3.13720208E8</v>
      </c>
      <c r="H45" s="22" t="n">
        <f>313720208</f>
        <v>3.13720208E8</v>
      </c>
    </row>
    <row r="46" spans="1:8" ht="24.9" customHeight="1">
      <c r="A46" s="51"/>
      <c r="B46" s="57"/>
      <c r="C46" s="39"/>
      <c r="D46" s="20" t="s">
        <v>17</v>
      </c>
      <c r="E46" s="21" t="n">
        <v>12.0</v>
      </c>
      <c r="F46" s="22" t="n">
        <f>0</f>
        <v>0.0</v>
      </c>
      <c r="G46" s="21" t="n">
        <v>7.8662E7</v>
      </c>
      <c r="H46" s="22" t="n">
        <f>0</f>
        <v>0.0</v>
      </c>
    </row>
    <row r="47" spans="1:8" ht="24.9" customHeight="1">
      <c r="A47" s="51"/>
      <c r="B47" s="57"/>
      <c r="C47" s="39"/>
      <c r="D47" s="24" t="s">
        <v>18</v>
      </c>
      <c r="E47" s="25" t="n">
        <v>60.0</v>
      </c>
      <c r="F47" s="26" t="n">
        <f>48</f>
        <v>48.0</v>
      </c>
      <c r="G47" s="25" t="n">
        <v>3.92382208E8</v>
      </c>
      <c r="H47" s="26" t="n">
        <f>313720208</f>
        <v>3.13720208E8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2.0</v>
      </c>
      <c r="F48" s="18" t="n">
        <f>2</f>
        <v>2.0</v>
      </c>
      <c r="G48" s="17" t="n">
        <v>3632000.0</v>
      </c>
      <c r="H48" s="18" t="n">
        <f>3632000</f>
        <v>3632000.0</v>
      </c>
    </row>
    <row r="49" spans="1:8" ht="24.9" customHeight="1">
      <c r="A49" s="51"/>
      <c r="B49" s="57"/>
      <c r="C49" s="39"/>
      <c r="D49" s="20" t="s">
        <v>16</v>
      </c>
      <c r="E49" s="21" t="n">
        <v>361.0</v>
      </c>
      <c r="F49" s="22" t="n">
        <f>289</f>
        <v>289.0</v>
      </c>
      <c r="G49" s="21" t="n">
        <v>6.49538E8</v>
      </c>
      <c r="H49" s="22" t="n">
        <f>519993000</f>
        <v>5.19993E8</v>
      </c>
    </row>
    <row r="50" spans="1:8" ht="24.9" customHeight="1">
      <c r="A50" s="51"/>
      <c r="B50" s="57"/>
      <c r="C50" s="39"/>
      <c r="D50" s="20" t="s">
        <v>17</v>
      </c>
      <c r="E50" s="21" t="n">
        <v>645.0</v>
      </c>
      <c r="F50" s="22" t="n">
        <f>611</f>
        <v>611.0</v>
      </c>
      <c r="G50" s="21" t="n">
        <v>1.161318E9</v>
      </c>
      <c r="H50" s="22" t="n">
        <f>1100196000</f>
        <v>1.100196E9</v>
      </c>
    </row>
    <row r="51" spans="1:8" ht="24.9" customHeight="1">
      <c r="A51" s="51"/>
      <c r="B51" s="57"/>
      <c r="C51" s="39"/>
      <c r="D51" s="24" t="s">
        <v>18</v>
      </c>
      <c r="E51" s="25" t="n">
        <v>1008.0</v>
      </c>
      <c r="F51" s="26" t="n">
        <f>902</f>
        <v>902.0</v>
      </c>
      <c r="G51" s="25" t="n">
        <v>1.814488E9</v>
      </c>
      <c r="H51" s="26" t="n">
        <f>1623821000</f>
        <v>1.623821E9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724.0</v>
      </c>
      <c r="F56" s="18" t="n">
        <f>16</f>
        <v>16.0</v>
      </c>
      <c r="G56" s="17" t="n">
        <v>5.700561E8</v>
      </c>
      <c r="H56" s="18" t="n">
        <f>12547100</f>
        <v>1.25471E7</v>
      </c>
    </row>
    <row r="57" spans="1:8" ht="24.9" customHeight="1">
      <c r="A57" s="51"/>
      <c r="B57" s="57"/>
      <c r="C57" s="39"/>
      <c r="D57" s="20" t="s">
        <v>16</v>
      </c>
      <c r="E57" s="21" t="n">
        <v>1357.0</v>
      </c>
      <c r="F57" s="22" t="n">
        <f>47</f>
        <v>47.0</v>
      </c>
      <c r="G57" s="21" t="n">
        <v>1.0927463E9</v>
      </c>
      <c r="H57" s="22" t="n">
        <f>37733300</f>
        <v>3.77333E7</v>
      </c>
    </row>
    <row r="58" spans="1:8" ht="24.9" customHeight="1">
      <c r="A58" s="51"/>
      <c r="B58" s="57"/>
      <c r="C58" s="39"/>
      <c r="D58" s="20" t="s">
        <v>17</v>
      </c>
      <c r="E58" s="21" t="n">
        <v>1540.0</v>
      </c>
      <c r="F58" s="22" t="n">
        <f>224</f>
        <v>224.0</v>
      </c>
      <c r="G58" s="21" t="n">
        <v>1.25763344E9</v>
      </c>
      <c r="H58" s="22" t="n">
        <f>185409440</f>
        <v>1.8540944E8</v>
      </c>
    </row>
    <row r="59" spans="1:8" ht="24.9" customHeight="1">
      <c r="A59" s="51"/>
      <c r="B59" s="57"/>
      <c r="C59" s="39"/>
      <c r="D59" s="24" t="s">
        <v>18</v>
      </c>
      <c r="E59" s="25" t="n">
        <v>3621.0</v>
      </c>
      <c r="F59" s="26" t="n">
        <f>287</f>
        <v>287.0</v>
      </c>
      <c r="G59" s="25" t="n">
        <v>2.92043584E9</v>
      </c>
      <c r="H59" s="26" t="n">
        <f>235689840</f>
        <v>2.3568984E8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225.0</v>
      </c>
      <c r="F60" s="18" t="n">
        <f>6</f>
        <v>6.0</v>
      </c>
      <c r="G60" s="17" t="n">
        <v>1.1269912E9</v>
      </c>
      <c r="H60" s="18" t="n">
        <f>30077200</f>
        <v>3.00772E7</v>
      </c>
    </row>
    <row r="61" spans="1:8" ht="24.9" customHeight="1">
      <c r="A61" s="51"/>
      <c r="B61" s="57"/>
      <c r="C61" s="39"/>
      <c r="D61" s="20" t="s">
        <v>16</v>
      </c>
      <c r="E61" s="21" t="n">
        <v>37.0</v>
      </c>
      <c r="F61" s="22" t="n">
        <f>12</f>
        <v>12.0</v>
      </c>
      <c r="G61" s="21" t="n">
        <v>1.867683E8</v>
      </c>
      <c r="H61" s="22" t="n">
        <f>60558900</f>
        <v>6.05589E7</v>
      </c>
    </row>
    <row r="62" spans="1:8" ht="24.9" customHeight="1">
      <c r="A62" s="51"/>
      <c r="B62" s="57"/>
      <c r="C62" s="39"/>
      <c r="D62" s="20" t="s">
        <v>17</v>
      </c>
      <c r="E62" s="21" t="n">
        <v>17.0</v>
      </c>
      <c r="F62" s="22" t="n">
        <f>0</f>
        <v>0.0</v>
      </c>
      <c r="G62" s="21" t="n">
        <v>8.58992E7</v>
      </c>
      <c r="H62" s="22" t="n">
        <f>0</f>
        <v>0.0</v>
      </c>
    </row>
    <row r="63" spans="1:8" ht="24.9" customHeight="1">
      <c r="A63" s="51"/>
      <c r="B63" s="57"/>
      <c r="C63" s="39"/>
      <c r="D63" s="24" t="s">
        <v>18</v>
      </c>
      <c r="E63" s="25" t="n">
        <v>279.0</v>
      </c>
      <c r="F63" s="26" t="n">
        <f>18</f>
        <v>18.0</v>
      </c>
      <c r="G63" s="25" t="n">
        <v>1.3996587E9</v>
      </c>
      <c r="H63" s="26" t="n">
        <f>90636100</f>
        <v>9.06361E7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0.0</v>
      </c>
      <c r="F77" s="22" t="n">
        <f>0</f>
        <v>0.0</v>
      </c>
      <c r="G77" s="21" t="n">
        <v>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1.0</v>
      </c>
      <c r="F78" s="22" t="n">
        <f>0</f>
        <v>0.0</v>
      </c>
      <c r="G78" s="21" t="n">
        <v>340000.0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1.0</v>
      </c>
      <c r="F79" s="26" t="n">
        <f>0</f>
        <v>0.0</v>
      </c>
      <c r="G79" s="25" t="n">
        <v>340000.0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1506.0</v>
      </c>
      <c r="F92" s="18" t="n">
        <f>0</f>
        <v>0.0</v>
      </c>
      <c r="G92" s="17" t="n">
        <v>2.3916899E9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0.0</v>
      </c>
      <c r="F93" s="22" t="n">
        <f>0</f>
        <v>0.0</v>
      </c>
      <c r="G93" s="21" t="n">
        <v>0.0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1.0</v>
      </c>
      <c r="F94" s="22" t="n">
        <f>0</f>
        <v>0.0</v>
      </c>
      <c r="G94" s="21" t="n">
        <v>1587500.0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1507.0</v>
      </c>
      <c r="F95" s="26" t="n">
        <f>0</f>
        <v>0.0</v>
      </c>
      <c r="G95" s="25" t="n">
        <v>2.3932774E9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1210.0</v>
      </c>
      <c r="F96" s="18" t="n">
        <f>0</f>
        <v>0.0</v>
      </c>
      <c r="G96" s="17" t="n">
        <v>2.8286143E9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50.0</v>
      </c>
      <c r="F98" s="22" t="n">
        <f>0</f>
        <v>0.0</v>
      </c>
      <c r="G98" s="21" t="n">
        <v>1.16925E8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1260.0</v>
      </c>
      <c r="F99" s="26" t="n">
        <f>0</f>
        <v>0.0</v>
      </c>
      <c r="G99" s="25" t="n">
        <v>2.9455393E9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940.0</v>
      </c>
      <c r="F100" s="18" t="n">
        <f>0</f>
        <v>0.0</v>
      </c>
      <c r="G100" s="17" t="n">
        <v>1.73407E9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100.0</v>
      </c>
      <c r="F101" s="22" t="n">
        <f>0</f>
        <v>0.0</v>
      </c>
      <c r="G101" s="21" t="n">
        <v>1.84635E8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1040.0</v>
      </c>
      <c r="F103" s="26" t="n">
        <f>0</f>
        <v>0.0</v>
      </c>
      <c r="G103" s="25" t="n">
        <v>1.918705E9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12246.0</v>
      </c>
      <c r="F108" s="18" t="n">
        <f>93</f>
        <v>93.0</v>
      </c>
      <c r="G108" s="17" t="n">
        <v>1.56622696E12</v>
      </c>
      <c r="H108" s="18" t="n">
        <f>11898290000</f>
        <v>1.189829E10</v>
      </c>
    </row>
    <row r="109" spans="1:8" ht="24.9" customHeight="1">
      <c r="A109" s="51"/>
      <c r="B109" s="57"/>
      <c r="C109" s="39"/>
      <c r="D109" s="20" t="s">
        <v>16</v>
      </c>
      <c r="E109" s="21" t="n">
        <v>11330.0</v>
      </c>
      <c r="F109" s="22" t="n">
        <f>618</f>
        <v>618.0</v>
      </c>
      <c r="G109" s="21" t="n">
        <v>1.44832919E12</v>
      </c>
      <c r="H109" s="22" t="n">
        <f>78996350000</f>
        <v>7.899635E10</v>
      </c>
    </row>
    <row r="110" spans="1:8" ht="24.9" customHeight="1">
      <c r="A110" s="51"/>
      <c r="B110" s="57"/>
      <c r="C110" s="39"/>
      <c r="D110" s="20" t="s">
        <v>17</v>
      </c>
      <c r="E110" s="21" t="n">
        <v>16974.0</v>
      </c>
      <c r="F110" s="22" t="n">
        <f>1160</f>
        <v>1160.0</v>
      </c>
      <c r="G110" s="21" t="n">
        <v>2.17020782E12</v>
      </c>
      <c r="H110" s="22" t="n">
        <f>148325050000</f>
        <v>1.4832505E11</v>
      </c>
    </row>
    <row r="111" spans="1:8" ht="24.9" customHeight="1">
      <c r="A111" s="51"/>
      <c r="B111" s="57"/>
      <c r="C111" s="39"/>
      <c r="D111" s="24" t="s">
        <v>18</v>
      </c>
      <c r="E111" s="25" t="n">
        <v>40550.0</v>
      </c>
      <c r="F111" s="26" t="n">
        <f>1871</f>
        <v>1871.0</v>
      </c>
      <c r="G111" s="25" t="n">
        <v>5.18476397E12</v>
      </c>
      <c r="H111" s="26" t="n">
        <f>239219690000</f>
        <v>2.3921969E11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300.0</v>
      </c>
      <c r="F113" s="22" t="n">
        <f>0</f>
        <v>0.0</v>
      </c>
      <c r="G113" s="21" t="n">
        <v>3.83469E9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481.0</v>
      </c>
      <c r="F114" s="22" t="n">
        <f>0</f>
        <v>0.0</v>
      </c>
      <c r="G114" s="21" t="n">
        <v>6.149505E9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781.0</v>
      </c>
      <c r="F115" s="26" t="n">
        <f>0</f>
        <v>0.0</v>
      </c>
      <c r="G115" s="25" t="n">
        <v>9.984195E9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400.0</v>
      </c>
      <c r="F117" s="22" t="n">
        <f>400</f>
        <v>400.0</v>
      </c>
      <c r="G117" s="21" t="n">
        <v>3.6588E9</v>
      </c>
      <c r="H117" s="22" t="n">
        <f>3658800000</f>
        <v>3.6588E9</v>
      </c>
    </row>
    <row r="118" spans="1:8" ht="24.9" customHeight="1">
      <c r="A118" s="51"/>
      <c r="B118" s="57"/>
      <c r="C118" s="39"/>
      <c r="D118" s="20" t="s">
        <v>17</v>
      </c>
      <c r="E118" s="21" t="n">
        <v>270.0</v>
      </c>
      <c r="F118" s="22" t="n">
        <f>0</f>
        <v>0.0</v>
      </c>
      <c r="G118" s="21" t="n">
        <v>2.46271E9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670.0</v>
      </c>
      <c r="F119" s="26" t="n">
        <f>400</f>
        <v>400.0</v>
      </c>
      <c r="G119" s="25" t="n">
        <v>6.12151E9</v>
      </c>
      <c r="H119" s="26" t="n">
        <f>3658800000</f>
        <v>3.6588E9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3035.0</v>
      </c>
      <c r="F120" s="18" t="n">
        <f>0</f>
        <v>0.0</v>
      </c>
      <c r="G120" s="17" t="n">
        <v>7.5023578125E10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987.0</v>
      </c>
      <c r="F121" s="22" t="n">
        <f>0</f>
        <v>0.0</v>
      </c>
      <c r="G121" s="21" t="n">
        <v>2.4437373125E10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1646.0</v>
      </c>
      <c r="F122" s="22" t="n">
        <f>0</f>
        <v>0.0</v>
      </c>
      <c r="G122" s="21" t="n">
        <v>4.0728385625E10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5668.0</v>
      </c>
      <c r="F123" s="26" t="n">
        <f>0</f>
        <v>0.0</v>
      </c>
      <c r="G123" s="25" t="n">
        <v>1.40189336875E11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5701.0</v>
      </c>
      <c r="F124" s="18" t="n">
        <f>0</f>
        <v>0.0</v>
      </c>
      <c r="G124" s="17" t="n">
        <v>1.35613728E11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1150.0</v>
      </c>
      <c r="F125" s="22" t="n">
        <f>0</f>
        <v>0.0</v>
      </c>
      <c r="G125" s="21" t="n">
        <v>2.74151E10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2147.0</v>
      </c>
      <c r="F126" s="22" t="n">
        <f>0</f>
        <v>0.0</v>
      </c>
      <c r="G126" s="21" t="n">
        <v>5.1137146E10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8998.0</v>
      </c>
      <c r="F127" s="26" t="n">
        <f>0</f>
        <v>0.0</v>
      </c>
      <c r="G127" s="25" t="n">
        <v>2.14165974E11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51.0</v>
      </c>
      <c r="F128" s="18" t="n">
        <f>0</f>
        <v>0.0</v>
      </c>
      <c r="G128" s="17" t="n">
        <v>1.212568E8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63.0</v>
      </c>
      <c r="F129" s="22" t="n">
        <f>0</f>
        <v>0.0</v>
      </c>
      <c r="G129" s="21" t="n">
        <v>1.502549E8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54.0</v>
      </c>
      <c r="F130" s="22" t="n">
        <f>0</f>
        <v>0.0</v>
      </c>
      <c r="G130" s="21" t="n">
        <v>1.2868E8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168.0</v>
      </c>
      <c r="F131" s="26" t="n">
        <f>0</f>
        <v>0.0</v>
      </c>
      <c r="G131" s="25" t="n">
        <v>4.001917E8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8017.0</v>
      </c>
      <c r="F132" s="18" t="n">
        <f>0</f>
        <v>0.0</v>
      </c>
      <c r="G132" s="17" t="n">
        <v>1.91201724E10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1235.0</v>
      </c>
      <c r="F133" s="22" t="n">
        <f>0</f>
        <v>0.0</v>
      </c>
      <c r="G133" s="21" t="n">
        <v>2.95248765E9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1363.0</v>
      </c>
      <c r="F134" s="22" t="n">
        <f>0</f>
        <v>0.0</v>
      </c>
      <c r="G134" s="21" t="n">
        <v>3.2546797E9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10615.0</v>
      </c>
      <c r="F135" s="26" t="n">
        <f>0</f>
        <v>0.0</v>
      </c>
      <c r="G135" s="25" t="n">
        <v>2.532733975E10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53.0</v>
      </c>
      <c r="F136" s="18" t="n">
        <f>0</f>
        <v>0.0</v>
      </c>
      <c r="G136" s="17" t="n">
        <v>1.249824E8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33.0</v>
      </c>
      <c r="F137" s="22" t="n">
        <f>0</f>
        <v>0.0</v>
      </c>
      <c r="G137" s="21" t="n">
        <v>7.82087E7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13.0</v>
      </c>
      <c r="F138" s="22" t="n">
        <f>0</f>
        <v>0.0</v>
      </c>
      <c r="G138" s="21" t="n">
        <v>3.07585E7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99.0</v>
      </c>
      <c r="F139" s="26" t="n">
        <f>0</f>
        <v>0.0</v>
      </c>
      <c r="G139" s="25" t="n">
        <v>2.339496E8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1491.0</v>
      </c>
      <c r="F144" s="18" t="n">
        <f>0</f>
        <v>0.0</v>
      </c>
      <c r="G144" s="17" t="n">
        <v>7.279616E9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717.0</v>
      </c>
      <c r="F145" s="22" t="n">
        <f>0</f>
        <v>0.0</v>
      </c>
      <c r="G145" s="21" t="n">
        <v>3.5486185E9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653.0</v>
      </c>
      <c r="F146" s="22" t="n">
        <f>0</f>
        <v>0.0</v>
      </c>
      <c r="G146" s="21" t="n">
        <v>3.2229715E9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2861.0</v>
      </c>
      <c r="F147" s="26" t="n">
        <f>0</f>
        <v>0.0</v>
      </c>
      <c r="G147" s="25" t="n">
        <v>1.4051206E10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230.0</v>
      </c>
      <c r="F148" s="18" t="n">
        <f>0</f>
        <v>0.0</v>
      </c>
      <c r="G148" s="17" t="n">
        <v>2.294342E8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146.0</v>
      </c>
      <c r="F149" s="22" t="n">
        <f>0</f>
        <v>0.0</v>
      </c>
      <c r="G149" s="21" t="n">
        <v>1.463971E8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198.0</v>
      </c>
      <c r="F150" s="22" t="n">
        <f>0</f>
        <v>0.0</v>
      </c>
      <c r="G150" s="21" t="n">
        <v>1.979128E8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574.0</v>
      </c>
      <c r="F151" s="26" t="n">
        <f>0</f>
        <v>0.0</v>
      </c>
      <c r="G151" s="25" t="n">
        <v>5.737441E8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213.0</v>
      </c>
      <c r="F152" s="18" t="n">
        <f>0</f>
        <v>0.0</v>
      </c>
      <c r="G152" s="17" t="n">
        <v>2.08863E8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115.0</v>
      </c>
      <c r="F153" s="22" t="n">
        <f>0</f>
        <v>0.0</v>
      </c>
      <c r="G153" s="21" t="n">
        <v>1.1403415E8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110.0</v>
      </c>
      <c r="F154" s="22" t="n">
        <f>0</f>
        <v>0.0</v>
      </c>
      <c r="G154" s="21" t="n">
        <v>1.0889845E8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438.0</v>
      </c>
      <c r="F155" s="26" t="n">
        <f>0</f>
        <v>0.0</v>
      </c>
      <c r="G155" s="25" t="n">
        <v>4.317956E8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77.0</v>
      </c>
      <c r="F156" s="18" t="n">
        <f>0</f>
        <v>0.0</v>
      </c>
      <c r="G156" s="17" t="n">
        <v>7.47482E7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395.0</v>
      </c>
      <c r="F157" s="22" t="n">
        <f>0</f>
        <v>0.0</v>
      </c>
      <c r="G157" s="21" t="n">
        <v>3.892084E8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634.0</v>
      </c>
      <c r="F158" s="22" t="n">
        <f>0</f>
        <v>0.0</v>
      </c>
      <c r="G158" s="21" t="n">
        <v>6.23936E8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1106.0</v>
      </c>
      <c r="F159" s="26" t="n">
        <f>0</f>
        <v>0.0</v>
      </c>
      <c r="G159" s="25" t="n">
        <v>1.0878926E9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130.0</v>
      </c>
      <c r="F168" s="18" t="n">
        <f>0</f>
        <v>0.0</v>
      </c>
      <c r="G168" s="17" t="n">
        <v>2.623575E8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232.0</v>
      </c>
      <c r="F169" s="22" t="n">
        <f>0</f>
        <v>0.0</v>
      </c>
      <c r="G169" s="21" t="n">
        <v>4.687455E8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424.0</v>
      </c>
      <c r="F170" s="22" t="n">
        <f>82</f>
        <v>82.0</v>
      </c>
      <c r="G170" s="21" t="n">
        <v>8.493145E8</v>
      </c>
      <c r="H170" s="22" t="n">
        <f>162770000</f>
        <v>1.6277E8</v>
      </c>
    </row>
    <row r="171" spans="1:8" ht="24.9" customHeight="1">
      <c r="A171" s="51"/>
      <c r="B171" s="57"/>
      <c r="C171" s="39"/>
      <c r="D171" s="24" t="s">
        <v>18</v>
      </c>
      <c r="E171" s="25" t="n">
        <v>786.0</v>
      </c>
      <c r="F171" s="26" t="n">
        <f>82</f>
        <v>82.0</v>
      </c>
      <c r="G171" s="25" t="n">
        <v>1.5804175E9</v>
      </c>
      <c r="H171" s="26" t="n">
        <f>162770000</f>
        <v>1.6277E8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0.0</v>
      </c>
      <c r="F176" s="18" t="n">
        <f>0</f>
        <v>0.0</v>
      </c>
      <c r="G176" s="17" t="n">
        <v>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65.0</v>
      </c>
      <c r="F178" s="22" t="n">
        <f>0</f>
        <v>0.0</v>
      </c>
      <c r="G178" s="21" t="n">
        <v>1.13541E8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65.0</v>
      </c>
      <c r="F179" s="26" t="n">
        <f>0</f>
        <v>0.0</v>
      </c>
      <c r="G179" s="25" t="n">
        <v>1.13541E8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1038.0</v>
      </c>
      <c r="F204" s="18" t="n">
        <f>0</f>
        <v>0.0</v>
      </c>
      <c r="G204" s="17" t="n">
        <v>4.540087E9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133.0</v>
      </c>
      <c r="F205" s="22" t="n">
        <f>0</f>
        <v>0.0</v>
      </c>
      <c r="G205" s="21" t="n">
        <v>5.7325E8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1159.0</v>
      </c>
      <c r="F206" s="22" t="n">
        <f>0</f>
        <v>0.0</v>
      </c>
      <c r="G206" s="21" t="n">
        <v>5.0523615E9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2330.0</v>
      </c>
      <c r="F207" s="26" t="n">
        <f>0</f>
        <v>0.0</v>
      </c>
      <c r="G207" s="25" t="n">
        <v>1.01656985E10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32.0</v>
      </c>
      <c r="F210" s="22" t="n">
        <f>32</f>
        <v>32.0</v>
      </c>
      <c r="G210" s="21" t="n">
        <v>5.32896E7</v>
      </c>
      <c r="H210" s="22" t="n">
        <f>53289600</f>
        <v>5.32896E7</v>
      </c>
    </row>
    <row r="211" spans="1:8" ht="24.9" customHeight="1">
      <c r="A211" s="57"/>
      <c r="B211" s="59"/>
      <c r="C211" s="39"/>
      <c r="D211" s="24" t="s">
        <v>18</v>
      </c>
      <c r="E211" s="25" t="n">
        <v>32.0</v>
      </c>
      <c r="F211" s="26" t="n">
        <f>32</f>
        <v>32.0</v>
      </c>
      <c r="G211" s="25" t="n">
        <v>5.32896E7</v>
      </c>
      <c r="H211" s="26" t="n">
        <f>53289600</f>
        <v>5.32896E7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4.0</v>
      </c>
      <c r="F218" s="22" t="n">
        <f>4</f>
        <v>4.0</v>
      </c>
      <c r="G218" s="21" t="n">
        <v>6514800.0</v>
      </c>
      <c r="H218" s="22" t="n">
        <f>6514800</f>
        <v>6514800.0</v>
      </c>
    </row>
    <row r="219" spans="1:8" ht="24.9" customHeight="1">
      <c r="A219" s="57"/>
      <c r="B219" s="59"/>
      <c r="C219" s="39"/>
      <c r="D219" s="24" t="s">
        <v>18</v>
      </c>
      <c r="E219" s="25" t="n">
        <v>4.0</v>
      </c>
      <c r="F219" s="26" t="n">
        <f>4</f>
        <v>4.0</v>
      </c>
      <c r="G219" s="25" t="n">
        <v>6514800.0</v>
      </c>
      <c r="H219" s="26" t="n">
        <f>6514800</f>
        <v>6514800.0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46164.0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46164.0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2745</f>
        <v>2745.0</v>
      </c>
      <c r="E12" s="35" t="n">
        <f>1473</f>
        <v>1473.0</v>
      </c>
      <c r="F12" s="17" t="n">
        <f>2338</f>
        <v>2338.0</v>
      </c>
      <c r="G12" s="35" t="n">
        <f>816</f>
        <v>816.0</v>
      </c>
      <c r="H12" s="17" t="n">
        <f>5083</f>
        <v>5083.0</v>
      </c>
      <c r="I12" s="35" t="n">
        <f>2289</f>
        <v>2289.0</v>
      </c>
      <c r="J12" s="17" t="n">
        <f>1118098350</f>
        <v>1.11809835E9</v>
      </c>
      <c r="K12" s="35" t="n">
        <f>660036350</f>
        <v>6.6003635E8</v>
      </c>
      <c r="L12" s="17" t="n">
        <f>854343790</f>
        <v>8.5434379E8</v>
      </c>
      <c r="M12" s="35" t="n">
        <f>319605790</f>
        <v>3.1960579E8</v>
      </c>
      <c r="N12" s="17" t="n">
        <f>1972442140</f>
        <v>1.97244214E9</v>
      </c>
      <c r="O12" s="35" t="n">
        <f>979642140</f>
        <v>9.7964214E8</v>
      </c>
    </row>
    <row r="13" spans="1:15" ht="24.9" customHeight="1">
      <c r="A13" s="38"/>
      <c r="B13" s="62"/>
      <c r="C13" s="20" t="s">
        <v>16</v>
      </c>
      <c r="D13" s="21" t="n">
        <f>4661</f>
        <v>4661.0</v>
      </c>
      <c r="E13" s="36" t="n">
        <f>1417</f>
        <v>1417.0</v>
      </c>
      <c r="F13" s="21" t="n">
        <f>3218</f>
        <v>3218.0</v>
      </c>
      <c r="G13" s="36" t="n">
        <f>607</f>
        <v>607.0</v>
      </c>
      <c r="H13" s="21" t="n">
        <f>7879</f>
        <v>7879.0</v>
      </c>
      <c r="I13" s="36" t="n">
        <f>2024</f>
        <v>2024.0</v>
      </c>
      <c r="J13" s="21" t="n">
        <f>2222843320</f>
        <v>2.22284332E9</v>
      </c>
      <c r="K13" s="36" t="n">
        <f>1128990320</f>
        <v>1.12899032E9</v>
      </c>
      <c r="L13" s="21" t="n">
        <f>1194679360</f>
        <v>1.19467936E9</v>
      </c>
      <c r="M13" s="36" t="n">
        <f>214773360</f>
        <v>2.1477336E8</v>
      </c>
      <c r="N13" s="21" t="n">
        <f>3417522680</f>
        <v>3.41752268E9</v>
      </c>
      <c r="O13" s="36" t="n">
        <f>1343763680</f>
        <v>1.34376368E9</v>
      </c>
    </row>
    <row r="14" spans="1:15" ht="24.9" customHeight="1">
      <c r="A14" s="38"/>
      <c r="B14" s="62"/>
      <c r="C14" s="20" t="s">
        <v>17</v>
      </c>
      <c r="D14" s="21" t="n">
        <f>18847</f>
        <v>18847.0</v>
      </c>
      <c r="E14" s="36" t="n">
        <f>14270</f>
        <v>14270.0</v>
      </c>
      <c r="F14" s="21" t="n">
        <f>10012</f>
        <v>10012.0</v>
      </c>
      <c r="G14" s="36" t="n">
        <f>5582</f>
        <v>5582.0</v>
      </c>
      <c r="H14" s="21" t="n">
        <f>28859</f>
        <v>28859.0</v>
      </c>
      <c r="I14" s="36" t="n">
        <f>19852</f>
        <v>19852.0</v>
      </c>
      <c r="J14" s="21" t="n">
        <f>14619831960</f>
        <v>1.461983196E10</v>
      </c>
      <c r="K14" s="36" t="n">
        <f>12863916960</f>
        <v>1.286391696E10</v>
      </c>
      <c r="L14" s="21" t="n">
        <f>10097018978</f>
        <v>1.0097018978E10</v>
      </c>
      <c r="M14" s="36" t="n">
        <f>8314722978</f>
        <v>8.314722978E9</v>
      </c>
      <c r="N14" s="21" t="n">
        <f>24716850938</f>
        <v>2.4716850938E10</v>
      </c>
      <c r="O14" s="36" t="n">
        <f>21178639938</f>
        <v>2.1178639938E10</v>
      </c>
    </row>
    <row r="15" spans="1:15" ht="24.9" customHeight="1">
      <c r="A15" s="38"/>
      <c r="B15" s="62"/>
      <c r="C15" s="24" t="s">
        <v>18</v>
      </c>
      <c r="D15" s="25" t="n">
        <f>26253</f>
        <v>26253.0</v>
      </c>
      <c r="E15" s="37" t="n">
        <f>17160</f>
        <v>17160.0</v>
      </c>
      <c r="F15" s="25" t="n">
        <f>15568</f>
        <v>15568.0</v>
      </c>
      <c r="G15" s="37" t="n">
        <f>7005</f>
        <v>7005.0</v>
      </c>
      <c r="H15" s="25" t="n">
        <f>41821</f>
        <v>41821.0</v>
      </c>
      <c r="I15" s="37" t="n">
        <f>24165</f>
        <v>24165.0</v>
      </c>
      <c r="J15" s="25" t="n">
        <f>17960773630</f>
        <v>1.796077363E10</v>
      </c>
      <c r="K15" s="37" t="n">
        <f>14652943630</f>
        <v>1.465294363E10</v>
      </c>
      <c r="L15" s="25" t="n">
        <f>12146042128</f>
        <v>1.2146042128E10</v>
      </c>
      <c r="M15" s="37" t="n">
        <f>8849102128</f>
        <v>8.849102128E9</v>
      </c>
      <c r="N15" s="25" t="n">
        <f>30106815758</f>
        <v>3.0106815758E10</v>
      </c>
      <c r="O15" s="37" t="n">
        <f>23502045758</f>
        <v>2.3502045758E10</v>
      </c>
    </row>
    <row r="16" spans="1:15" ht="24.9" customHeight="1">
      <c r="A16" s="38"/>
      <c r="B16" s="61" t="s">
        <v>105</v>
      </c>
      <c r="C16" s="16" t="s">
        <v>15</v>
      </c>
      <c r="D16" s="17" t="n">
        <f>6032</f>
        <v>6032.0</v>
      </c>
      <c r="E16" s="35" t="n">
        <f>370</f>
        <v>370.0</v>
      </c>
      <c r="F16" s="17" t="n">
        <f>4916</f>
        <v>4916.0</v>
      </c>
      <c r="G16" s="35" t="n">
        <f>300</f>
        <v>300.0</v>
      </c>
      <c r="H16" s="17" t="n">
        <f>10948</f>
        <v>10948.0</v>
      </c>
      <c r="I16" s="35" t="n">
        <f>670</f>
        <v>670.0</v>
      </c>
      <c r="J16" s="17" t="n">
        <f>283228580</f>
        <v>2.8322858E8</v>
      </c>
      <c r="K16" s="35" t="n">
        <f>15337280</f>
        <v>1.533728E7</v>
      </c>
      <c r="L16" s="17" t="n">
        <f>245253410</f>
        <v>2.4525341E8</v>
      </c>
      <c r="M16" s="35" t="n">
        <f>5522510</f>
        <v>5522510.0</v>
      </c>
      <c r="N16" s="17" t="n">
        <f>528481990</f>
        <v>5.2848199E8</v>
      </c>
      <c r="O16" s="35" t="n">
        <f>20859790</f>
        <v>2.085979E7</v>
      </c>
    </row>
    <row r="17" spans="1:15" ht="24.9" customHeight="1">
      <c r="A17" s="38"/>
      <c r="B17" s="62"/>
      <c r="C17" s="20" t="s">
        <v>16</v>
      </c>
      <c r="D17" s="21" t="n">
        <f>10776</f>
        <v>10776.0</v>
      </c>
      <c r="E17" s="36" t="n">
        <f>400</f>
        <v>400.0</v>
      </c>
      <c r="F17" s="21" t="n">
        <f>10243</f>
        <v>10243.0</v>
      </c>
      <c r="G17" s="36" t="n">
        <f>90</f>
        <v>90.0</v>
      </c>
      <c r="H17" s="21" t="n">
        <f>21019</f>
        <v>21019.0</v>
      </c>
      <c r="I17" s="36" t="n">
        <f>490</f>
        <v>490.0</v>
      </c>
      <c r="J17" s="21" t="n">
        <f>362005450</f>
        <v>3.6200545E8</v>
      </c>
      <c r="K17" s="36" t="n">
        <f>5387850</f>
        <v>5387850.0</v>
      </c>
      <c r="L17" s="21" t="n">
        <f>415567720</f>
        <v>4.1556772E8</v>
      </c>
      <c r="M17" s="36" t="n">
        <f>2525020</f>
        <v>2525020.0</v>
      </c>
      <c r="N17" s="21" t="n">
        <f>777573170</f>
        <v>7.7757317E8</v>
      </c>
      <c r="O17" s="36" t="n">
        <f>7912870</f>
        <v>7912870.0</v>
      </c>
    </row>
    <row r="18" spans="1:15" ht="24.9" customHeight="1">
      <c r="A18" s="38"/>
      <c r="B18" s="62"/>
      <c r="C18" s="20" t="s">
        <v>17</v>
      </c>
      <c r="D18" s="21" t="n">
        <f>10062</f>
        <v>10062.0</v>
      </c>
      <c r="E18" s="36" t="n">
        <f>600</f>
        <v>600.0</v>
      </c>
      <c r="F18" s="21" t="n">
        <f>7053</f>
        <v>7053.0</v>
      </c>
      <c r="G18" s="36" t="n">
        <f>170</f>
        <v>170.0</v>
      </c>
      <c r="H18" s="21" t="n">
        <f>17115</f>
        <v>17115.0</v>
      </c>
      <c r="I18" s="36" t="n">
        <f>770</f>
        <v>770.0</v>
      </c>
      <c r="J18" s="21" t="n">
        <f>337368060</f>
        <v>3.3736806E8</v>
      </c>
      <c r="K18" s="36" t="n">
        <f>10506560</f>
        <v>1.050656E7</v>
      </c>
      <c r="L18" s="21" t="n">
        <f>311495500</f>
        <v>3.114955E8</v>
      </c>
      <c r="M18" s="36" t="n">
        <f>6915700</f>
        <v>6915700.0</v>
      </c>
      <c r="N18" s="21" t="n">
        <f>648863560</f>
        <v>6.4886356E8</v>
      </c>
      <c r="O18" s="36" t="n">
        <f>17422260</f>
        <v>1.742226E7</v>
      </c>
    </row>
    <row r="19" spans="1:15" ht="24.9" customHeight="1">
      <c r="A19" s="38"/>
      <c r="B19" s="62"/>
      <c r="C19" s="24" t="s">
        <v>18</v>
      </c>
      <c r="D19" s="25" t="n">
        <f>26870</f>
        <v>26870.0</v>
      </c>
      <c r="E19" s="37" t="n">
        <f>1370</f>
        <v>1370.0</v>
      </c>
      <c r="F19" s="25" t="n">
        <f>22212</f>
        <v>22212.0</v>
      </c>
      <c r="G19" s="37" t="n">
        <f>560</f>
        <v>560.0</v>
      </c>
      <c r="H19" s="25" t="n">
        <f>49082</f>
        <v>49082.0</v>
      </c>
      <c r="I19" s="37" t="n">
        <f>1930</f>
        <v>1930.0</v>
      </c>
      <c r="J19" s="25" t="n">
        <f>982602090</f>
        <v>9.8260209E8</v>
      </c>
      <c r="K19" s="37" t="n">
        <f>31231690</f>
        <v>3.123169E7</v>
      </c>
      <c r="L19" s="25" t="n">
        <f>972316630</f>
        <v>9.7231663E8</v>
      </c>
      <c r="M19" s="37" t="n">
        <f>14963230</f>
        <v>1.496323E7</v>
      </c>
      <c r="N19" s="25" t="n">
        <f>1954918720</f>
        <v>1.95491872E9</v>
      </c>
      <c r="O19" s="37" t="n">
        <f>46194920</f>
        <v>4.619492E7</v>
      </c>
    </row>
    <row r="20" spans="1:15" ht="24.9" customHeight="1">
      <c r="A20" s="38"/>
      <c r="B20" s="61" t="s">
        <v>106</v>
      </c>
      <c r="C20" s="16" t="s">
        <v>15</v>
      </c>
      <c r="D20" s="17" t="n">
        <f>0</f>
        <v>0.0</v>
      </c>
      <c r="E20" s="35" t="n">
        <f>0</f>
        <v>0.0</v>
      </c>
      <c r="F20" s="17" t="n">
        <f>0</f>
        <v>0.0</v>
      </c>
      <c r="G20" s="35" t="n">
        <f>0</f>
        <v>0.0</v>
      </c>
      <c r="H20" s="17" t="n">
        <f>0</f>
        <v>0.0</v>
      </c>
      <c r="I20" s="35" t="n">
        <f>0</f>
        <v>0.0</v>
      </c>
      <c r="J20" s="17" t="n">
        <f>0</f>
        <v>0.0</v>
      </c>
      <c r="K20" s="35" t="n">
        <f>0</f>
        <v>0.0</v>
      </c>
      <c r="L20" s="17" t="n">
        <f>0</f>
        <v>0.0</v>
      </c>
      <c r="M20" s="35" t="n">
        <f>0</f>
        <v>0.0</v>
      </c>
      <c r="N20" s="17" t="n">
        <f>0</f>
        <v>0.0</v>
      </c>
      <c r="O20" s="35" t="n">
        <f>0</f>
        <v>0.0</v>
      </c>
    </row>
    <row r="21" spans="1:15" ht="24.9" customHeight="1">
      <c r="A21" s="38"/>
      <c r="B21" s="62"/>
      <c r="C21" s="20" t="s">
        <v>16</v>
      </c>
      <c r="D21" s="21" t="n">
        <f>0</f>
        <v>0.0</v>
      </c>
      <c r="E21" s="36" t="n">
        <f>0</f>
        <v>0.0</v>
      </c>
      <c r="F21" s="21" t="n">
        <f>0</f>
        <v>0.0</v>
      </c>
      <c r="G21" s="36" t="n">
        <f>0</f>
        <v>0.0</v>
      </c>
      <c r="H21" s="21" t="n">
        <f>0</f>
        <v>0.0</v>
      </c>
      <c r="I21" s="36" t="n">
        <f>0</f>
        <v>0.0</v>
      </c>
      <c r="J21" s="21" t="n">
        <f>0</f>
        <v>0.0</v>
      </c>
      <c r="K21" s="36" t="n">
        <f>0</f>
        <v>0.0</v>
      </c>
      <c r="L21" s="21" t="n">
        <f>0</f>
        <v>0.0</v>
      </c>
      <c r="M21" s="36" t="n">
        <f>0</f>
        <v>0.0</v>
      </c>
      <c r="N21" s="21" t="n">
        <f>0</f>
        <v>0.0</v>
      </c>
      <c r="O21" s="36" t="n">
        <f>0</f>
        <v>0.0</v>
      </c>
    </row>
    <row r="22" spans="1:15" ht="24.9" customHeight="1">
      <c r="A22" s="38"/>
      <c r="B22" s="62"/>
      <c r="C22" s="20" t="s">
        <v>17</v>
      </c>
      <c r="D22" s="21" t="n">
        <f>2165</f>
        <v>2165.0</v>
      </c>
      <c r="E22" s="36" t="n">
        <f>2165</f>
        <v>2165.0</v>
      </c>
      <c r="F22" s="21" t="n">
        <f>100</f>
        <v>100.0</v>
      </c>
      <c r="G22" s="36" t="n">
        <f>100</f>
        <v>100.0</v>
      </c>
      <c r="H22" s="21" t="n">
        <f>2265</f>
        <v>2265.0</v>
      </c>
      <c r="I22" s="36" t="n">
        <f>2265</f>
        <v>2265.0</v>
      </c>
      <c r="J22" s="21" t="n">
        <f>1391731785</f>
        <v>1.391731785E9</v>
      </c>
      <c r="K22" s="36" t="n">
        <f>1391731785</f>
        <v>1.391731785E9</v>
      </c>
      <c r="L22" s="21" t="n">
        <f>26982750</f>
        <v>2.698275E7</v>
      </c>
      <c r="M22" s="36" t="n">
        <f>26982750</f>
        <v>2.698275E7</v>
      </c>
      <c r="N22" s="21" t="n">
        <f>1418714535</f>
        <v>1.418714535E9</v>
      </c>
      <c r="O22" s="36" t="n">
        <f>1418714535</f>
        <v>1.418714535E9</v>
      </c>
    </row>
    <row r="23" spans="1:15" ht="24.9" customHeight="1">
      <c r="A23" s="38"/>
      <c r="B23" s="62"/>
      <c r="C23" s="24" t="s">
        <v>18</v>
      </c>
      <c r="D23" s="25" t="n">
        <f>2165</f>
        <v>2165.0</v>
      </c>
      <c r="E23" s="37" t="n">
        <f>2165</f>
        <v>2165.0</v>
      </c>
      <c r="F23" s="25" t="n">
        <f>100</f>
        <v>100.0</v>
      </c>
      <c r="G23" s="37" t="n">
        <f>100</f>
        <v>100.0</v>
      </c>
      <c r="H23" s="25" t="n">
        <f>2265</f>
        <v>2265.0</v>
      </c>
      <c r="I23" s="37" t="n">
        <f>2265</f>
        <v>2265.0</v>
      </c>
      <c r="J23" s="25" t="n">
        <f>1391731785</f>
        <v>1.391731785E9</v>
      </c>
      <c r="K23" s="37" t="n">
        <f>1391731785</f>
        <v>1.391731785E9</v>
      </c>
      <c r="L23" s="25" t="n">
        <f>26982750</f>
        <v>2.698275E7</v>
      </c>
      <c r="M23" s="37" t="n">
        <f>26982750</f>
        <v>2.698275E7</v>
      </c>
      <c r="N23" s="25" t="n">
        <f>1418714535</f>
        <v>1.418714535E9</v>
      </c>
      <c r="O23" s="37" t="n">
        <f>1418714535</f>
        <v>1.418714535E9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0</f>
        <v>0.0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0</f>
        <v>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30</f>
        <v>30.0</v>
      </c>
      <c r="E37" s="22" t="n">
        <f>0</f>
        <v>0.0</v>
      </c>
      <c r="F37" s="21" t="n">
        <f>20</f>
        <v>20.0</v>
      </c>
      <c r="G37" s="22" t="n">
        <f>0</f>
        <v>0.0</v>
      </c>
      <c r="H37" s="21" t="n">
        <f>50</f>
        <v>50.0</v>
      </c>
      <c r="I37" s="22" t="n">
        <f>0</f>
        <v>0.0</v>
      </c>
      <c r="J37" s="21" t="n">
        <f>9150000</f>
        <v>9150000.0</v>
      </c>
      <c r="K37" s="22" t="n">
        <f>0</f>
        <v>0.0</v>
      </c>
      <c r="L37" s="21" t="n">
        <f>4900000</f>
        <v>4900000.0</v>
      </c>
      <c r="M37" s="22" t="n">
        <f>0</f>
        <v>0.0</v>
      </c>
      <c r="N37" s="21" t="n">
        <f>14050000</f>
        <v>1.405E7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21</f>
        <v>21.0</v>
      </c>
      <c r="E38" s="36" t="n">
        <f>0</f>
        <v>0.0</v>
      </c>
      <c r="F38" s="21" t="n">
        <f>57</f>
        <v>57.0</v>
      </c>
      <c r="G38" s="36" t="n">
        <f>0</f>
        <v>0.0</v>
      </c>
      <c r="H38" s="21" t="n">
        <f>78</f>
        <v>78.0</v>
      </c>
      <c r="I38" s="36" t="n">
        <f>0</f>
        <v>0.0</v>
      </c>
      <c r="J38" s="21" t="n">
        <f>5000000</f>
        <v>5000000.0</v>
      </c>
      <c r="K38" s="36" t="n">
        <f>0</f>
        <v>0.0</v>
      </c>
      <c r="L38" s="21" t="n">
        <f>6610000</f>
        <v>6610000.0</v>
      </c>
      <c r="M38" s="36" t="n">
        <f>0</f>
        <v>0.0</v>
      </c>
      <c r="N38" s="21" t="n">
        <f>11610000</f>
        <v>1.161E7</v>
      </c>
      <c r="O38" s="36" t="n">
        <f>0</f>
        <v>0.0</v>
      </c>
    </row>
    <row r="39" spans="1:15" ht="24.9" customHeight="1">
      <c r="A39" s="38"/>
      <c r="B39" s="62"/>
      <c r="C39" s="24" t="s">
        <v>18</v>
      </c>
      <c r="D39" s="25" t="n">
        <f>51</f>
        <v>51.0</v>
      </c>
      <c r="E39" s="37" t="n">
        <f>0</f>
        <v>0.0</v>
      </c>
      <c r="F39" s="25" t="n">
        <f>77</f>
        <v>77.0</v>
      </c>
      <c r="G39" s="37" t="n">
        <f>0</f>
        <v>0.0</v>
      </c>
      <c r="H39" s="25" t="n">
        <f>128</f>
        <v>128.0</v>
      </c>
      <c r="I39" s="37" t="n">
        <f>0</f>
        <v>0.0</v>
      </c>
      <c r="J39" s="25" t="n">
        <f>14150000</f>
        <v>1.415E7</v>
      </c>
      <c r="K39" s="37" t="n">
        <f>0</f>
        <v>0.0</v>
      </c>
      <c r="L39" s="25" t="n">
        <f>11510000</f>
        <v>1.151E7</v>
      </c>
      <c r="M39" s="37" t="n">
        <f>0</f>
        <v>0.0</v>
      </c>
      <c r="N39" s="25" t="n">
        <f>25660000</f>
        <v>2.566E7</v>
      </c>
      <c r="O39" s="37" t="n">
        <f>0</f>
        <v>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8336</f>
        <v>8336.0</v>
      </c>
      <c r="E41" s="36" t="n">
        <f>0</f>
        <v>0.0</v>
      </c>
      <c r="F41" s="21" t="n">
        <f>3911</f>
        <v>3911.0</v>
      </c>
      <c r="G41" s="36" t="n">
        <f>1950</f>
        <v>1950.0</v>
      </c>
      <c r="H41" s="21" t="n">
        <f>12247</f>
        <v>12247.0</v>
      </c>
      <c r="I41" s="36" t="n">
        <f>1950</f>
        <v>1950.0</v>
      </c>
      <c r="J41" s="21" t="n">
        <f>22104241</f>
        <v>2.2104241E7</v>
      </c>
      <c r="K41" s="36" t="n">
        <f>0</f>
        <v>0.0</v>
      </c>
      <c r="L41" s="21" t="n">
        <f>43292080</f>
        <v>4.329208E7</v>
      </c>
      <c r="M41" s="36" t="n">
        <f>25005000</f>
        <v>2.5005E7</v>
      </c>
      <c r="N41" s="21" t="n">
        <f>65396321</f>
        <v>6.5396321E7</v>
      </c>
      <c r="O41" s="36" t="n">
        <f>25005000</f>
        <v>2.5005E7</v>
      </c>
    </row>
    <row r="42" spans="1:15" ht="24.9" customHeight="1">
      <c r="A42" s="38"/>
      <c r="B42" s="62"/>
      <c r="C42" s="20" t="s">
        <v>17</v>
      </c>
      <c r="D42" s="21" t="n">
        <f>108842</f>
        <v>108842.0</v>
      </c>
      <c r="E42" s="36" t="n">
        <f>106300</f>
        <v>106300.0</v>
      </c>
      <c r="F42" s="21" t="n">
        <f>107500</f>
        <v>107500.0</v>
      </c>
      <c r="G42" s="36" t="n">
        <f>106600</f>
        <v>106600.0</v>
      </c>
      <c r="H42" s="21" t="n">
        <f>216342</f>
        <v>216342.0</v>
      </c>
      <c r="I42" s="36" t="n">
        <f>212900</f>
        <v>212900.0</v>
      </c>
      <c r="J42" s="21" t="n">
        <f>823229945</f>
        <v>8.23229945E8</v>
      </c>
      <c r="K42" s="36" t="n">
        <f>809600000</f>
        <v>8.096E8</v>
      </c>
      <c r="L42" s="21" t="n">
        <f>505739769</f>
        <v>5.05739769E8</v>
      </c>
      <c r="M42" s="36" t="n">
        <f>485060000</f>
        <v>4.8506E8</v>
      </c>
      <c r="N42" s="21" t="n">
        <f>1328969714</f>
        <v>1.328969714E9</v>
      </c>
      <c r="O42" s="36" t="n">
        <f>1294660000</f>
        <v>1.29466E9</v>
      </c>
    </row>
    <row r="43" spans="1:15" ht="24.9" customHeight="1">
      <c r="A43" s="38"/>
      <c r="B43" s="62"/>
      <c r="C43" s="24" t="s">
        <v>18</v>
      </c>
      <c r="D43" s="25" t="n">
        <f>117178</f>
        <v>117178.0</v>
      </c>
      <c r="E43" s="37" t="n">
        <f>106300</f>
        <v>106300.0</v>
      </c>
      <c r="F43" s="25" t="n">
        <f>111411</f>
        <v>111411.0</v>
      </c>
      <c r="G43" s="37" t="n">
        <f>108550</f>
        <v>108550.0</v>
      </c>
      <c r="H43" s="25" t="n">
        <f>228589</f>
        <v>228589.0</v>
      </c>
      <c r="I43" s="37" t="n">
        <f>214850</f>
        <v>214850.0</v>
      </c>
      <c r="J43" s="25" t="n">
        <f>845334186</f>
        <v>8.45334186E8</v>
      </c>
      <c r="K43" s="37" t="n">
        <f>809600000</f>
        <v>8.096E8</v>
      </c>
      <c r="L43" s="25" t="n">
        <f>549031849</f>
        <v>5.49031849E8</v>
      </c>
      <c r="M43" s="37" t="n">
        <f>510065000</f>
        <v>5.10065E8</v>
      </c>
      <c r="N43" s="25" t="n">
        <f>1394366035</f>
        <v>1.394366035E9</v>
      </c>
      <c r="O43" s="37" t="n">
        <f>1319665000</f>
        <v>1.319665E9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