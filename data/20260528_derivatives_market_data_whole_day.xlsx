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<sst xmlns="http://schemas.openxmlformats.org/spreadsheetml/2006/main" count="528" uniqueCount="129">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</sst>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DATE(2026,05,28)</f>
        <v>46170.0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DATE(2026,05,28)</f>
        <v>46170.0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663250.0</f>
        <v>663250.0</v>
      </c>
      <c r="E12" s="18" t="n">
        <f>30672.0</f>
        <v>30672.0</v>
      </c>
      <c r="F12" s="19" t="n">
        <f>1.0</f>
        <v>1.0</v>
      </c>
      <c r="G12" s="17" t="n">
        <f>5260122232409.0</f>
        <v>5.260122232409E12</v>
      </c>
      <c r="H12" s="18" t="n">
        <f>342637018084.0</f>
        <v>3.42637018084E11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396956.0</f>
        <v>396956.0</v>
      </c>
      <c r="E13" s="22" t="n">
        <f>26285.0</f>
        <v>26285.0</v>
      </c>
      <c r="F13" s="23" t="n">
        <f>1.0</f>
        <v>1.0</v>
      </c>
      <c r="G13" s="21" t="n">
        <f>5309070996376.0</f>
        <v>5.309070996376E12</v>
      </c>
      <c r="H13" s="22" t="n">
        <f>625032729026.0</f>
        <v>6.25032729026E11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659673.0</f>
        <v>659673.0</v>
      </c>
      <c r="E14" s="22" t="n">
        <f>49705.0</f>
        <v>49705.0</v>
      </c>
      <c r="F14" s="23" t="n">
        <f>1.0</f>
        <v>1.0</v>
      </c>
      <c r="G14" s="21" t="n">
        <f>7488948126475.0</f>
        <v>7.488948126475E12</v>
      </c>
      <c r="H14" s="22" t="n">
        <f>1288067185425.0</f>
        <v>1.288067185425E12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1719879.0</f>
        <v>1719879.0</v>
      </c>
      <c r="E15" s="26" t="n">
        <f>106662.0</f>
        <v>106662.0</v>
      </c>
      <c r="F15" s="27" t="n">
        <f>1.0</f>
        <v>1.0</v>
      </c>
      <c r="G15" s="25" t="n">
        <f>18058141355260.0</f>
        <v>1.805814135526E13</v>
      </c>
      <c r="H15" s="26" t="n">
        <f>2255736932535.0</f>
        <v>2.255736932535E12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16872.0</f>
        <v>16872.0</v>
      </c>
      <c r="E16" s="18" t="n">
        <f>263.0</f>
        <v>263.0</v>
      </c>
      <c r="F16" s="19" t="n">
        <f>0.025</f>
        <v>0.025</v>
      </c>
      <c r="G16" s="17" t="n">
        <f>1748746833125.0</f>
        <v>1.748746833125E12</v>
      </c>
      <c r="H16" s="18" t="n">
        <f>33754690000.0</f>
        <v>3.375469E10</v>
      </c>
      <c r="I16" s="19" t="n">
        <f>0.332</f>
        <v>0.332</v>
      </c>
    </row>
    <row r="17" spans="1:9" ht="24.9" customHeight="1">
      <c r="A17" s="41"/>
      <c r="B17" s="39"/>
      <c r="C17" s="20" t="s">
        <v>16</v>
      </c>
      <c r="D17" s="21" t="n">
        <f>22267.0</f>
        <v>22267.0</v>
      </c>
      <c r="E17" s="22" t="n">
        <f>839.0</f>
        <v>839.0</v>
      </c>
      <c r="F17" s="23" t="n">
        <f>0.056</f>
        <v>0.056</v>
      </c>
      <c r="G17" s="21" t="n">
        <f>2700983971000.0</f>
        <v>2.700983971E12</v>
      </c>
      <c r="H17" s="22" t="n">
        <f>107833230000.0</f>
        <v>1.0783323E11</v>
      </c>
      <c r="I17" s="23" t="n">
        <f>0.509</f>
        <v>0.509</v>
      </c>
    </row>
    <row r="18" spans="1:9" ht="24.9" customHeight="1">
      <c r="A18" s="41"/>
      <c r="B18" s="39"/>
      <c r="C18" s="20" t="s">
        <v>17</v>
      </c>
      <c r="D18" s="21" t="n">
        <f>20219.0</f>
        <v>20219.0</v>
      </c>
      <c r="E18" s="22" t="n">
        <f>2443.0</f>
        <v>2443.0</v>
      </c>
      <c r="F18" s="23" t="n">
        <f>0.031</f>
        <v>0.031</v>
      </c>
      <c r="G18" s="21" t="n">
        <f>2452784800000.0</f>
        <v>2.4527848E12</v>
      </c>
      <c r="H18" s="22" t="n">
        <f>314204960000.0</f>
        <v>3.1420496E11</v>
      </c>
      <c r="I18" s="23" t="n">
        <f>0.328</f>
        <v>0.328</v>
      </c>
    </row>
    <row r="19" spans="1:9" ht="24.9" customHeight="1">
      <c r="A19" s="41"/>
      <c r="B19" s="39"/>
      <c r="C19" s="24" t="s">
        <v>18</v>
      </c>
      <c r="D19" s="25" t="n">
        <f>59358.0</f>
        <v>59358.0</v>
      </c>
      <c r="E19" s="26" t="n">
        <f>3545.0</f>
        <v>3545.0</v>
      </c>
      <c r="F19" s="27" t="n">
        <f>0.035</f>
        <v>0.035</v>
      </c>
      <c r="G19" s="25" t="n">
        <f>6902515604125.0</f>
        <v>6.902515604125E12</v>
      </c>
      <c r="H19" s="26" t="n">
        <f>455792880000.0</f>
        <v>4.5579288E11</v>
      </c>
      <c r="I19" s="27" t="n">
        <f>0.382</f>
        <v>0.382</v>
      </c>
    </row>
    <row r="20" spans="1:9" ht="24.9" customHeight="1">
      <c r="A20" s="41"/>
      <c r="B20" s="39" t="s">
        <v>21</v>
      </c>
      <c r="C20" s="16" t="s">
        <v>15</v>
      </c>
      <c r="D20" s="17" t="n">
        <f>624344.0</f>
        <v>624344.0</v>
      </c>
      <c r="E20" s="18" t="n">
        <f>30339.0</f>
        <v>30339.0</v>
      </c>
      <c r="F20" s="19" t="n">
        <f>0.941</f>
        <v>0.941</v>
      </c>
      <c r="G20" s="17" t="n">
        <f>3286488321434.0</f>
        <v>3.286488321434E12</v>
      </c>
      <c r="H20" s="18" t="n">
        <f>308806590084.0</f>
        <v>3.08806590084E11</v>
      </c>
      <c r="I20" s="19" t="n">
        <f>0.625</f>
        <v>0.625</v>
      </c>
    </row>
    <row r="21" spans="1:9" ht="24.9" customHeight="1">
      <c r="A21" s="41"/>
      <c r="B21" s="39"/>
      <c r="C21" s="20" t="s">
        <v>16</v>
      </c>
      <c r="D21" s="21" t="n">
        <f>366934.0</f>
        <v>366934.0</v>
      </c>
      <c r="E21" s="22" t="n">
        <f>25446.0</f>
        <v>25446.0</v>
      </c>
      <c r="F21" s="23" t="n">
        <f>0.924</f>
        <v>0.924</v>
      </c>
      <c r="G21" s="21" t="n">
        <f>2527855724326.0</f>
        <v>2.527855724326E12</v>
      </c>
      <c r="H21" s="22" t="n">
        <f>517199499026.0</f>
        <v>5.17199499026E11</v>
      </c>
      <c r="I21" s="23" t="n">
        <f>0.476</f>
        <v>0.476</v>
      </c>
    </row>
    <row r="22" spans="1:9" ht="24.9" customHeight="1">
      <c r="A22" s="41"/>
      <c r="B22" s="39"/>
      <c r="C22" s="20" t="s">
        <v>17</v>
      </c>
      <c r="D22" s="21" t="n">
        <f>618571.0</f>
        <v>618571.0</v>
      </c>
      <c r="E22" s="22" t="n">
        <f>45224.0</f>
        <v>45224.0</v>
      </c>
      <c r="F22" s="23" t="n">
        <f>0.938</f>
        <v>0.938</v>
      </c>
      <c r="G22" s="21" t="n">
        <f>4805887117375.0</f>
        <v>4.805887117375E12</v>
      </c>
      <c r="H22" s="22" t="n">
        <f>927510736225.0</f>
        <v>9.27510736225E11</v>
      </c>
      <c r="I22" s="23" t="n">
        <f>0.642</f>
        <v>0.642</v>
      </c>
    </row>
    <row r="23" spans="1:9" ht="24.9" customHeight="1">
      <c r="A23" s="41"/>
      <c r="B23" s="39"/>
      <c r="C23" s="24" t="s">
        <v>18</v>
      </c>
      <c r="D23" s="25" t="n">
        <f>1609849.0</f>
        <v>1609849.0</v>
      </c>
      <c r="E23" s="26" t="n">
        <f>101009.0</f>
        <v>101009.0</v>
      </c>
      <c r="F23" s="27" t="n">
        <f>0.936</f>
        <v>0.936</v>
      </c>
      <c r="G23" s="25" t="n">
        <f>10620231163135.0</f>
        <v>1.0620231163135E13</v>
      </c>
      <c r="H23" s="26" t="n">
        <f>1753516825335.0</f>
        <v>1.753516825335E12</v>
      </c>
      <c r="I23" s="27" t="n">
        <f>0.588</f>
        <v>0.588</v>
      </c>
    </row>
    <row r="24" spans="1:9" ht="24.9" customHeight="1">
      <c r="A24" s="41"/>
      <c r="B24" s="39" t="s">
        <v>22</v>
      </c>
      <c r="C24" s="16" t="s">
        <v>15</v>
      </c>
      <c r="D24" s="17" t="n">
        <f>21595.0</f>
        <v>21595.0</v>
      </c>
      <c r="E24" s="18" t="n">
        <f>0.0</f>
        <v>0.0</v>
      </c>
      <c r="F24" s="19" t="n">
        <f>0.033</f>
        <v>0.033</v>
      </c>
      <c r="G24" s="17" t="n">
        <f>223324250350.0</f>
        <v>2.2332425035E11</v>
      </c>
      <c r="H24" s="18" t="n">
        <f>0.0</f>
        <v>0.0</v>
      </c>
      <c r="I24" s="19" t="n">
        <f>0.042</f>
        <v>0.042</v>
      </c>
    </row>
    <row r="25" spans="1:9" ht="24.9" customHeight="1">
      <c r="A25" s="41"/>
      <c r="B25" s="39"/>
      <c r="C25" s="20" t="s">
        <v>16</v>
      </c>
      <c r="D25" s="21" t="n">
        <f>7593.0</f>
        <v>7593.0</v>
      </c>
      <c r="E25" s="22" t="n">
        <f>0.0</f>
        <v>0.0</v>
      </c>
      <c r="F25" s="23" t="n">
        <f>0.019</f>
        <v>0.019</v>
      </c>
      <c r="G25" s="21" t="n">
        <f>79568556050.0</f>
        <v>7.956855605E10</v>
      </c>
      <c r="H25" s="22" t="n">
        <f>0.0</f>
        <v>0.0</v>
      </c>
      <c r="I25" s="23" t="n">
        <f>0.015</f>
        <v>0.015</v>
      </c>
    </row>
    <row r="26" spans="1:9" ht="24.9" customHeight="1">
      <c r="A26" s="41"/>
      <c r="B26" s="39"/>
      <c r="C26" s="20" t="s">
        <v>17</v>
      </c>
      <c r="D26" s="21" t="n">
        <f>20016.0</f>
        <v>20016.0</v>
      </c>
      <c r="E26" s="22" t="n">
        <f>2008.0</f>
        <v>2008.0</v>
      </c>
      <c r="F26" s="23" t="n">
        <f>0.03</f>
        <v>0.03</v>
      </c>
      <c r="G26" s="21" t="n">
        <f>226782867400.0</f>
        <v>2.267828674E11</v>
      </c>
      <c r="H26" s="22" t="n">
        <f>46308300000.0</f>
        <v>4.63083E10</v>
      </c>
      <c r="I26" s="23" t="n">
        <f>0.03</f>
        <v>0.03</v>
      </c>
    </row>
    <row r="27" spans="1:9" ht="24.9" customHeight="1">
      <c r="A27" s="42"/>
      <c r="B27" s="39"/>
      <c r="C27" s="24" t="s">
        <v>18</v>
      </c>
      <c r="D27" s="25" t="n">
        <f>49204.0</f>
        <v>49204.0</v>
      </c>
      <c r="E27" s="26" t="n">
        <f>2008.0</f>
        <v>2008.0</v>
      </c>
      <c r="F27" s="27" t="n">
        <f>0.029</f>
        <v>0.029</v>
      </c>
      <c r="G27" s="25" t="n">
        <f>529675673800.0</f>
        <v>5.296756738E11</v>
      </c>
      <c r="H27" s="26" t="n">
        <f>46308300000.0</f>
        <v>4.63083E10</v>
      </c>
      <c r="I27" s="27" t="n">
        <f>0.029</f>
        <v>0.029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439.0</f>
        <v>439.0</v>
      </c>
      <c r="E28" s="18" t="n">
        <f>70.0</f>
        <v>70.0</v>
      </c>
      <c r="F28" s="19" t="n">
        <f>0.001</f>
        <v>0.001</v>
      </c>
      <c r="G28" s="17" t="n">
        <f>1562827500.0</f>
        <v>1.5628275E9</v>
      </c>
      <c r="H28" s="18" t="n">
        <f>75738000.0</f>
        <v>7.5738E7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162.0</f>
        <v>162.0</v>
      </c>
      <c r="E29" s="22" t="n">
        <f>0.0</f>
        <v>0.0</v>
      </c>
      <c r="F29" s="23" t="n">
        <f>0.0</f>
        <v>0.0</v>
      </c>
      <c r="G29" s="21" t="n">
        <f>662745000.0</f>
        <v>6.62745E8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867.0</f>
        <v>867.0</v>
      </c>
      <c r="E30" s="22" t="n">
        <f>30.0</f>
        <v>30.0</v>
      </c>
      <c r="F30" s="23" t="n">
        <f>0.001</f>
        <v>0.001</v>
      </c>
      <c r="G30" s="21" t="n">
        <f>3493341700.0</f>
        <v>3.4933417E9</v>
      </c>
      <c r="H30" s="22" t="n">
        <f>43189200.0</f>
        <v>4.31892E7</v>
      </c>
      <c r="I30" s="23" t="n">
        <f>0.0</f>
        <v>0.0</v>
      </c>
    </row>
    <row r="31" spans="1:9" ht="24.9" customHeight="1">
      <c r="A31" s="38"/>
      <c r="B31" s="39"/>
      <c r="C31" s="24" t="s">
        <v>18</v>
      </c>
      <c r="D31" s="25" t="n">
        <f>1468.0</f>
        <v>1468.0</v>
      </c>
      <c r="E31" s="26" t="n">
        <f>100.0</f>
        <v>100.0</v>
      </c>
      <c r="F31" s="27" t="n">
        <f>0.001</f>
        <v>0.001</v>
      </c>
      <c r="G31" s="25" t="n">
        <f>5718914200.0</f>
        <v>5.7189142E9</v>
      </c>
      <c r="H31" s="26" t="n">
        <f>118927200.0</f>
        <v>1.189272E8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46170.0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46170.0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24538</f>
        <v>24538.0</v>
      </c>
      <c r="E11" s="18" t="n">
        <f>5732</f>
        <v>5732.0</v>
      </c>
      <c r="F11" s="19" t="n">
        <f>1</f>
        <v>1.0</v>
      </c>
      <c r="G11" s="17" t="n">
        <f>5112174210</f>
        <v>5.11217421E9</v>
      </c>
      <c r="H11" s="18" t="n">
        <f>3664535410</f>
        <v>3.66453541E9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26085</f>
        <v>26085.0</v>
      </c>
      <c r="E12" s="22" t="n">
        <f>2299</f>
        <v>2299.0</v>
      </c>
      <c r="F12" s="23" t="n">
        <f>1</f>
        <v>1.0</v>
      </c>
      <c r="G12" s="21" t="n">
        <f>3360772950</f>
        <v>3.36077295E9</v>
      </c>
      <c r="H12" s="22" t="n">
        <f>2239351323</f>
        <v>2.239351323E9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61741</f>
        <v>61741.0</v>
      </c>
      <c r="E13" s="22" t="n">
        <f>17370</f>
        <v>17370.0</v>
      </c>
      <c r="F13" s="23" t="n">
        <f>1</f>
        <v>1.0</v>
      </c>
      <c r="G13" s="21" t="n">
        <f>22295152626</f>
        <v>2.2295152626E10</v>
      </c>
      <c r="H13" s="22" t="n">
        <f>18080104271</f>
        <v>1.8080104271E10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112364</f>
        <v>112364.0</v>
      </c>
      <c r="E14" s="26" t="n">
        <f>25401</f>
        <v>25401.0</v>
      </c>
      <c r="F14" s="27" t="n">
        <f>1</f>
        <v>1.0</v>
      </c>
      <c r="G14" s="25" t="n">
        <f>30768099786</f>
        <v>3.0768099786E10</v>
      </c>
      <c r="H14" s="26" t="n">
        <f>23983991004</f>
        <v>2.3983991004E10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7</f>
        <v>7.0</v>
      </c>
      <c r="E15" s="18" t="n">
        <f>0</f>
        <v>0.0</v>
      </c>
      <c r="F15" s="19" t="n">
        <f>0</f>
        <v>0.0</v>
      </c>
      <c r="G15" s="17" t="n">
        <f>210000</f>
        <v>210000.0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63</f>
        <v>63.0</v>
      </c>
      <c r="E16" s="22" t="n">
        <f>0</f>
        <v>0.0</v>
      </c>
      <c r="F16" s="23" t="n">
        <f>0.002</f>
        <v>0.002</v>
      </c>
      <c r="G16" s="21" t="n">
        <f>4200000</f>
        <v>4200000.0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72</f>
        <v>72.0</v>
      </c>
      <c r="E17" s="22" t="n">
        <f>0</f>
        <v>0.0</v>
      </c>
      <c r="F17" s="23" t="n">
        <f>0.001</f>
        <v>0.001</v>
      </c>
      <c r="G17" s="21" t="n">
        <f>2760000</f>
        <v>2760000.0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142</f>
        <v>142.0</v>
      </c>
      <c r="E18" s="26" t="n">
        <f>0</f>
        <v>0.0</v>
      </c>
      <c r="F18" s="27" t="n">
        <f>0.001</f>
        <v>0.001</v>
      </c>
      <c r="G18" s="25" t="n">
        <f>7170000</f>
        <v>7170000.0</v>
      </c>
      <c r="H18" s="26" t="n">
        <f>0</f>
        <v>0.0</v>
      </c>
      <c r="I18" s="27" t="n">
        <f>0</f>
        <v>0.0</v>
      </c>
    </row>
    <row r="19" spans="1:9" ht="24.9" customHeight="1">
      <c r="A19" s="41"/>
      <c r="B19" s="39" t="s">
        <v>31</v>
      </c>
      <c r="C19" s="16" t="s">
        <v>15</v>
      </c>
      <c r="D19" s="17" t="n">
        <f>24531</f>
        <v>24531.0</v>
      </c>
      <c r="E19" s="18" t="n">
        <f>5732</f>
        <v>5732.0</v>
      </c>
      <c r="F19" s="19" t="n">
        <f>1</f>
        <v>1.0</v>
      </c>
      <c r="G19" s="17" t="n">
        <f>5111964210</f>
        <v>5.11196421E9</v>
      </c>
      <c r="H19" s="18" t="n">
        <f>3664535410</f>
        <v>3.66453541E9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19036</f>
        <v>19036.0</v>
      </c>
      <c r="E20" s="22" t="n">
        <f>2299</f>
        <v>2299.0</v>
      </c>
      <c r="F20" s="23" t="n">
        <f>0.73</f>
        <v>0.73</v>
      </c>
      <c r="G20" s="21" t="n">
        <f>3329556723</f>
        <v>3.329556723E9</v>
      </c>
      <c r="H20" s="22" t="n">
        <f>2239351323</f>
        <v>2.239351323E9</v>
      </c>
      <c r="I20" s="23" t="n">
        <f>0.991</f>
        <v>0.991</v>
      </c>
    </row>
    <row r="21" spans="1:9" ht="24.9" customHeight="1">
      <c r="A21" s="41"/>
      <c r="B21" s="39"/>
      <c r="C21" s="20" t="s">
        <v>17</v>
      </c>
      <c r="D21" s="21" t="n">
        <f>52418</f>
        <v>52418.0</v>
      </c>
      <c r="E21" s="22" t="n">
        <f>15970</f>
        <v>15970.0</v>
      </c>
      <c r="F21" s="23" t="n">
        <f>0.849</f>
        <v>0.849</v>
      </c>
      <c r="G21" s="21" t="n">
        <f>22150301471</f>
        <v>2.2150301471E10</v>
      </c>
      <c r="H21" s="22" t="n">
        <f>17987704271</f>
        <v>1.7987704271E10</v>
      </c>
      <c r="I21" s="23" t="n">
        <f>0.994</f>
        <v>0.994</v>
      </c>
    </row>
    <row r="22" spans="1:9" ht="24.9" customHeight="1">
      <c r="A22" s="41"/>
      <c r="B22" s="39"/>
      <c r="C22" s="24" t="s">
        <v>18</v>
      </c>
      <c r="D22" s="25" t="n">
        <f>95985</f>
        <v>95985.0</v>
      </c>
      <c r="E22" s="26" t="n">
        <f>24001</f>
        <v>24001.0</v>
      </c>
      <c r="F22" s="27" t="n">
        <f>0.854</f>
        <v>0.854</v>
      </c>
      <c r="G22" s="25" t="n">
        <f>30591822404</f>
        <v>3.0591822404E10</v>
      </c>
      <c r="H22" s="26" t="n">
        <f>23891591004</f>
        <v>2.3891591004E10</v>
      </c>
      <c r="I22" s="27" t="n">
        <f>0.994</f>
        <v>0.994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6986</f>
        <v>6986.0</v>
      </c>
      <c r="E24" s="22" t="n">
        <f>0</f>
        <v>0.0</v>
      </c>
      <c r="F24" s="23" t="n">
        <f>0.268</f>
        <v>0.268</v>
      </c>
      <c r="G24" s="21" t="n">
        <f>27016227</f>
        <v>2.7016227E7</v>
      </c>
      <c r="H24" s="22" t="n">
        <f>0</f>
        <v>0.0</v>
      </c>
      <c r="I24" s="23" t="n">
        <f>0.008</f>
        <v>0.008</v>
      </c>
    </row>
    <row r="25" spans="1:9" ht="24.9" customHeight="1">
      <c r="A25" s="41"/>
      <c r="B25" s="39"/>
      <c r="C25" s="20" t="s">
        <v>17</v>
      </c>
      <c r="D25" s="21" t="n">
        <f>9251</f>
        <v>9251.0</v>
      </c>
      <c r="E25" s="22" t="n">
        <f>1400</f>
        <v>1400.0</v>
      </c>
      <c r="F25" s="23" t="n">
        <f>0.15</f>
        <v>0.15</v>
      </c>
      <c r="G25" s="21" t="n">
        <f>142091155</f>
        <v>1.42091155E8</v>
      </c>
      <c r="H25" s="22" t="n">
        <f>92400000</f>
        <v>9.24E7</v>
      </c>
      <c r="I25" s="23" t="n">
        <f>0.006</f>
        <v>0.006</v>
      </c>
    </row>
    <row r="26" spans="1:9" ht="24.9" customHeight="1">
      <c r="A26" s="41"/>
      <c r="B26" s="39"/>
      <c r="C26" s="24" t="s">
        <v>18</v>
      </c>
      <c r="D26" s="25" t="n">
        <f>16237</f>
        <v>16237.0</v>
      </c>
      <c r="E26" s="26" t="n">
        <f>1400</f>
        <v>1400.0</v>
      </c>
      <c r="F26" s="27" t="n">
        <f>0.145</f>
        <v>0.145</v>
      </c>
      <c r="G26" s="25" t="n">
        <f>169107382</f>
        <v>1.69107382E8</v>
      </c>
      <c r="H26" s="26" t="n">
        <f>92400000</f>
        <v>9.24E7</v>
      </c>
      <c r="I26" s="27" t="n">
        <f>0.005</f>
        <v>0.005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46170.0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46170.0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12582.0</v>
      </c>
      <c r="F12" s="18" t="n">
        <f>1493</f>
        <v>1493.0</v>
      </c>
      <c r="G12" s="17" t="n">
        <v>8.202875701E11</v>
      </c>
      <c r="H12" s="18" t="n">
        <f>97235831100</f>
        <v>9.72358311E10</v>
      </c>
    </row>
    <row r="13" spans="1:8" ht="24.9" customHeight="1">
      <c r="A13" s="51"/>
      <c r="B13" s="57"/>
      <c r="C13" s="39"/>
      <c r="D13" s="20" t="s">
        <v>16</v>
      </c>
      <c r="E13" s="21" t="n">
        <v>11521.0</v>
      </c>
      <c r="F13" s="22" t="n">
        <f>3786</f>
        <v>3786.0</v>
      </c>
      <c r="G13" s="21" t="n">
        <v>7.473502742E11</v>
      </c>
      <c r="H13" s="22" t="n">
        <f>245987832200</f>
        <v>2.459878322E11</v>
      </c>
    </row>
    <row r="14" spans="1:8" ht="24.9" customHeight="1">
      <c r="A14" s="51"/>
      <c r="B14" s="57"/>
      <c r="C14" s="39"/>
      <c r="D14" s="20" t="s">
        <v>17</v>
      </c>
      <c r="E14" s="21" t="n">
        <v>24354.0</v>
      </c>
      <c r="F14" s="22" t="n">
        <f>6902</f>
        <v>6902.0</v>
      </c>
      <c r="G14" s="21" t="n">
        <v>1.5712608411E12</v>
      </c>
      <c r="H14" s="22" t="n">
        <f>446366427100</f>
        <v>4.463664271E11</v>
      </c>
    </row>
    <row r="15" spans="1:8" ht="24.9" customHeight="1">
      <c r="A15" s="51"/>
      <c r="B15" s="57"/>
      <c r="C15" s="39"/>
      <c r="D15" s="24" t="s">
        <v>18</v>
      </c>
      <c r="E15" s="25" t="n">
        <v>48457.0</v>
      </c>
      <c r="F15" s="26" t="n">
        <f>12181</f>
        <v>12181.0</v>
      </c>
      <c r="G15" s="25" t="n">
        <v>3.1388986854E12</v>
      </c>
      <c r="H15" s="26" t="n">
        <f>789590090400</f>
        <v>7.895900904E11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223792.0</v>
      </c>
      <c r="F16" s="18" t="n">
        <f>27006</f>
        <v>27006.0</v>
      </c>
      <c r="G16" s="17" t="n">
        <v>1.459047088248E12</v>
      </c>
      <c r="H16" s="18" t="n">
        <f>176119362248</f>
        <v>1.76119362248E11</v>
      </c>
    </row>
    <row r="17" spans="1:8" ht="24.9" customHeight="1">
      <c r="A17" s="51"/>
      <c r="B17" s="57"/>
      <c r="C17" s="39"/>
      <c r="D17" s="20" t="s">
        <v>16</v>
      </c>
      <c r="E17" s="21" t="n">
        <v>155996.0</v>
      </c>
      <c r="F17" s="22" t="n">
        <f>16464</f>
        <v>16464.0</v>
      </c>
      <c r="G17" s="21" t="n">
        <v>1.01134995142E12</v>
      </c>
      <c r="H17" s="22" t="n">
        <f>106736886420</f>
        <v>1.0673688642E11</v>
      </c>
    </row>
    <row r="18" spans="1:8" ht="24.9" customHeight="1">
      <c r="A18" s="51"/>
      <c r="B18" s="57"/>
      <c r="C18" s="39"/>
      <c r="D18" s="20" t="s">
        <v>17</v>
      </c>
      <c r="E18" s="21" t="n">
        <v>249484.0</v>
      </c>
      <c r="F18" s="22" t="n">
        <f>27834</f>
        <v>27834.0</v>
      </c>
      <c r="G18" s="21" t="n">
        <v>1.607649147123E12</v>
      </c>
      <c r="H18" s="22" t="n">
        <f>179355099723</f>
        <v>1.79355099723E11</v>
      </c>
    </row>
    <row r="19" spans="1:8" ht="24.9" customHeight="1">
      <c r="A19" s="51"/>
      <c r="B19" s="57"/>
      <c r="C19" s="39"/>
      <c r="D19" s="24" t="s">
        <v>18</v>
      </c>
      <c r="E19" s="25" t="n">
        <v>629272.0</v>
      </c>
      <c r="F19" s="26" t="n">
        <f>71304</f>
        <v>71304.0</v>
      </c>
      <c r="G19" s="25" t="n">
        <v>4.078046186791E12</v>
      </c>
      <c r="H19" s="26" t="n">
        <f>462211348391</f>
        <v>4.62211348391E11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362064.0</v>
      </c>
      <c r="F20" s="18" t="str">
        <f>"－"</f>
        <v>－</v>
      </c>
      <c r="G20" s="17" t="n">
        <v>2.3607422755E11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175768.0</v>
      </c>
      <c r="F21" s="22" t="str">
        <f>"－"</f>
        <v>－</v>
      </c>
      <c r="G21" s="21" t="n">
        <v>1.1398240715E11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292383.0</v>
      </c>
      <c r="F22" s="22" t="str">
        <f>"－"</f>
        <v>－</v>
      </c>
      <c r="G22" s="21" t="n">
        <v>1.88449935E11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830215.0</v>
      </c>
      <c r="F23" s="26" t="str">
        <f>"－"</f>
        <v>－</v>
      </c>
      <c r="G23" s="25" t="n">
        <v>5.385065697E11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19073.0</v>
      </c>
      <c r="F24" s="18" t="n">
        <f>839</f>
        <v>839.0</v>
      </c>
      <c r="G24" s="17" t="n">
        <v>7.476719798E11</v>
      </c>
      <c r="H24" s="18" t="n">
        <f>32886707800</f>
        <v>3.28867078E10</v>
      </c>
    </row>
    <row r="25" spans="1:8" ht="24.9" customHeight="1">
      <c r="A25" s="51"/>
      <c r="B25" s="57"/>
      <c r="C25" s="39"/>
      <c r="D25" s="20" t="s">
        <v>16</v>
      </c>
      <c r="E25" s="21" t="n">
        <v>16190.0</v>
      </c>
      <c r="F25" s="22" t="n">
        <f>4150</f>
        <v>4150.0</v>
      </c>
      <c r="G25" s="21" t="n">
        <v>6.32180821128E11</v>
      </c>
      <c r="H25" s="22" t="n">
        <f>162071501128</f>
        <v>1.62071501128E11</v>
      </c>
    </row>
    <row r="26" spans="1:8" ht="24.9" customHeight="1">
      <c r="A26" s="51"/>
      <c r="B26" s="57"/>
      <c r="C26" s="39"/>
      <c r="D26" s="20" t="s">
        <v>17</v>
      </c>
      <c r="E26" s="21" t="n">
        <v>35639.0</v>
      </c>
      <c r="F26" s="22" t="n">
        <f>7591</f>
        <v>7591.0</v>
      </c>
      <c r="G26" s="21" t="n">
        <v>1.388231558E12</v>
      </c>
      <c r="H26" s="22" t="n">
        <f>295916428000</f>
        <v>2.95916428E11</v>
      </c>
    </row>
    <row r="27" spans="1:8" ht="24.9" customHeight="1">
      <c r="A27" s="51"/>
      <c r="B27" s="57"/>
      <c r="C27" s="39"/>
      <c r="D27" s="24" t="s">
        <v>18</v>
      </c>
      <c r="E27" s="25" t="n">
        <v>70902.0</v>
      </c>
      <c r="F27" s="26" t="n">
        <f>12580</f>
        <v>12580.0</v>
      </c>
      <c r="G27" s="25" t="n">
        <v>2.768084358928E12</v>
      </c>
      <c r="H27" s="26" t="n">
        <f>490874636928</f>
        <v>4.90874636928E11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4971.0</v>
      </c>
      <c r="F28" s="18" t="n">
        <f>342</f>
        <v>342.0</v>
      </c>
      <c r="G28" s="17" t="n">
        <v>1.948785895E10</v>
      </c>
      <c r="H28" s="18" t="n">
        <f>1340863450</f>
        <v>1.34086345E9</v>
      </c>
    </row>
    <row r="29" spans="1:8" ht="24.9" customHeight="1">
      <c r="A29" s="51"/>
      <c r="B29" s="57"/>
      <c r="C29" s="39"/>
      <c r="D29" s="20" t="s">
        <v>16</v>
      </c>
      <c r="E29" s="21" t="n">
        <v>4660.0</v>
      </c>
      <c r="F29" s="22" t="n">
        <f>263</f>
        <v>263.0</v>
      </c>
      <c r="G29" s="21" t="n">
        <v>1.81906937E10</v>
      </c>
      <c r="H29" s="22" t="n">
        <f>1026305950</f>
        <v>1.02630595E9</v>
      </c>
    </row>
    <row r="30" spans="1:8" ht="24.9" customHeight="1">
      <c r="A30" s="51"/>
      <c r="B30" s="57"/>
      <c r="C30" s="39"/>
      <c r="D30" s="20" t="s">
        <v>17</v>
      </c>
      <c r="E30" s="21" t="n">
        <v>9797.0</v>
      </c>
      <c r="F30" s="22" t="n">
        <f>506</f>
        <v>506.0</v>
      </c>
      <c r="G30" s="21" t="n">
        <v>3.814200435E10</v>
      </c>
      <c r="H30" s="22" t="n">
        <f>1968891600</f>
        <v>1.9688916E9</v>
      </c>
    </row>
    <row r="31" spans="1:8" ht="24.9" customHeight="1">
      <c r="A31" s="51"/>
      <c r="B31" s="57"/>
      <c r="C31" s="39"/>
      <c r="D31" s="24" t="s">
        <v>18</v>
      </c>
      <c r="E31" s="25" t="n">
        <v>19428.0</v>
      </c>
      <c r="F31" s="26" t="n">
        <f>1111</f>
        <v>1111.0</v>
      </c>
      <c r="G31" s="25" t="n">
        <v>7.5820557E10</v>
      </c>
      <c r="H31" s="26" t="n">
        <f>4336061000</f>
        <v>4.336061E9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281.0</v>
      </c>
      <c r="F36" s="18" t="n">
        <f>15</f>
        <v>15.0</v>
      </c>
      <c r="G36" s="17" t="n">
        <v>1.001090506E9</v>
      </c>
      <c r="H36" s="18" t="n">
        <f>53444006</f>
        <v>5.3444006E7</v>
      </c>
    </row>
    <row r="37" spans="1:8" ht="24.9" customHeight="1">
      <c r="A37" s="51"/>
      <c r="B37" s="57"/>
      <c r="C37" s="39"/>
      <c r="D37" s="20" t="s">
        <v>16</v>
      </c>
      <c r="E37" s="21" t="n">
        <v>508.0</v>
      </c>
      <c r="F37" s="22" t="n">
        <f>0</f>
        <v>0.0</v>
      </c>
      <c r="G37" s="21" t="n">
        <v>1.8033465E9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1539.0</v>
      </c>
      <c r="F38" s="22" t="n">
        <f>15</f>
        <v>15.0</v>
      </c>
      <c r="G38" s="21" t="n">
        <v>5.447805632E9</v>
      </c>
      <c r="H38" s="22" t="n">
        <f>53184632</f>
        <v>5.3184632E7</v>
      </c>
    </row>
    <row r="39" spans="1:8" ht="24.9" customHeight="1">
      <c r="A39" s="51"/>
      <c r="B39" s="57"/>
      <c r="C39" s="39"/>
      <c r="D39" s="24" t="s">
        <v>18</v>
      </c>
      <c r="E39" s="25" t="n">
        <v>2328.0</v>
      </c>
      <c r="F39" s="26" t="n">
        <f>30</f>
        <v>30.0</v>
      </c>
      <c r="G39" s="25" t="n">
        <v>8.252242638E9</v>
      </c>
      <c r="H39" s="26" t="n">
        <f>106628638</f>
        <v>1.06628638E8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626.0</v>
      </c>
      <c r="F48" s="18" t="n">
        <f>626</f>
        <v>626.0</v>
      </c>
      <c r="G48" s="17" t="n">
        <v>1.13010528E9</v>
      </c>
      <c r="H48" s="18" t="n">
        <f>1130105280</f>
        <v>1.13010528E9</v>
      </c>
    </row>
    <row r="49" spans="1:8" ht="24.9" customHeight="1">
      <c r="A49" s="51"/>
      <c r="B49" s="57"/>
      <c r="C49" s="39"/>
      <c r="D49" s="20" t="s">
        <v>16</v>
      </c>
      <c r="E49" s="21" t="n">
        <v>815.0</v>
      </c>
      <c r="F49" s="22" t="n">
        <f>753</f>
        <v>753.0</v>
      </c>
      <c r="G49" s="21" t="n">
        <v>1.463320828E9</v>
      </c>
      <c r="H49" s="22" t="n">
        <f>1352185328</f>
        <v>1.352185328E9</v>
      </c>
    </row>
    <row r="50" spans="1:8" ht="24.9" customHeight="1">
      <c r="A50" s="51"/>
      <c r="B50" s="57"/>
      <c r="C50" s="39"/>
      <c r="D50" s="20" t="s">
        <v>17</v>
      </c>
      <c r="E50" s="21" t="n">
        <v>2198.0</v>
      </c>
      <c r="F50" s="22" t="n">
        <f>1924</f>
        <v>1924.0</v>
      </c>
      <c r="G50" s="21" t="n">
        <v>3.95399781E9</v>
      </c>
      <c r="H50" s="22" t="n">
        <f>3462287810</f>
        <v>3.46228781E9</v>
      </c>
    </row>
    <row r="51" spans="1:8" ht="24.9" customHeight="1">
      <c r="A51" s="51"/>
      <c r="B51" s="57"/>
      <c r="C51" s="39"/>
      <c r="D51" s="24" t="s">
        <v>18</v>
      </c>
      <c r="E51" s="25" t="n">
        <v>3639.0</v>
      </c>
      <c r="F51" s="26" t="n">
        <f>3303</f>
        <v>3303.0</v>
      </c>
      <c r="G51" s="25" t="n">
        <v>6.547423918E9</v>
      </c>
      <c r="H51" s="26" t="n">
        <f>5944578418</f>
        <v>5.944578418E9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469.0</v>
      </c>
      <c r="F56" s="18" t="n">
        <f>12</f>
        <v>12.0</v>
      </c>
      <c r="G56" s="17" t="n">
        <v>3.84734E8</v>
      </c>
      <c r="H56" s="18" t="n">
        <f>9853000</f>
        <v>9853000.0</v>
      </c>
    </row>
    <row r="57" spans="1:8" ht="24.9" customHeight="1">
      <c r="A57" s="51"/>
      <c r="B57" s="57"/>
      <c r="C57" s="39"/>
      <c r="D57" s="20" t="s">
        <v>16</v>
      </c>
      <c r="E57" s="21" t="n">
        <v>1234.0</v>
      </c>
      <c r="F57" s="22" t="n">
        <f>30</f>
        <v>30.0</v>
      </c>
      <c r="G57" s="21" t="n">
        <v>1.017431E9</v>
      </c>
      <c r="H57" s="22" t="n">
        <f>24788000</f>
        <v>2.4788E7</v>
      </c>
    </row>
    <row r="58" spans="1:8" ht="24.9" customHeight="1">
      <c r="A58" s="51"/>
      <c r="B58" s="57"/>
      <c r="C58" s="39"/>
      <c r="D58" s="20" t="s">
        <v>17</v>
      </c>
      <c r="E58" s="21" t="n">
        <v>3116.0</v>
      </c>
      <c r="F58" s="22" t="n">
        <f>449</f>
        <v>449.0</v>
      </c>
      <c r="G58" s="21" t="n">
        <v>2.54501635E9</v>
      </c>
      <c r="H58" s="22" t="n">
        <f>373223350</f>
        <v>3.7322335E8</v>
      </c>
    </row>
    <row r="59" spans="1:8" ht="24.9" customHeight="1">
      <c r="A59" s="51"/>
      <c r="B59" s="57"/>
      <c r="C59" s="39"/>
      <c r="D59" s="24" t="s">
        <v>18</v>
      </c>
      <c r="E59" s="25" t="n">
        <v>4819.0</v>
      </c>
      <c r="F59" s="26" t="n">
        <f>491</f>
        <v>491.0</v>
      </c>
      <c r="G59" s="25" t="n">
        <v>3.94718135E9</v>
      </c>
      <c r="H59" s="26" t="n">
        <f>407864350</f>
        <v>4.0786435E8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152.0</v>
      </c>
      <c r="F60" s="18" t="n">
        <f>6</f>
        <v>6.0</v>
      </c>
      <c r="G60" s="17" t="n">
        <v>7.709501E8</v>
      </c>
      <c r="H60" s="18" t="n">
        <f>30423200</f>
        <v>3.04232E7</v>
      </c>
    </row>
    <row r="61" spans="1:8" ht="24.9" customHeight="1">
      <c r="A61" s="51"/>
      <c r="B61" s="57"/>
      <c r="C61" s="39"/>
      <c r="D61" s="20" t="s">
        <v>16</v>
      </c>
      <c r="E61" s="21" t="n">
        <v>3.0</v>
      </c>
      <c r="F61" s="22" t="n">
        <f>0</f>
        <v>0.0</v>
      </c>
      <c r="G61" s="21" t="n">
        <v>1.52281E7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36.0</v>
      </c>
      <c r="F62" s="22" t="n">
        <f>3</f>
        <v>3.0</v>
      </c>
      <c r="G62" s="21" t="n">
        <v>1.8238131E8</v>
      </c>
      <c r="H62" s="22" t="n">
        <f>15194010</f>
        <v>1.519401E7</v>
      </c>
    </row>
    <row r="63" spans="1:8" ht="24.9" customHeight="1">
      <c r="A63" s="51"/>
      <c r="B63" s="57"/>
      <c r="C63" s="39"/>
      <c r="D63" s="24" t="s">
        <v>18</v>
      </c>
      <c r="E63" s="25" t="n">
        <v>191.0</v>
      </c>
      <c r="F63" s="26" t="n">
        <f>9</f>
        <v>9.0</v>
      </c>
      <c r="G63" s="25" t="n">
        <v>9.6855951E8</v>
      </c>
      <c r="H63" s="26" t="n">
        <f>45617210</f>
        <v>4.561721E7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2.0</v>
      </c>
      <c r="F77" s="22" t="n">
        <f>0</f>
        <v>0.0</v>
      </c>
      <c r="G77" s="21" t="n">
        <v>675500.0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13.0</v>
      </c>
      <c r="F78" s="22" t="n">
        <f>0</f>
        <v>0.0</v>
      </c>
      <c r="G78" s="21" t="n">
        <v>4552500.0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15.0</v>
      </c>
      <c r="F79" s="26" t="n">
        <f>0</f>
        <v>0.0</v>
      </c>
      <c r="G79" s="25" t="n">
        <v>5228000.0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5.0</v>
      </c>
      <c r="F92" s="18" t="n">
        <f>0</f>
        <v>0.0</v>
      </c>
      <c r="G92" s="17" t="n">
        <v>7956300.0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8.0</v>
      </c>
      <c r="F93" s="22" t="n">
        <f>0</f>
        <v>0.0</v>
      </c>
      <c r="G93" s="21" t="n">
        <v>1.27504E7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11.0</v>
      </c>
      <c r="F94" s="22" t="n">
        <f>0</f>
        <v>0.0</v>
      </c>
      <c r="G94" s="21" t="n">
        <v>1.7527E7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24.0</v>
      </c>
      <c r="F95" s="26" t="n">
        <f>0</f>
        <v>0.0</v>
      </c>
      <c r="G95" s="25" t="n">
        <v>3.82337E7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29.0</v>
      </c>
      <c r="F96" s="18" t="n">
        <f>0</f>
        <v>0.0</v>
      </c>
      <c r="G96" s="17" t="n">
        <v>6.81556E7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129.0</v>
      </c>
      <c r="F97" s="22" t="n">
        <f>0</f>
        <v>0.0</v>
      </c>
      <c r="G97" s="21" t="n">
        <v>3.036094E8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1.0</v>
      </c>
      <c r="F98" s="22" t="n">
        <f>0</f>
        <v>0.0</v>
      </c>
      <c r="G98" s="21" t="n">
        <v>2351200.0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159.0</v>
      </c>
      <c r="F99" s="26" t="n">
        <f>0</f>
        <v>0.0</v>
      </c>
      <c r="G99" s="25" t="n">
        <v>3.741162E8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300.0</v>
      </c>
      <c r="F100" s="18" t="n">
        <f>0</f>
        <v>0.0</v>
      </c>
      <c r="G100" s="17" t="n">
        <v>5.56605E8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100.0</v>
      </c>
      <c r="F101" s="22" t="n">
        <f>0</f>
        <v>0.0</v>
      </c>
      <c r="G101" s="21" t="n">
        <v>1.85215E8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400.0</v>
      </c>
      <c r="F103" s="26" t="n">
        <f>0</f>
        <v>0.0</v>
      </c>
      <c r="G103" s="25" t="n">
        <v>7.4182E8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12823.0</v>
      </c>
      <c r="F108" s="18" t="n">
        <f>263</f>
        <v>263.0</v>
      </c>
      <c r="G108" s="17" t="n">
        <v>1.64856488E12</v>
      </c>
      <c r="H108" s="18" t="n">
        <f>33754690000</f>
        <v>3.375469E10</v>
      </c>
    </row>
    <row r="109" spans="1:8" ht="24.9" customHeight="1">
      <c r="A109" s="51"/>
      <c r="B109" s="57"/>
      <c r="C109" s="39"/>
      <c r="D109" s="20" t="s">
        <v>16</v>
      </c>
      <c r="E109" s="21" t="n">
        <v>20785.0</v>
      </c>
      <c r="F109" s="22" t="n">
        <f>839</f>
        <v>839.0</v>
      </c>
      <c r="G109" s="21" t="n">
        <v>2.66862704E12</v>
      </c>
      <c r="H109" s="22" t="n">
        <f>107833230000</f>
        <v>1.0783323E11</v>
      </c>
    </row>
    <row r="110" spans="1:8" ht="24.9" customHeight="1">
      <c r="A110" s="51"/>
      <c r="B110" s="57"/>
      <c r="C110" s="39"/>
      <c r="D110" s="20" t="s">
        <v>17</v>
      </c>
      <c r="E110" s="21" t="n">
        <v>18878.0</v>
      </c>
      <c r="F110" s="22" t="n">
        <f>2443</f>
        <v>2443.0</v>
      </c>
      <c r="G110" s="21" t="n">
        <v>2.42836804E12</v>
      </c>
      <c r="H110" s="22" t="n">
        <f>314204960000</f>
        <v>3.1420496E11</v>
      </c>
    </row>
    <row r="111" spans="1:8" ht="24.9" customHeight="1">
      <c r="A111" s="51"/>
      <c r="B111" s="57"/>
      <c r="C111" s="39"/>
      <c r="D111" s="24" t="s">
        <v>18</v>
      </c>
      <c r="E111" s="25" t="n">
        <v>52486.0</v>
      </c>
      <c r="F111" s="26" t="n">
        <f>3545</f>
        <v>3545.0</v>
      </c>
      <c r="G111" s="25" t="n">
        <v>6.74555996E12</v>
      </c>
      <c r="H111" s="26" t="n">
        <f>455792880000</f>
        <v>4.5579288E11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362.0</v>
      </c>
      <c r="F113" s="22" t="n">
        <f>0</f>
        <v>0.0</v>
      </c>
      <c r="G113" s="21" t="n">
        <v>4.650381E9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540.0</v>
      </c>
      <c r="F114" s="22" t="n">
        <f>0</f>
        <v>0.0</v>
      </c>
      <c r="G114" s="21" t="n">
        <v>6.94722E9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902.0</v>
      </c>
      <c r="F115" s="26" t="n">
        <f>0</f>
        <v>0.0</v>
      </c>
      <c r="G115" s="25" t="n">
        <v>1.1597601E10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150.0</v>
      </c>
      <c r="F118" s="22" t="n">
        <f>0</f>
        <v>0.0</v>
      </c>
      <c r="G118" s="21" t="n">
        <v>1.381E9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150.0</v>
      </c>
      <c r="F119" s="26" t="n">
        <f>0</f>
        <v>0.0</v>
      </c>
      <c r="G119" s="25" t="n">
        <v>1.381E9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4049.0</v>
      </c>
      <c r="F120" s="18" t="n">
        <f>0</f>
        <v>0.0</v>
      </c>
      <c r="G120" s="17" t="n">
        <v>1.00181953125E11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1120.0</v>
      </c>
      <c r="F121" s="22" t="n">
        <f>0</f>
        <v>0.0</v>
      </c>
      <c r="G121" s="21" t="n">
        <v>2.770655E10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651.0</v>
      </c>
      <c r="F122" s="22" t="n">
        <f>0</f>
        <v>0.0</v>
      </c>
      <c r="G122" s="21" t="n">
        <v>1.608854E10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5820.0</v>
      </c>
      <c r="F123" s="26" t="n">
        <f>0</f>
        <v>0.0</v>
      </c>
      <c r="G123" s="25" t="n">
        <v>1.43977043125E11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8125.0</v>
      </c>
      <c r="F124" s="18" t="n">
        <f>0</f>
        <v>0.0</v>
      </c>
      <c r="G124" s="17" t="n">
        <v>1.90653437E11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2881.0</v>
      </c>
      <c r="F125" s="22" t="n">
        <f>0</f>
        <v>0.0</v>
      </c>
      <c r="G125" s="21" t="n">
        <v>6.7449903E10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8463.0</v>
      </c>
      <c r="F126" s="22" t="n">
        <f>2000</f>
        <v>2000.0</v>
      </c>
      <c r="G126" s="21" t="n">
        <v>1.95449547E11</v>
      </c>
      <c r="H126" s="22" t="n">
        <f>46270000000</f>
        <v>4.627E10</v>
      </c>
    </row>
    <row r="127" spans="1:8" ht="24.9" customHeight="1">
      <c r="A127" s="51"/>
      <c r="B127" s="57"/>
      <c r="C127" s="39"/>
      <c r="D127" s="24" t="s">
        <v>18</v>
      </c>
      <c r="E127" s="25" t="n">
        <v>19469.0</v>
      </c>
      <c r="F127" s="26" t="n">
        <f>2000</f>
        <v>2000.0</v>
      </c>
      <c r="G127" s="25" t="n">
        <v>4.53552887E11</v>
      </c>
      <c r="H127" s="26" t="n">
        <f>46270000000</f>
        <v>4.627E10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89.0</v>
      </c>
      <c r="F128" s="18" t="n">
        <f>0</f>
        <v>0.0</v>
      </c>
      <c r="G128" s="17" t="n">
        <v>2.087881E8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72.0</v>
      </c>
      <c r="F129" s="22" t="n">
        <f>0</f>
        <v>0.0</v>
      </c>
      <c r="G129" s="21" t="n">
        <v>1.690064E8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106.0</v>
      </c>
      <c r="F130" s="22" t="n">
        <f>0</f>
        <v>0.0</v>
      </c>
      <c r="G130" s="21" t="n">
        <v>2.45183E8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267.0</v>
      </c>
      <c r="F131" s="26" t="n">
        <f>0</f>
        <v>0.0</v>
      </c>
      <c r="G131" s="25" t="n">
        <v>6.229775E8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11146.0</v>
      </c>
      <c r="F132" s="18" t="n">
        <f>0</f>
        <v>0.0</v>
      </c>
      <c r="G132" s="17" t="n">
        <v>2.619954975E10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2371.0</v>
      </c>
      <c r="F133" s="22" t="n">
        <f>0</f>
        <v>0.0</v>
      </c>
      <c r="G133" s="21" t="n">
        <v>5.5658191E9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5010.0</v>
      </c>
      <c r="F134" s="22" t="n">
        <f>0</f>
        <v>0.0</v>
      </c>
      <c r="G134" s="21" t="n">
        <v>1.15996544E10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18527.0</v>
      </c>
      <c r="F135" s="26" t="n">
        <f>0</f>
        <v>0.0</v>
      </c>
      <c r="G135" s="25" t="n">
        <v>4.336502325E10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144.0</v>
      </c>
      <c r="F136" s="18" t="n">
        <f>0</f>
        <v>0.0</v>
      </c>
      <c r="G136" s="17" t="n">
        <v>3.361084E8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39.0</v>
      </c>
      <c r="F137" s="22" t="n">
        <f>0</f>
        <v>0.0</v>
      </c>
      <c r="G137" s="21" t="n">
        <v>9.10326E7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95.0</v>
      </c>
      <c r="F138" s="22" t="n">
        <f>0</f>
        <v>0.0</v>
      </c>
      <c r="G138" s="21" t="n">
        <v>2.179132E8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278.0</v>
      </c>
      <c r="F139" s="26" t="n">
        <f>0</f>
        <v>0.0</v>
      </c>
      <c r="G139" s="25" t="n">
        <v>6.450542E8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988.0</v>
      </c>
      <c r="F144" s="18" t="n">
        <f>0</f>
        <v>0.0</v>
      </c>
      <c r="G144" s="17" t="n">
        <v>4.805254E9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929.0</v>
      </c>
      <c r="F145" s="22" t="n">
        <f>0</f>
        <v>0.0</v>
      </c>
      <c r="G145" s="21" t="n">
        <v>4.492117E9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3157.0</v>
      </c>
      <c r="F146" s="22" t="n">
        <f>8</f>
        <v>8.0</v>
      </c>
      <c r="G146" s="21" t="n">
        <v>1.49963635E10</v>
      </c>
      <c r="H146" s="22" t="n">
        <f>38300000</f>
        <v>3.83E7</v>
      </c>
    </row>
    <row r="147" spans="1:8" ht="24.9" customHeight="1">
      <c r="A147" s="51"/>
      <c r="B147" s="57"/>
      <c r="C147" s="39"/>
      <c r="D147" s="24" t="s">
        <v>18</v>
      </c>
      <c r="E147" s="25" t="n">
        <v>5074.0</v>
      </c>
      <c r="F147" s="26" t="n">
        <f>8</f>
        <v>8.0</v>
      </c>
      <c r="G147" s="25" t="n">
        <v>2.42937345E10</v>
      </c>
      <c r="H147" s="26" t="n">
        <f>38300000</f>
        <v>3.83E7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68.0</v>
      </c>
      <c r="F148" s="18" t="n">
        <f>0</f>
        <v>0.0</v>
      </c>
      <c r="G148" s="17" t="n">
        <v>6.7145E7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106.0</v>
      </c>
      <c r="F149" s="22" t="n">
        <f>0</f>
        <v>0.0</v>
      </c>
      <c r="G149" s="21" t="n">
        <v>1.045279E8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364.0</v>
      </c>
      <c r="F150" s="22" t="n">
        <f>0</f>
        <v>0.0</v>
      </c>
      <c r="G150" s="21" t="n">
        <v>3.515918E8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538.0</v>
      </c>
      <c r="F151" s="26" t="n">
        <f>0</f>
        <v>0.0</v>
      </c>
      <c r="G151" s="25" t="n">
        <v>5.232647E8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311.0</v>
      </c>
      <c r="F152" s="18" t="n">
        <f>0</f>
        <v>0.0</v>
      </c>
      <c r="G152" s="17" t="n">
        <v>3.027819E8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105.0</v>
      </c>
      <c r="F153" s="22" t="n">
        <f>0</f>
        <v>0.0</v>
      </c>
      <c r="G153" s="21" t="n">
        <v>1.0196855E8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379.0</v>
      </c>
      <c r="F154" s="22" t="n">
        <f>0</f>
        <v>0.0</v>
      </c>
      <c r="G154" s="21" t="n">
        <v>3.612666E8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795.0</v>
      </c>
      <c r="F155" s="26" t="n">
        <f>0</f>
        <v>0.0</v>
      </c>
      <c r="G155" s="25" t="n">
        <v>7.6601705E8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677.0</v>
      </c>
      <c r="F156" s="18" t="n">
        <f>0</f>
        <v>0.0</v>
      </c>
      <c r="G156" s="17" t="n">
        <v>6.555852E8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592.0</v>
      </c>
      <c r="F157" s="22" t="n">
        <f>0</f>
        <v>0.0</v>
      </c>
      <c r="G157" s="21" t="n">
        <v>5.716765E8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1314.0</v>
      </c>
      <c r="F158" s="22" t="n">
        <f>0</f>
        <v>0.0</v>
      </c>
      <c r="G158" s="21" t="n">
        <v>1.2429734E9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2583.0</v>
      </c>
      <c r="F159" s="26" t="n">
        <f>0</f>
        <v>0.0</v>
      </c>
      <c r="G159" s="25" t="n">
        <v>2.4702351E9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47.0</v>
      </c>
      <c r="F168" s="18" t="n">
        <f>0</f>
        <v>0.0</v>
      </c>
      <c r="G168" s="17" t="n">
        <v>9.5601E7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498.0</v>
      </c>
      <c r="F169" s="22" t="n">
        <f>0</f>
        <v>0.0</v>
      </c>
      <c r="G169" s="21" t="n">
        <v>1.022505E9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1056.0</v>
      </c>
      <c r="F170" s="22" t="n">
        <f>0</f>
        <v>0.0</v>
      </c>
      <c r="G170" s="21" t="n">
        <v>2.1903485E9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1601.0</v>
      </c>
      <c r="F171" s="26" t="n">
        <f>0</f>
        <v>0.0</v>
      </c>
      <c r="G171" s="25" t="n">
        <v>3.3084545E9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72.0</v>
      </c>
      <c r="F178" s="22" t="n">
        <f>0</f>
        <v>0.0</v>
      </c>
      <c r="G178" s="21" t="n">
        <v>1.28026E8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72.0</v>
      </c>
      <c r="F179" s="26" t="n">
        <f>0</f>
        <v>0.0</v>
      </c>
      <c r="G179" s="25" t="n">
        <v>1.28026E8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369.0</v>
      </c>
      <c r="F204" s="18" t="n">
        <f>0</f>
        <v>0.0</v>
      </c>
      <c r="G204" s="17" t="n">
        <v>1.4870895E9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162.0</v>
      </c>
      <c r="F205" s="22" t="n">
        <f>0</f>
        <v>0.0</v>
      </c>
      <c r="G205" s="21" t="n">
        <v>6.62745E8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837.0</v>
      </c>
      <c r="F206" s="22" t="n">
        <f>0</f>
        <v>0.0</v>
      </c>
      <c r="G206" s="21" t="n">
        <v>3.4501525E9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1368.0</v>
      </c>
      <c r="F207" s="26" t="n">
        <f>0</f>
        <v>0.0</v>
      </c>
      <c r="G207" s="25" t="n">
        <v>5.599987E9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20.0</v>
      </c>
      <c r="F208" s="18" t="n">
        <f>20</f>
        <v>20.0</v>
      </c>
      <c r="G208" s="17" t="n">
        <v>3.2112E7</v>
      </c>
      <c r="H208" s="18" t="n">
        <f>32112000</f>
        <v>3.2112E7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30.0</v>
      </c>
      <c r="F210" s="22" t="n">
        <f>30</f>
        <v>30.0</v>
      </c>
      <c r="G210" s="21" t="n">
        <v>4.31892E7</v>
      </c>
      <c r="H210" s="22" t="n">
        <f>43189200</f>
        <v>4.31892E7</v>
      </c>
    </row>
    <row r="211" spans="1:8" ht="24.9" customHeight="1">
      <c r="A211" s="57"/>
      <c r="B211" s="59"/>
      <c r="C211" s="39"/>
      <c r="D211" s="24" t="s">
        <v>18</v>
      </c>
      <c r="E211" s="25" t="n">
        <v>50.0</v>
      </c>
      <c r="F211" s="26" t="n">
        <f>50</f>
        <v>50.0</v>
      </c>
      <c r="G211" s="25" t="n">
        <v>7.53012E7</v>
      </c>
      <c r="H211" s="26" t="n">
        <f>75301200</f>
        <v>7.53012E7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50.0</v>
      </c>
      <c r="F220" s="18" t="n">
        <f>50</f>
        <v>50.0</v>
      </c>
      <c r="G220" s="17" t="n">
        <v>4.3626E7</v>
      </c>
      <c r="H220" s="18" t="n">
        <f>43626000</f>
        <v>4.3626E7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50.0</v>
      </c>
      <c r="F223" s="26" t="n">
        <f>50</f>
        <v>50.0</v>
      </c>
      <c r="G223" s="25" t="n">
        <v>4.3626E7</v>
      </c>
      <c r="H223" s="26" t="n">
        <f>43626000</f>
        <v>4.3626E7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46170.0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46170.0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1894</f>
        <v>1894.0</v>
      </c>
      <c r="E12" s="35" t="n">
        <f>694</f>
        <v>694.0</v>
      </c>
      <c r="F12" s="17" t="n">
        <f>3706</f>
        <v>3706.0</v>
      </c>
      <c r="G12" s="35" t="n">
        <f>1637</f>
        <v>1637.0</v>
      </c>
      <c r="H12" s="17" t="n">
        <f>5600</f>
        <v>5600.0</v>
      </c>
      <c r="I12" s="35" t="n">
        <f>2331</f>
        <v>2331.0</v>
      </c>
      <c r="J12" s="17" t="n">
        <f>908340510</f>
        <v>9.0834051E8</v>
      </c>
      <c r="K12" s="35" t="n">
        <f>395327510</f>
        <v>3.9532751E8</v>
      </c>
      <c r="L12" s="17" t="n">
        <f>3217995770</f>
        <v>3.21799577E9</v>
      </c>
      <c r="M12" s="35" t="n">
        <f>2797795770</f>
        <v>2.79779577E9</v>
      </c>
      <c r="N12" s="17" t="n">
        <f>4126336280</f>
        <v>4.12633628E9</v>
      </c>
      <c r="O12" s="35" t="n">
        <f>3193123280</f>
        <v>3.19312328E9</v>
      </c>
    </row>
    <row r="13" spans="1:15" ht="24.9" customHeight="1">
      <c r="A13" s="38"/>
      <c r="B13" s="62"/>
      <c r="C13" s="20" t="s">
        <v>16</v>
      </c>
      <c r="D13" s="21" t="n">
        <f>2574</f>
        <v>2574.0</v>
      </c>
      <c r="E13" s="36" t="n">
        <f>986</f>
        <v>986.0</v>
      </c>
      <c r="F13" s="21" t="n">
        <f>2414</f>
        <v>2414.0</v>
      </c>
      <c r="G13" s="36" t="n">
        <f>763</f>
        <v>763.0</v>
      </c>
      <c r="H13" s="21" t="n">
        <f>4988</f>
        <v>4988.0</v>
      </c>
      <c r="I13" s="36" t="n">
        <f>1749</f>
        <v>1749.0</v>
      </c>
      <c r="J13" s="21" t="n">
        <f>1234291773</f>
        <v>1.234291773E9</v>
      </c>
      <c r="K13" s="36" t="n">
        <f>777879773</f>
        <v>7.77879773E8</v>
      </c>
      <c r="L13" s="21" t="n">
        <f>1799516220</f>
        <v>1.79951622E9</v>
      </c>
      <c r="M13" s="36" t="n">
        <f>1454092220</f>
        <v>1.45409222E9</v>
      </c>
      <c r="N13" s="21" t="n">
        <f>3033807993</f>
        <v>3.033807993E9</v>
      </c>
      <c r="O13" s="36" t="n">
        <f>2231971993</f>
        <v>2.231971993E9</v>
      </c>
    </row>
    <row r="14" spans="1:15" ht="24.9" customHeight="1">
      <c r="A14" s="38"/>
      <c r="B14" s="62"/>
      <c r="C14" s="20" t="s">
        <v>17</v>
      </c>
      <c r="D14" s="21" t="n">
        <f>15291</f>
        <v>15291.0</v>
      </c>
      <c r="E14" s="36" t="n">
        <f>10609</f>
        <v>10609.0</v>
      </c>
      <c r="F14" s="21" t="n">
        <f>4465</f>
        <v>4465.0</v>
      </c>
      <c r="G14" s="36" t="n">
        <f>1671</f>
        <v>1671.0</v>
      </c>
      <c r="H14" s="21" t="n">
        <f>19756</f>
        <v>19756.0</v>
      </c>
      <c r="I14" s="36" t="n">
        <f>12280</f>
        <v>12280.0</v>
      </c>
      <c r="J14" s="21" t="n">
        <f>16633975291</f>
        <v>1.6633975291E10</v>
      </c>
      <c r="K14" s="36" t="n">
        <f>14323596291</f>
        <v>1.4323596291E10</v>
      </c>
      <c r="L14" s="21" t="n">
        <f>3329791440</f>
        <v>3.32979144E9</v>
      </c>
      <c r="M14" s="36" t="n">
        <f>2113250440</f>
        <v>2.11325044E9</v>
      </c>
      <c r="N14" s="21" t="n">
        <f>19963766731</f>
        <v>1.9963766731E10</v>
      </c>
      <c r="O14" s="36" t="n">
        <f>16436846731</f>
        <v>1.6436846731E10</v>
      </c>
    </row>
    <row r="15" spans="1:15" ht="24.9" customHeight="1">
      <c r="A15" s="38"/>
      <c r="B15" s="62"/>
      <c r="C15" s="24" t="s">
        <v>18</v>
      </c>
      <c r="D15" s="25" t="n">
        <f>19759</f>
        <v>19759.0</v>
      </c>
      <c r="E15" s="37" t="n">
        <f>12289</f>
        <v>12289.0</v>
      </c>
      <c r="F15" s="25" t="n">
        <f>10585</f>
        <v>10585.0</v>
      </c>
      <c r="G15" s="37" t="n">
        <f>4071</f>
        <v>4071.0</v>
      </c>
      <c r="H15" s="25" t="n">
        <f>30344</f>
        <v>30344.0</v>
      </c>
      <c r="I15" s="37" t="n">
        <f>16360</f>
        <v>16360.0</v>
      </c>
      <c r="J15" s="25" t="n">
        <f>18776607574</f>
        <v>1.8776607574E10</v>
      </c>
      <c r="K15" s="37" t="n">
        <f>15496803574</f>
        <v>1.5496803574E10</v>
      </c>
      <c r="L15" s="25" t="n">
        <f>8347303430</f>
        <v>8.34730343E9</v>
      </c>
      <c r="M15" s="37" t="n">
        <f>6365138430</f>
        <v>6.36513843E9</v>
      </c>
      <c r="N15" s="25" t="n">
        <f>27123911004</f>
        <v>2.7123911004E10</v>
      </c>
      <c r="O15" s="37" t="n">
        <f>21861942004</f>
        <v>2.1861942004E10</v>
      </c>
    </row>
    <row r="16" spans="1:15" ht="24.9" customHeight="1">
      <c r="A16" s="38"/>
      <c r="B16" s="61" t="s">
        <v>105</v>
      </c>
      <c r="C16" s="16" t="s">
        <v>15</v>
      </c>
      <c r="D16" s="17" t="n">
        <f>10444</f>
        <v>10444.0</v>
      </c>
      <c r="E16" s="35" t="n">
        <f>1220</f>
        <v>1220.0</v>
      </c>
      <c r="F16" s="17" t="n">
        <f>7766</f>
        <v>7766.0</v>
      </c>
      <c r="G16" s="35" t="n">
        <f>1460</f>
        <v>1460.0</v>
      </c>
      <c r="H16" s="17" t="n">
        <f>18210</f>
        <v>18210.0</v>
      </c>
      <c r="I16" s="35" t="n">
        <f>2680</f>
        <v>2680.0</v>
      </c>
      <c r="J16" s="17" t="n">
        <f>248930920</f>
        <v>2.4893092E8</v>
      </c>
      <c r="K16" s="35" t="n">
        <f>6288520</f>
        <v>6288520.0</v>
      </c>
      <c r="L16" s="17" t="n">
        <f>277213770</f>
        <v>2.7721377E8</v>
      </c>
      <c r="M16" s="35" t="n">
        <f>5640370</f>
        <v>5640370.0</v>
      </c>
      <c r="N16" s="17" t="n">
        <f>526144690</f>
        <v>5.2614469E8</v>
      </c>
      <c r="O16" s="35" t="n">
        <f>11928890</f>
        <v>1.192889E7</v>
      </c>
    </row>
    <row r="17" spans="1:15" ht="24.9" customHeight="1">
      <c r="A17" s="38"/>
      <c r="B17" s="62"/>
      <c r="C17" s="20" t="s">
        <v>16</v>
      </c>
      <c r="D17" s="21" t="n">
        <f>6675</f>
        <v>6675.0</v>
      </c>
      <c r="E17" s="36" t="n">
        <f>360</f>
        <v>360.0</v>
      </c>
      <c r="F17" s="21" t="n">
        <f>7373</f>
        <v>7373.0</v>
      </c>
      <c r="G17" s="36" t="n">
        <f>190</f>
        <v>190.0</v>
      </c>
      <c r="H17" s="21" t="n">
        <f>14048</f>
        <v>14048.0</v>
      </c>
      <c r="I17" s="36" t="n">
        <f>550</f>
        <v>550.0</v>
      </c>
      <c r="J17" s="21" t="n">
        <f>141402790</f>
        <v>1.4140279E8</v>
      </c>
      <c r="K17" s="36" t="n">
        <f>2394690</f>
        <v>2394690.0</v>
      </c>
      <c r="L17" s="21" t="n">
        <f>154345940</f>
        <v>1.5434594E8</v>
      </c>
      <c r="M17" s="36" t="n">
        <f>4984640</f>
        <v>4984640.0</v>
      </c>
      <c r="N17" s="21" t="n">
        <f>295748730</f>
        <v>2.9574873E8</v>
      </c>
      <c r="O17" s="36" t="n">
        <f>7379330</f>
        <v>7379330.0</v>
      </c>
    </row>
    <row r="18" spans="1:15" ht="24.9" customHeight="1">
      <c r="A18" s="38"/>
      <c r="B18" s="62"/>
      <c r="C18" s="20" t="s">
        <v>17</v>
      </c>
      <c r="D18" s="21" t="n">
        <f>18331</f>
        <v>18331.0</v>
      </c>
      <c r="E18" s="36" t="n">
        <f>1970</f>
        <v>1970.0</v>
      </c>
      <c r="F18" s="21" t="n">
        <f>13681</f>
        <v>13681.0</v>
      </c>
      <c r="G18" s="36" t="n">
        <f>1120</f>
        <v>1120.0</v>
      </c>
      <c r="H18" s="21" t="n">
        <f>32012</f>
        <v>32012.0</v>
      </c>
      <c r="I18" s="36" t="n">
        <f>3090</f>
        <v>3090.0</v>
      </c>
      <c r="J18" s="21" t="n">
        <f>308037790</f>
        <v>3.0803779E8</v>
      </c>
      <c r="K18" s="36" t="n">
        <f>6756690</f>
        <v>6756690.0</v>
      </c>
      <c r="L18" s="21" t="n">
        <f>339896950</f>
        <v>3.3989695E8</v>
      </c>
      <c r="M18" s="36" t="n">
        <f>14100850</f>
        <v>1.410085E7</v>
      </c>
      <c r="N18" s="21" t="n">
        <f>647934740</f>
        <v>6.4793474E8</v>
      </c>
      <c r="O18" s="36" t="n">
        <f>20857540</f>
        <v>2.085754E7</v>
      </c>
    </row>
    <row r="19" spans="1:15" ht="24.9" customHeight="1">
      <c r="A19" s="38"/>
      <c r="B19" s="62"/>
      <c r="C19" s="24" t="s">
        <v>18</v>
      </c>
      <c r="D19" s="25" t="n">
        <f>35450</f>
        <v>35450.0</v>
      </c>
      <c r="E19" s="37" t="n">
        <f>3550</f>
        <v>3550.0</v>
      </c>
      <c r="F19" s="25" t="n">
        <f>28820</f>
        <v>28820.0</v>
      </c>
      <c r="G19" s="37" t="n">
        <f>2770</f>
        <v>2770.0</v>
      </c>
      <c r="H19" s="25" t="n">
        <f>64270</f>
        <v>64270.0</v>
      </c>
      <c r="I19" s="37" t="n">
        <f>6320</f>
        <v>6320.0</v>
      </c>
      <c r="J19" s="25" t="n">
        <f>698371500</f>
        <v>6.983715E8</v>
      </c>
      <c r="K19" s="37" t="n">
        <f>15439900</f>
        <v>1.54399E7</v>
      </c>
      <c r="L19" s="25" t="n">
        <f>771456660</f>
        <v>7.7145666E8</v>
      </c>
      <c r="M19" s="37" t="n">
        <f>24725860</f>
        <v>2.472586E7</v>
      </c>
      <c r="N19" s="25" t="n">
        <f>1469828160</f>
        <v>1.46982816E9</v>
      </c>
      <c r="O19" s="37" t="n">
        <f>40165760</f>
        <v>4.016576E7</v>
      </c>
    </row>
    <row r="20" spans="1:15" ht="24.9" customHeight="1">
      <c r="A20" s="38"/>
      <c r="B20" s="61" t="s">
        <v>106</v>
      </c>
      <c r="C20" s="16" t="s">
        <v>15</v>
      </c>
      <c r="D20" s="17" t="n">
        <f>377</f>
        <v>377.0</v>
      </c>
      <c r="E20" s="35" t="n">
        <f>377</f>
        <v>377.0</v>
      </c>
      <c r="F20" s="17" t="n">
        <f>344</f>
        <v>344.0</v>
      </c>
      <c r="G20" s="35" t="n">
        <f>344</f>
        <v>344.0</v>
      </c>
      <c r="H20" s="17" t="n">
        <f>721</f>
        <v>721.0</v>
      </c>
      <c r="I20" s="35" t="n">
        <f>721</f>
        <v>721.0</v>
      </c>
      <c r="J20" s="17" t="n">
        <f>268331040</f>
        <v>2.6833104E8</v>
      </c>
      <c r="K20" s="35" t="n">
        <f>268331040</f>
        <v>2.6833104E8</v>
      </c>
      <c r="L20" s="17" t="n">
        <f>191152200</f>
        <v>1.911522E8</v>
      </c>
      <c r="M20" s="35" t="n">
        <f>191152200</f>
        <v>1.911522E8</v>
      </c>
      <c r="N20" s="17" t="n">
        <f>459483240</f>
        <v>4.5948324E8</v>
      </c>
      <c r="O20" s="35" t="n">
        <f>459483240</f>
        <v>4.5948324E8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0</f>
        <v>0.0</v>
      </c>
      <c r="E22" s="36" t="n">
        <f>0</f>
        <v>0.0</v>
      </c>
      <c r="F22" s="21" t="n">
        <f>650</f>
        <v>650.0</v>
      </c>
      <c r="G22" s="36" t="n">
        <f>600</f>
        <v>600.0</v>
      </c>
      <c r="H22" s="21" t="n">
        <f>650</f>
        <v>650.0</v>
      </c>
      <c r="I22" s="36" t="n">
        <f>600</f>
        <v>600.0</v>
      </c>
      <c r="J22" s="21" t="n">
        <f>0</f>
        <v>0.0</v>
      </c>
      <c r="K22" s="36" t="n">
        <f>0</f>
        <v>0.0</v>
      </c>
      <c r="L22" s="21" t="n">
        <f>1538600000</f>
        <v>1.5386E9</v>
      </c>
      <c r="M22" s="36" t="n">
        <f>1530000000</f>
        <v>1.53E9</v>
      </c>
      <c r="N22" s="21" t="n">
        <f>1538600000</f>
        <v>1.5386E9</v>
      </c>
      <c r="O22" s="36" t="n">
        <f>1530000000</f>
        <v>1.53E9</v>
      </c>
    </row>
    <row r="23" spans="1:15" ht="24.9" customHeight="1">
      <c r="A23" s="38"/>
      <c r="B23" s="62"/>
      <c r="C23" s="24" t="s">
        <v>18</v>
      </c>
      <c r="D23" s="25" t="n">
        <f>377</f>
        <v>377.0</v>
      </c>
      <c r="E23" s="37" t="n">
        <f>377</f>
        <v>377.0</v>
      </c>
      <c r="F23" s="25" t="n">
        <f>994</f>
        <v>994.0</v>
      </c>
      <c r="G23" s="37" t="n">
        <f>944</f>
        <v>944.0</v>
      </c>
      <c r="H23" s="25" t="n">
        <f>1371</f>
        <v>1371.0</v>
      </c>
      <c r="I23" s="37" t="n">
        <f>1321</f>
        <v>1321.0</v>
      </c>
      <c r="J23" s="25" t="n">
        <f>268331040</f>
        <v>2.6833104E8</v>
      </c>
      <c r="K23" s="37" t="n">
        <f>268331040</f>
        <v>2.6833104E8</v>
      </c>
      <c r="L23" s="25" t="n">
        <f>1729752200</f>
        <v>1.7297522E9</v>
      </c>
      <c r="M23" s="37" t="n">
        <f>1721152200</f>
        <v>1.7211522E9</v>
      </c>
      <c r="N23" s="25" t="n">
        <f>1998083240</f>
        <v>1.99808324E9</v>
      </c>
      <c r="O23" s="37" t="n">
        <f>1989483240</f>
        <v>1.98948324E9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7</f>
        <v>7.0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7</f>
        <v>7.0</v>
      </c>
      <c r="I36" s="18" t="n">
        <f>0</f>
        <v>0.0</v>
      </c>
      <c r="J36" s="17" t="n">
        <f>210000</f>
        <v>210000.0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210000</f>
        <v>210000.0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50</f>
        <v>50.0</v>
      </c>
      <c r="E37" s="22" t="n">
        <f>0</f>
        <v>0.0</v>
      </c>
      <c r="F37" s="21" t="n">
        <f>13</f>
        <v>13.0</v>
      </c>
      <c r="G37" s="22" t="n">
        <f>0</f>
        <v>0.0</v>
      </c>
      <c r="H37" s="21" t="n">
        <f>63</f>
        <v>63.0</v>
      </c>
      <c r="I37" s="22" t="n">
        <f>0</f>
        <v>0.0</v>
      </c>
      <c r="J37" s="21" t="n">
        <f>2200000</f>
        <v>2200000.0</v>
      </c>
      <c r="K37" s="22" t="n">
        <f>0</f>
        <v>0.0</v>
      </c>
      <c r="L37" s="21" t="n">
        <f>2000000</f>
        <v>2000000.0</v>
      </c>
      <c r="M37" s="22" t="n">
        <f>0</f>
        <v>0.0</v>
      </c>
      <c r="N37" s="21" t="n">
        <f>4200000</f>
        <v>4200000.0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66</f>
        <v>66.0</v>
      </c>
      <c r="E38" s="36" t="n">
        <f>0</f>
        <v>0.0</v>
      </c>
      <c r="F38" s="21" t="n">
        <f>6</f>
        <v>6.0</v>
      </c>
      <c r="G38" s="36" t="n">
        <f>0</f>
        <v>0.0</v>
      </c>
      <c r="H38" s="21" t="n">
        <f>72</f>
        <v>72.0</v>
      </c>
      <c r="I38" s="36" t="n">
        <f>0</f>
        <v>0.0</v>
      </c>
      <c r="J38" s="21" t="n">
        <f>1930000</f>
        <v>1930000.0</v>
      </c>
      <c r="K38" s="36" t="n">
        <f>0</f>
        <v>0.0</v>
      </c>
      <c r="L38" s="21" t="n">
        <f>830000</f>
        <v>830000.0</v>
      </c>
      <c r="M38" s="36" t="n">
        <f>0</f>
        <v>0.0</v>
      </c>
      <c r="N38" s="21" t="n">
        <f>2760000</f>
        <v>2760000.0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123</f>
        <v>123.0</v>
      </c>
      <c r="E39" s="37" t="n">
        <f>0</f>
        <v>0.0</v>
      </c>
      <c r="F39" s="25" t="n">
        <f>19</f>
        <v>19.0</v>
      </c>
      <c r="G39" s="37" t="n">
        <f>0</f>
        <v>0.0</v>
      </c>
      <c r="H39" s="25" t="n">
        <f>142</f>
        <v>142.0</v>
      </c>
      <c r="I39" s="37" t="n">
        <f>0</f>
        <v>0.0</v>
      </c>
      <c r="J39" s="25" t="n">
        <f>4340000</f>
        <v>4340000.0</v>
      </c>
      <c r="K39" s="37" t="n">
        <f>0</f>
        <v>0.0</v>
      </c>
      <c r="L39" s="25" t="n">
        <f>2830000</f>
        <v>2830000.0</v>
      </c>
      <c r="M39" s="37" t="n">
        <f>0</f>
        <v>0.0</v>
      </c>
      <c r="N39" s="25" t="n">
        <f>7170000</f>
        <v>7170000.0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6556</f>
        <v>6556.0</v>
      </c>
      <c r="E41" s="36" t="n">
        <f>0</f>
        <v>0.0</v>
      </c>
      <c r="F41" s="21" t="n">
        <f>430</f>
        <v>430.0</v>
      </c>
      <c r="G41" s="36" t="n">
        <f>0</f>
        <v>0.0</v>
      </c>
      <c r="H41" s="21" t="n">
        <f>6986</f>
        <v>6986.0</v>
      </c>
      <c r="I41" s="36" t="n">
        <f>0</f>
        <v>0.0</v>
      </c>
      <c r="J41" s="21" t="n">
        <f>13511359</f>
        <v>1.3511359E7</v>
      </c>
      <c r="K41" s="36" t="n">
        <f>0</f>
        <v>0.0</v>
      </c>
      <c r="L41" s="21" t="n">
        <f>13504868</f>
        <v>1.3504868E7</v>
      </c>
      <c r="M41" s="36" t="n">
        <f>0</f>
        <v>0.0</v>
      </c>
      <c r="N41" s="21" t="n">
        <f>27016227</f>
        <v>2.7016227E7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1602</f>
        <v>1602.0</v>
      </c>
      <c r="E42" s="36" t="n">
        <f>700</f>
        <v>700.0</v>
      </c>
      <c r="F42" s="21" t="n">
        <f>7649</f>
        <v>7649.0</v>
      </c>
      <c r="G42" s="36" t="n">
        <f>700</f>
        <v>700.0</v>
      </c>
      <c r="H42" s="21" t="n">
        <f>9251</f>
        <v>9251.0</v>
      </c>
      <c r="I42" s="36" t="n">
        <f>1400</f>
        <v>1400.0</v>
      </c>
      <c r="J42" s="21" t="n">
        <f>75318104</f>
        <v>7.5318104E7</v>
      </c>
      <c r="K42" s="36" t="n">
        <f>51100000</f>
        <v>5.11E7</v>
      </c>
      <c r="L42" s="21" t="n">
        <f>66773051</f>
        <v>6.6773051E7</v>
      </c>
      <c r="M42" s="36" t="n">
        <f>41300000</f>
        <v>4.13E7</v>
      </c>
      <c r="N42" s="21" t="n">
        <f>142091155</f>
        <v>1.42091155E8</v>
      </c>
      <c r="O42" s="36" t="n">
        <f>92400000</f>
        <v>9.24E7</v>
      </c>
    </row>
    <row r="43" spans="1:15" ht="24.9" customHeight="1">
      <c r="A43" s="38"/>
      <c r="B43" s="62"/>
      <c r="C43" s="24" t="s">
        <v>18</v>
      </c>
      <c r="D43" s="25" t="n">
        <f>8158</f>
        <v>8158.0</v>
      </c>
      <c r="E43" s="37" t="n">
        <f>700</f>
        <v>700.0</v>
      </c>
      <c r="F43" s="25" t="n">
        <f>8079</f>
        <v>8079.0</v>
      </c>
      <c r="G43" s="37" t="n">
        <f>700</f>
        <v>700.0</v>
      </c>
      <c r="H43" s="25" t="n">
        <f>16237</f>
        <v>16237.0</v>
      </c>
      <c r="I43" s="37" t="n">
        <f>1400</f>
        <v>1400.0</v>
      </c>
      <c r="J43" s="25" t="n">
        <f>88829463</f>
        <v>8.8829463E7</v>
      </c>
      <c r="K43" s="37" t="n">
        <f>51100000</f>
        <v>5.11E7</v>
      </c>
      <c r="L43" s="25" t="n">
        <f>80277919</f>
        <v>8.0277919E7</v>
      </c>
      <c r="M43" s="37" t="n">
        <f>41300000</f>
        <v>4.13E7</v>
      </c>
      <c r="N43" s="25" t="n">
        <f>169107382</f>
        <v>1.69107382E8</v>
      </c>
      <c r="O43" s="37" t="n">
        <f>92400000</f>
        <v>9.24E7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