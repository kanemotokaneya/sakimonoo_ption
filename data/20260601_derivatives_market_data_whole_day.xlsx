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<sst xmlns="http://schemas.openxmlformats.org/spreadsheetml/2006/main" count="528" uniqueCount="129">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</sst>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DATE(2026,06,01)</f>
        <v>46174.0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DATE(2026,06,01)</f>
        <v>46174.0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669648.0</f>
        <v>669648.0</v>
      </c>
      <c r="E12" s="18" t="n">
        <f>34934.0</f>
        <v>34934.0</v>
      </c>
      <c r="F12" s="19" t="n">
        <f>1.0</f>
        <v>1.0</v>
      </c>
      <c r="G12" s="17" t="n">
        <f>6087841956635.0</f>
        <v>6.087841956635E12</v>
      </c>
      <c r="H12" s="18" t="n">
        <f>576506950310.0</f>
        <v>5.7650695031E11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423702.0</f>
        <v>423702.0</v>
      </c>
      <c r="E13" s="22" t="n">
        <f>22607.0</f>
        <v>22607.0</v>
      </c>
      <c r="F13" s="23" t="n">
        <f>1.0</f>
        <v>1.0</v>
      </c>
      <c r="G13" s="21" t="n">
        <f>5411181651620.0</f>
        <v>5.41118165162E12</v>
      </c>
      <c r="H13" s="22" t="n">
        <f>345377493720.0</f>
        <v>3.4537749372E11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428729.0</f>
        <v>428729.0</v>
      </c>
      <c r="E14" s="22" t="n">
        <f>33509.0</f>
        <v>33509.0</v>
      </c>
      <c r="F14" s="23" t="n">
        <f>1.0</f>
        <v>1.0</v>
      </c>
      <c r="G14" s="21" t="n">
        <f>5589267298056.0</f>
        <v>5.589267298056E12</v>
      </c>
      <c r="H14" s="22" t="n">
        <f>1001262474931.0</f>
        <v>1.001262474931E12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1522079.0</f>
        <v>1522079.0</v>
      </c>
      <c r="E15" s="26" t="n">
        <f>91050.0</f>
        <v>91050.0</v>
      </c>
      <c r="F15" s="27" t="n">
        <f>1.0</f>
        <v>1.0</v>
      </c>
      <c r="G15" s="25" t="n">
        <f>17088290906311.0</f>
        <v>1.7088290906311E13</v>
      </c>
      <c r="H15" s="26" t="n">
        <f>1923146918961.0</f>
        <v>1.923146918961E12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19215.0</f>
        <v>19215.0</v>
      </c>
      <c r="E16" s="18" t="n">
        <f>826.0</f>
        <v>826.0</v>
      </c>
      <c r="F16" s="19" t="n">
        <f>0.029</f>
        <v>0.029</v>
      </c>
      <c r="G16" s="17" t="n">
        <f>2063892085625.0</f>
        <v>2.063892085625E12</v>
      </c>
      <c r="H16" s="18" t="n">
        <f>106456690000.0</f>
        <v>1.0645669E11</v>
      </c>
      <c r="I16" s="19" t="n">
        <f>0.339</f>
        <v>0.339</v>
      </c>
    </row>
    <row r="17" spans="1:9" ht="24.9" customHeight="1">
      <c r="A17" s="41"/>
      <c r="B17" s="39"/>
      <c r="C17" s="20" t="s">
        <v>16</v>
      </c>
      <c r="D17" s="21" t="n">
        <f>20327.0</f>
        <v>20327.0</v>
      </c>
      <c r="E17" s="22" t="n">
        <f>556.0</f>
        <v>556.0</v>
      </c>
      <c r="F17" s="23" t="n">
        <f>0.048</f>
        <v>0.048</v>
      </c>
      <c r="G17" s="21" t="n">
        <f>2567007163000.0</f>
        <v>2.567007163E12</v>
      </c>
      <c r="H17" s="22" t="n">
        <f>71569345000.0</f>
        <v>7.1569345E10</v>
      </c>
      <c r="I17" s="23" t="n">
        <f>0.474</f>
        <v>0.474</v>
      </c>
    </row>
    <row r="18" spans="1:9" ht="24.9" customHeight="1">
      <c r="A18" s="41"/>
      <c r="B18" s="39"/>
      <c r="C18" s="20" t="s">
        <v>17</v>
      </c>
      <c r="D18" s="21" t="n">
        <f>15574.0</f>
        <v>15574.0</v>
      </c>
      <c r="E18" s="22" t="n">
        <f>1627.0</f>
        <v>1627.0</v>
      </c>
      <c r="F18" s="23" t="n">
        <f>0.036</f>
        <v>0.036</v>
      </c>
      <c r="G18" s="21" t="n">
        <f>1938146848375.0</f>
        <v>1.938146848375E12</v>
      </c>
      <c r="H18" s="22" t="n">
        <f>209262485000.0</f>
        <v>2.09262485E11</v>
      </c>
      <c r="I18" s="23" t="n">
        <f>0.347</f>
        <v>0.347</v>
      </c>
    </row>
    <row r="19" spans="1:9" ht="24.9" customHeight="1">
      <c r="A19" s="41"/>
      <c r="B19" s="39"/>
      <c r="C19" s="24" t="s">
        <v>18</v>
      </c>
      <c r="D19" s="25" t="n">
        <f>55116.0</f>
        <v>55116.0</v>
      </c>
      <c r="E19" s="26" t="n">
        <f>3009.0</f>
        <v>3009.0</v>
      </c>
      <c r="F19" s="27" t="n">
        <f>0.036</f>
        <v>0.036</v>
      </c>
      <c r="G19" s="25" t="n">
        <f>6569046097000.0</f>
        <v>6.569046097E12</v>
      </c>
      <c r="H19" s="26" t="n">
        <f>387288520000.0</f>
        <v>3.8728852E11</v>
      </c>
      <c r="I19" s="27" t="n">
        <f>0.384</f>
        <v>0.384</v>
      </c>
    </row>
    <row r="20" spans="1:9" ht="24.9" customHeight="1">
      <c r="A20" s="41"/>
      <c r="B20" s="39" t="s">
        <v>21</v>
      </c>
      <c r="C20" s="16" t="s">
        <v>15</v>
      </c>
      <c r="D20" s="17" t="n">
        <f>632224.0</f>
        <v>632224.0</v>
      </c>
      <c r="E20" s="18" t="n">
        <f>34108.0</f>
        <v>34108.0</v>
      </c>
      <c r="F20" s="19" t="n">
        <f>0.944</f>
        <v>0.944</v>
      </c>
      <c r="G20" s="17" t="n">
        <f>3844823314310.0</f>
        <v>3.84482331431E12</v>
      </c>
      <c r="H20" s="18" t="n">
        <f>470050260310.0</f>
        <v>4.7005026031E11</v>
      </c>
      <c r="I20" s="19" t="n">
        <f>0.632</f>
        <v>0.632</v>
      </c>
    </row>
    <row r="21" spans="1:9" ht="24.9" customHeight="1">
      <c r="A21" s="41"/>
      <c r="B21" s="39"/>
      <c r="C21" s="20" t="s">
        <v>16</v>
      </c>
      <c r="D21" s="21" t="n">
        <f>398121.0</f>
        <v>398121.0</v>
      </c>
      <c r="E21" s="22" t="n">
        <f>22050.0</f>
        <v>22050.0</v>
      </c>
      <c r="F21" s="23" t="n">
        <f>0.94</f>
        <v>0.94</v>
      </c>
      <c r="G21" s="21" t="n">
        <f>2800091142920.0</f>
        <v>2.80009114292E12</v>
      </c>
      <c r="H21" s="22" t="n">
        <f>273807168620.0</f>
        <v>2.7380716862E11</v>
      </c>
      <c r="I21" s="23" t="n">
        <f>0.517</f>
        <v>0.517</v>
      </c>
    </row>
    <row r="22" spans="1:9" ht="24.9" customHeight="1">
      <c r="A22" s="41"/>
      <c r="B22" s="39"/>
      <c r="C22" s="20" t="s">
        <v>17</v>
      </c>
      <c r="D22" s="21" t="n">
        <f>404936.0</f>
        <v>404936.0</v>
      </c>
      <c r="E22" s="22" t="n">
        <f>31881.0</f>
        <v>31881.0</v>
      </c>
      <c r="F22" s="23" t="n">
        <f>0.945</f>
        <v>0.945</v>
      </c>
      <c r="G22" s="21" t="n">
        <f>3598646447181.0</f>
        <v>3.598646447181E12</v>
      </c>
      <c r="H22" s="22" t="n">
        <f>791997598731.0</f>
        <v>7.91997598731E11</v>
      </c>
      <c r="I22" s="23" t="n">
        <f>0.644</f>
        <v>0.644</v>
      </c>
    </row>
    <row r="23" spans="1:9" ht="24.9" customHeight="1">
      <c r="A23" s="41"/>
      <c r="B23" s="39"/>
      <c r="C23" s="24" t="s">
        <v>18</v>
      </c>
      <c r="D23" s="25" t="n">
        <f>1435281.0</f>
        <v>1435281.0</v>
      </c>
      <c r="E23" s="26" t="n">
        <f>88039.0</f>
        <v>88039.0</v>
      </c>
      <c r="F23" s="27" t="n">
        <f>0.943</f>
        <v>0.943</v>
      </c>
      <c r="G23" s="25" t="n">
        <f>10243560904411.0</f>
        <v>1.0243560904411E13</v>
      </c>
      <c r="H23" s="26" t="n">
        <f>1535855027661.0</f>
        <v>1.535855027661E12</v>
      </c>
      <c r="I23" s="27" t="n">
        <f>0.599</f>
        <v>0.599</v>
      </c>
    </row>
    <row r="24" spans="1:9" ht="24.9" customHeight="1">
      <c r="A24" s="41"/>
      <c r="B24" s="39" t="s">
        <v>22</v>
      </c>
      <c r="C24" s="16" t="s">
        <v>15</v>
      </c>
      <c r="D24" s="17" t="n">
        <f>17676.0</f>
        <v>17676.0</v>
      </c>
      <c r="E24" s="18" t="n">
        <f>0.0</f>
        <v>0.0</v>
      </c>
      <c r="F24" s="19" t="n">
        <f>0.026</f>
        <v>0.026</v>
      </c>
      <c r="G24" s="17" t="n">
        <f>176955173700.0</f>
        <v>1.769551737E11</v>
      </c>
      <c r="H24" s="18" t="n">
        <f>0.0</f>
        <v>0.0</v>
      </c>
      <c r="I24" s="19" t="n">
        <f>0.029</f>
        <v>0.029</v>
      </c>
    </row>
    <row r="25" spans="1:9" ht="24.9" customHeight="1">
      <c r="A25" s="41"/>
      <c r="B25" s="39"/>
      <c r="C25" s="20" t="s">
        <v>16</v>
      </c>
      <c r="D25" s="21" t="n">
        <f>5093.0</f>
        <v>5093.0</v>
      </c>
      <c r="E25" s="22" t="n">
        <f>1.0</f>
        <v>1.0</v>
      </c>
      <c r="F25" s="23" t="n">
        <f>0.012</f>
        <v>0.012</v>
      </c>
      <c r="G25" s="21" t="n">
        <f>43424057700.0</f>
        <v>4.34240577E10</v>
      </c>
      <c r="H25" s="22" t="n">
        <f>980100.0</f>
        <v>980100.0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7566.0</f>
        <v>7566.0</v>
      </c>
      <c r="E26" s="22" t="n">
        <f>1.0</f>
        <v>1.0</v>
      </c>
      <c r="F26" s="23" t="n">
        <f>0.018</f>
        <v>0.018</v>
      </c>
      <c r="G26" s="21" t="n">
        <f>49769912500.0</f>
        <v>4.97699125E10</v>
      </c>
      <c r="H26" s="22" t="n">
        <f>2391200.0</f>
        <v>2391200.0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30335.0</f>
        <v>30335.0</v>
      </c>
      <c r="E27" s="26" t="n">
        <f>2.0</f>
        <v>2.0</v>
      </c>
      <c r="F27" s="27" t="n">
        <f>0.02</f>
        <v>0.02</v>
      </c>
      <c r="G27" s="25" t="n">
        <f>270149143900.0</f>
        <v>2.701491439E11</v>
      </c>
      <c r="H27" s="26" t="n">
        <f>3371300.0</f>
        <v>3371300.0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533.0</f>
        <v>533.0</v>
      </c>
      <c r="E28" s="18" t="n">
        <f>0.0</f>
        <v>0.0</v>
      </c>
      <c r="F28" s="19" t="n">
        <f>0.001</f>
        <v>0.001</v>
      </c>
      <c r="G28" s="17" t="n">
        <f>2171383000.0</f>
        <v>2.171383E9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161.0</f>
        <v>161.0</v>
      </c>
      <c r="E29" s="22" t="n">
        <f>0.0</f>
        <v>0.0</v>
      </c>
      <c r="F29" s="23" t="n">
        <f>0.0</f>
        <v>0.0</v>
      </c>
      <c r="G29" s="21" t="n">
        <f>659288000.0</f>
        <v>6.59288E8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653.0</f>
        <v>653.0</v>
      </c>
      <c r="E30" s="22" t="n">
        <f>0.0</f>
        <v>0.0</v>
      </c>
      <c r="F30" s="23" t="n">
        <f>0.002</f>
        <v>0.002</v>
      </c>
      <c r="G30" s="21" t="n">
        <f>2704090000.0</f>
        <v>2.70409E9</v>
      </c>
      <c r="H30" s="22" t="n">
        <f>0.0</f>
        <v>0.0</v>
      </c>
      <c r="I30" s="23" t="n">
        <f>0.0</f>
        <v>0.0</v>
      </c>
    </row>
    <row r="31" spans="1:9" ht="24.9" customHeight="1">
      <c r="A31" s="38"/>
      <c r="B31" s="39"/>
      <c r="C31" s="24" t="s">
        <v>18</v>
      </c>
      <c r="D31" s="25" t="n">
        <f>1347.0</f>
        <v>1347.0</v>
      </c>
      <c r="E31" s="26" t="n">
        <f>0.0</f>
        <v>0.0</v>
      </c>
      <c r="F31" s="27" t="n">
        <f>0.001</f>
        <v>0.001</v>
      </c>
      <c r="G31" s="25" t="n">
        <f>5534761000.0</f>
        <v>5.534761E9</v>
      </c>
      <c r="H31" s="26" t="n">
        <f>0.0</f>
        <v>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46174.0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46174.0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19773</f>
        <v>19773.0</v>
      </c>
      <c r="E11" s="18" t="n">
        <f>5952</f>
        <v>5952.0</v>
      </c>
      <c r="F11" s="19" t="n">
        <f>1</f>
        <v>1.0</v>
      </c>
      <c r="G11" s="17" t="n">
        <f>10648747320</f>
        <v>1.064874732E10</v>
      </c>
      <c r="H11" s="18" t="n">
        <f>9005595620</f>
        <v>9.00559562E9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37668</f>
        <v>37668.0</v>
      </c>
      <c r="E12" s="22" t="n">
        <f>4897</f>
        <v>4897.0</v>
      </c>
      <c r="F12" s="23" t="n">
        <f>1</f>
        <v>1.0</v>
      </c>
      <c r="G12" s="21" t="n">
        <f>6605107552</f>
        <v>6.605107552E9</v>
      </c>
      <c r="H12" s="22" t="n">
        <f>3366409520</f>
        <v>3.36640952E9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36666</f>
        <v>36666.0</v>
      </c>
      <c r="E13" s="22" t="n">
        <f>13787</f>
        <v>13787.0</v>
      </c>
      <c r="F13" s="23" t="n">
        <f>1</f>
        <v>1.0</v>
      </c>
      <c r="G13" s="21" t="n">
        <f>17090052423</f>
        <v>1.7090052423E10</v>
      </c>
      <c r="H13" s="22" t="n">
        <f>13756828952</f>
        <v>1.3756828952E10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94107</f>
        <v>94107.0</v>
      </c>
      <c r="E14" s="26" t="n">
        <f>24636</f>
        <v>24636.0</v>
      </c>
      <c r="F14" s="27" t="n">
        <f>1</f>
        <v>1.0</v>
      </c>
      <c r="G14" s="25" t="n">
        <f>34343907295</f>
        <v>3.4343907295E10</v>
      </c>
      <c r="H14" s="26" t="n">
        <f>26128834092</f>
        <v>2.6128834092E10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15</f>
        <v>15.0</v>
      </c>
      <c r="E15" s="18" t="n">
        <f>0</f>
        <v>0.0</v>
      </c>
      <c r="F15" s="19" t="n">
        <f>0.001</f>
        <v>0.001</v>
      </c>
      <c r="G15" s="17" t="n">
        <f>4350000</f>
        <v>4350000.0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0</f>
        <v>0.0</v>
      </c>
      <c r="E16" s="22" t="n">
        <f>0</f>
        <v>0.0</v>
      </c>
      <c r="F16" s="23" t="n">
        <f>0</f>
        <v>0.0</v>
      </c>
      <c r="G16" s="21" t="n">
        <f>0</f>
        <v>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230</f>
        <v>230.0</v>
      </c>
      <c r="E17" s="22" t="n">
        <f>230</f>
        <v>230.0</v>
      </c>
      <c r="F17" s="23" t="n">
        <f>0.006</f>
        <v>0.006</v>
      </c>
      <c r="G17" s="21" t="n">
        <f>69400000</f>
        <v>6.94E7</v>
      </c>
      <c r="H17" s="22" t="n">
        <f>69400000</f>
        <v>6.94E7</v>
      </c>
      <c r="I17" s="23" t="n">
        <f>0.004</f>
        <v>0.004</v>
      </c>
    </row>
    <row r="18" spans="1:9" ht="24.9" customHeight="1">
      <c r="A18" s="41"/>
      <c r="B18" s="39"/>
      <c r="C18" s="24" t="s">
        <v>18</v>
      </c>
      <c r="D18" s="25" t="n">
        <f>245</f>
        <v>245.0</v>
      </c>
      <c r="E18" s="26" t="n">
        <f>230</f>
        <v>230.0</v>
      </c>
      <c r="F18" s="27" t="n">
        <f>0.003</f>
        <v>0.003</v>
      </c>
      <c r="G18" s="25" t="n">
        <f>73750000</f>
        <v>7.375E7</v>
      </c>
      <c r="H18" s="26" t="n">
        <f>69400000</f>
        <v>6.94E7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19758</f>
        <v>19758.0</v>
      </c>
      <c r="E19" s="18" t="n">
        <f>5952</f>
        <v>5952.0</v>
      </c>
      <c r="F19" s="19" t="n">
        <f>0.999</f>
        <v>0.999</v>
      </c>
      <c r="G19" s="17" t="n">
        <f>10644397320</f>
        <v>1.064439732E10</v>
      </c>
      <c r="H19" s="18" t="n">
        <f>9005595620</f>
        <v>9.00559562E9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36973</f>
        <v>36973.0</v>
      </c>
      <c r="E20" s="22" t="n">
        <f>4897</f>
        <v>4897.0</v>
      </c>
      <c r="F20" s="23" t="n">
        <f>0.982</f>
        <v>0.982</v>
      </c>
      <c r="G20" s="21" t="n">
        <f>6580917920</f>
        <v>6.58091792E9</v>
      </c>
      <c r="H20" s="22" t="n">
        <f>3366409520</f>
        <v>3.36640952E9</v>
      </c>
      <c r="I20" s="23" t="n">
        <f>0.996</f>
        <v>0.996</v>
      </c>
    </row>
    <row r="21" spans="1:9" ht="24.9" customHeight="1">
      <c r="A21" s="41"/>
      <c r="B21" s="39"/>
      <c r="C21" s="20" t="s">
        <v>17</v>
      </c>
      <c r="D21" s="21" t="n">
        <f>34489</f>
        <v>34489.0</v>
      </c>
      <c r="E21" s="22" t="n">
        <f>13357</f>
        <v>13357.0</v>
      </c>
      <c r="F21" s="23" t="n">
        <f>0.941</f>
        <v>0.941</v>
      </c>
      <c r="G21" s="21" t="n">
        <f>16932212852</f>
        <v>1.6932212852E10</v>
      </c>
      <c r="H21" s="22" t="n">
        <f>13645428952</f>
        <v>1.3645428952E10</v>
      </c>
      <c r="I21" s="23" t="n">
        <f>0.991</f>
        <v>0.991</v>
      </c>
    </row>
    <row r="22" spans="1:9" ht="24.9" customHeight="1">
      <c r="A22" s="41"/>
      <c r="B22" s="39"/>
      <c r="C22" s="24" t="s">
        <v>18</v>
      </c>
      <c r="D22" s="25" t="n">
        <f>91220</f>
        <v>91220.0</v>
      </c>
      <c r="E22" s="26" t="n">
        <f>24206</f>
        <v>24206.0</v>
      </c>
      <c r="F22" s="27" t="n">
        <f>0.969</f>
        <v>0.969</v>
      </c>
      <c r="G22" s="25" t="n">
        <f>34157528092</f>
        <v>3.4157528092E10</v>
      </c>
      <c r="H22" s="26" t="n">
        <f>26017434092</f>
        <v>2.6017434092E10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695</f>
        <v>695.0</v>
      </c>
      <c r="E24" s="22" t="n">
        <f>0</f>
        <v>0.0</v>
      </c>
      <c r="F24" s="23" t="n">
        <f>0.018</f>
        <v>0.018</v>
      </c>
      <c r="G24" s="21" t="n">
        <f>24189632</f>
        <v>2.4189632E7</v>
      </c>
      <c r="H24" s="22" t="n">
        <f>0</f>
        <v>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1947</f>
        <v>1947.0</v>
      </c>
      <c r="E25" s="22" t="n">
        <f>200</f>
        <v>200.0</v>
      </c>
      <c r="F25" s="23" t="n">
        <f>0.053</f>
        <v>0.053</v>
      </c>
      <c r="G25" s="21" t="n">
        <f>88439571</f>
        <v>8.8439571E7</v>
      </c>
      <c r="H25" s="22" t="n">
        <f>42000000</f>
        <v>4.2E7</v>
      </c>
      <c r="I25" s="23" t="n">
        <f>0.005</f>
        <v>0.005</v>
      </c>
    </row>
    <row r="26" spans="1:9" ht="24.9" customHeight="1">
      <c r="A26" s="41"/>
      <c r="B26" s="39"/>
      <c r="C26" s="24" t="s">
        <v>18</v>
      </c>
      <c r="D26" s="25" t="n">
        <f>2642</f>
        <v>2642.0</v>
      </c>
      <c r="E26" s="26" t="n">
        <f>200</f>
        <v>200.0</v>
      </c>
      <c r="F26" s="27" t="n">
        <f>0.028</f>
        <v>0.028</v>
      </c>
      <c r="G26" s="25" t="n">
        <f>112629203</f>
        <v>1.12629203E8</v>
      </c>
      <c r="H26" s="26" t="n">
        <f>42000000</f>
        <v>4.2E7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46174.0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46174.0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13924.0</v>
      </c>
      <c r="F12" s="18" t="n">
        <f>3586</f>
        <v>3586.0</v>
      </c>
      <c r="G12" s="17" t="n">
        <v>9.2374643804E11</v>
      </c>
      <c r="H12" s="18" t="n">
        <f>238247679040</f>
        <v>2.3824767904E11</v>
      </c>
    </row>
    <row r="13" spans="1:8" ht="24.9" customHeight="1">
      <c r="A13" s="51"/>
      <c r="B13" s="57"/>
      <c r="C13" s="39"/>
      <c r="D13" s="20" t="s">
        <v>16</v>
      </c>
      <c r="E13" s="21" t="n">
        <v>10928.0</v>
      </c>
      <c r="F13" s="22" t="n">
        <f>1436</f>
        <v>1436.0</v>
      </c>
      <c r="G13" s="21" t="n">
        <v>7.294892102E11</v>
      </c>
      <c r="H13" s="22" t="n">
        <f>95865973200</f>
        <v>9.58659732E10</v>
      </c>
    </row>
    <row r="14" spans="1:8" ht="24.9" customHeight="1">
      <c r="A14" s="51"/>
      <c r="B14" s="57"/>
      <c r="C14" s="39"/>
      <c r="D14" s="20" t="s">
        <v>17</v>
      </c>
      <c r="E14" s="21" t="n">
        <v>15480.0</v>
      </c>
      <c r="F14" s="22" t="n">
        <f>4510</f>
        <v>4510.0</v>
      </c>
      <c r="G14" s="21" t="n">
        <v>1.03650387589E12</v>
      </c>
      <c r="H14" s="22" t="n">
        <f>301994424890</f>
        <v>3.0199442489E11</v>
      </c>
    </row>
    <row r="15" spans="1:8" ht="24.9" customHeight="1">
      <c r="A15" s="51"/>
      <c r="B15" s="57"/>
      <c r="C15" s="39"/>
      <c r="D15" s="24" t="s">
        <v>18</v>
      </c>
      <c r="E15" s="25" t="n">
        <v>40332.0</v>
      </c>
      <c r="F15" s="26" t="n">
        <f>9532</f>
        <v>9532.0</v>
      </c>
      <c r="G15" s="25" t="n">
        <v>2.68973952413E12</v>
      </c>
      <c r="H15" s="26" t="n">
        <f>636108077130</f>
        <v>6.3610807713E11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237239.0</v>
      </c>
      <c r="F16" s="18" t="n">
        <f>29132</f>
        <v>29132.0</v>
      </c>
      <c r="G16" s="17" t="n">
        <v>1.5731643931E12</v>
      </c>
      <c r="H16" s="18" t="n">
        <f>193205973100</f>
        <v>1.932059731E11</v>
      </c>
    </row>
    <row r="17" spans="1:8" ht="24.9" customHeight="1">
      <c r="A17" s="51"/>
      <c r="B17" s="57"/>
      <c r="C17" s="39"/>
      <c r="D17" s="20" t="s">
        <v>16</v>
      </c>
      <c r="E17" s="21" t="n">
        <v>163221.0</v>
      </c>
      <c r="F17" s="22" t="n">
        <f>18932</f>
        <v>18932.0</v>
      </c>
      <c r="G17" s="21" t="n">
        <v>1.08984225731E12</v>
      </c>
      <c r="H17" s="22" t="n">
        <f>126467766810</f>
        <v>1.2646776681E11</v>
      </c>
    </row>
    <row r="18" spans="1:8" ht="24.9" customHeight="1">
      <c r="A18" s="51"/>
      <c r="B18" s="57"/>
      <c r="C18" s="39"/>
      <c r="D18" s="20" t="s">
        <v>17</v>
      </c>
      <c r="E18" s="21" t="n">
        <v>153262.0</v>
      </c>
      <c r="F18" s="22" t="n">
        <f>16843</f>
        <v>16843.0</v>
      </c>
      <c r="G18" s="21" t="n">
        <v>1.0258543544E12</v>
      </c>
      <c r="H18" s="22" t="n">
        <f>112735081800</f>
        <v>1.127350818E11</v>
      </c>
    </row>
    <row r="19" spans="1:8" ht="24.9" customHeight="1">
      <c r="A19" s="51"/>
      <c r="B19" s="57"/>
      <c r="C19" s="39"/>
      <c r="D19" s="24" t="s">
        <v>18</v>
      </c>
      <c r="E19" s="25" t="n">
        <v>553722.0</v>
      </c>
      <c r="F19" s="26" t="n">
        <f>64907</f>
        <v>64907.0</v>
      </c>
      <c r="G19" s="25" t="n">
        <v>3.68886100481E12</v>
      </c>
      <c r="H19" s="26" t="n">
        <f>432408821710</f>
        <v>4.3240882171E11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342865.0</v>
      </c>
      <c r="F20" s="18" t="str">
        <f>"－"</f>
        <v>－</v>
      </c>
      <c r="G20" s="17" t="n">
        <v>2.273782124E11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190375.0</v>
      </c>
      <c r="F21" s="22" t="str">
        <f>"－"</f>
        <v>－</v>
      </c>
      <c r="G21" s="21" t="n">
        <v>1.2715791335E11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186946.0</v>
      </c>
      <c r="F22" s="22" t="str">
        <f>"－"</f>
        <v>－</v>
      </c>
      <c r="G22" s="21" t="n">
        <v>1.2513782585E11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720186.0</v>
      </c>
      <c r="F23" s="26" t="str">
        <f>"－"</f>
        <v>－</v>
      </c>
      <c r="G23" s="25" t="n">
        <v>4.796739516E11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27492.0</v>
      </c>
      <c r="F24" s="18" t="n">
        <f>931</f>
        <v>931.0</v>
      </c>
      <c r="G24" s="17" t="n">
        <v>1.0843960408E12</v>
      </c>
      <c r="H24" s="18" t="n">
        <f>36844187800</f>
        <v>3.68441878E10</v>
      </c>
    </row>
    <row r="25" spans="1:8" ht="24.9" customHeight="1">
      <c r="A25" s="51"/>
      <c r="B25" s="57"/>
      <c r="C25" s="39"/>
      <c r="D25" s="20" t="s">
        <v>16</v>
      </c>
      <c r="E25" s="21" t="n">
        <v>20650.0</v>
      </c>
      <c r="F25" s="22" t="n">
        <f>1268</f>
        <v>1268.0</v>
      </c>
      <c r="G25" s="21" t="n">
        <v>8.153817405E11</v>
      </c>
      <c r="H25" s="22" t="n">
        <f>50082584500</f>
        <v>5.00825845E10</v>
      </c>
    </row>
    <row r="26" spans="1:8" ht="24.9" customHeight="1">
      <c r="A26" s="51"/>
      <c r="B26" s="57"/>
      <c r="C26" s="39"/>
      <c r="D26" s="20" t="s">
        <v>17</v>
      </c>
      <c r="E26" s="21" t="n">
        <v>34661.0</v>
      </c>
      <c r="F26" s="22" t="n">
        <f>9500</f>
        <v>9500.0</v>
      </c>
      <c r="G26" s="21" t="n">
        <v>1.3661706607E12</v>
      </c>
      <c r="H26" s="22" t="n">
        <f>374651265700</f>
        <v>3.746512657E11</v>
      </c>
    </row>
    <row r="27" spans="1:8" ht="24.9" customHeight="1">
      <c r="A27" s="51"/>
      <c r="B27" s="57"/>
      <c r="C27" s="39"/>
      <c r="D27" s="24" t="s">
        <v>18</v>
      </c>
      <c r="E27" s="25" t="n">
        <v>82803.0</v>
      </c>
      <c r="F27" s="26" t="n">
        <f>11699</f>
        <v>11699.0</v>
      </c>
      <c r="G27" s="25" t="n">
        <v>3.265948442E12</v>
      </c>
      <c r="H27" s="26" t="n">
        <f>461578038000</f>
        <v>4.61578038E11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7266.0</v>
      </c>
      <c r="F28" s="18" t="n">
        <f>430</f>
        <v>430.0</v>
      </c>
      <c r="G28" s="17" t="n">
        <v>2.86428948E10</v>
      </c>
      <c r="H28" s="18" t="n">
        <f>1696670300</f>
        <v>1.6966703E9</v>
      </c>
    </row>
    <row r="29" spans="1:8" ht="24.9" customHeight="1">
      <c r="A29" s="51"/>
      <c r="B29" s="57"/>
      <c r="C29" s="39"/>
      <c r="D29" s="20" t="s">
        <v>16</v>
      </c>
      <c r="E29" s="21" t="n">
        <v>8154.0</v>
      </c>
      <c r="F29" s="22" t="n">
        <f>333</f>
        <v>333.0</v>
      </c>
      <c r="G29" s="21" t="n">
        <v>3.219960295E10</v>
      </c>
      <c r="H29" s="22" t="n">
        <f>1313729700</f>
        <v>1.3137297E9</v>
      </c>
    </row>
    <row r="30" spans="1:8" ht="24.9" customHeight="1">
      <c r="A30" s="51"/>
      <c r="B30" s="57"/>
      <c r="C30" s="39"/>
      <c r="D30" s="20" t="s">
        <v>17</v>
      </c>
      <c r="E30" s="21" t="n">
        <v>9078.0</v>
      </c>
      <c r="F30" s="22" t="n">
        <f>226</f>
        <v>226.0</v>
      </c>
      <c r="G30" s="21" t="n">
        <v>3.577296865E10</v>
      </c>
      <c r="H30" s="22" t="n">
        <f>891031150</f>
        <v>8.9103115E8</v>
      </c>
    </row>
    <row r="31" spans="1:8" ht="24.9" customHeight="1">
      <c r="A31" s="51"/>
      <c r="B31" s="57"/>
      <c r="C31" s="39"/>
      <c r="D31" s="24" t="s">
        <v>18</v>
      </c>
      <c r="E31" s="25" t="n">
        <v>24498.0</v>
      </c>
      <c r="F31" s="26" t="n">
        <f>989</f>
        <v>989.0</v>
      </c>
      <c r="G31" s="25" t="n">
        <v>9.66154664E10</v>
      </c>
      <c r="H31" s="26" t="n">
        <f>3901431150</f>
        <v>3.90143115E9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572.0</v>
      </c>
      <c r="F36" s="18" t="n">
        <f>1</f>
        <v>1.0</v>
      </c>
      <c r="G36" s="17" t="n">
        <v>2.05337949E9</v>
      </c>
      <c r="H36" s="18" t="n">
        <f>3595990</f>
        <v>3595990.0</v>
      </c>
    </row>
    <row r="37" spans="1:8" ht="24.9" customHeight="1">
      <c r="A37" s="51"/>
      <c r="B37" s="57"/>
      <c r="C37" s="39"/>
      <c r="D37" s="20" t="s">
        <v>16</v>
      </c>
      <c r="E37" s="21" t="n">
        <v>762.0</v>
      </c>
      <c r="F37" s="22" t="n">
        <f>3</f>
        <v>3.0</v>
      </c>
      <c r="G37" s="21" t="n">
        <v>2.73769601E9</v>
      </c>
      <c r="H37" s="22" t="n">
        <f>10778510</f>
        <v>1.077851E7</v>
      </c>
    </row>
    <row r="38" spans="1:8" ht="24.9" customHeight="1">
      <c r="A38" s="51"/>
      <c r="B38" s="57"/>
      <c r="C38" s="39"/>
      <c r="D38" s="20" t="s">
        <v>17</v>
      </c>
      <c r="E38" s="21" t="n">
        <v>1131.0</v>
      </c>
      <c r="F38" s="22" t="n">
        <f>188</f>
        <v>188.0</v>
      </c>
      <c r="G38" s="21" t="n">
        <v>4.057972601E9</v>
      </c>
      <c r="H38" s="22" t="n">
        <f>674576601</f>
        <v>6.74576601E8</v>
      </c>
    </row>
    <row r="39" spans="1:8" ht="24.9" customHeight="1">
      <c r="A39" s="51"/>
      <c r="B39" s="57"/>
      <c r="C39" s="39"/>
      <c r="D39" s="24" t="s">
        <v>18</v>
      </c>
      <c r="E39" s="25" t="n">
        <v>2465.0</v>
      </c>
      <c r="F39" s="26" t="n">
        <f>192</f>
        <v>192.0</v>
      </c>
      <c r="G39" s="25" t="n">
        <v>8.849048101E9</v>
      </c>
      <c r="H39" s="26" t="n">
        <f>688951101</f>
        <v>6.88951101E8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8.0</v>
      </c>
      <c r="F48" s="18" t="n">
        <f>8</f>
        <v>8.0</v>
      </c>
      <c r="G48" s="17" t="n">
        <v>1.452E7</v>
      </c>
      <c r="H48" s="18" t="n">
        <f>14520000</f>
        <v>1.452E7</v>
      </c>
    </row>
    <row r="49" spans="1:8" ht="24.9" customHeight="1">
      <c r="A49" s="51"/>
      <c r="B49" s="57"/>
      <c r="C49" s="39"/>
      <c r="D49" s="20" t="s">
        <v>16</v>
      </c>
      <c r="E49" s="21" t="n">
        <v>23.0</v>
      </c>
      <c r="F49" s="22" t="n">
        <f>0</f>
        <v>0.0</v>
      </c>
      <c r="G49" s="21" t="n">
        <v>4.1393E7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1575.0</v>
      </c>
      <c r="F50" s="22" t="n">
        <f>561</f>
        <v>561.0</v>
      </c>
      <c r="G50" s="21" t="n">
        <v>2.80654317E9</v>
      </c>
      <c r="H50" s="22" t="n">
        <f>1001161170</f>
        <v>1.00116117E9</v>
      </c>
    </row>
    <row r="51" spans="1:8" ht="24.9" customHeight="1">
      <c r="A51" s="51"/>
      <c r="B51" s="57"/>
      <c r="C51" s="39"/>
      <c r="D51" s="24" t="s">
        <v>18</v>
      </c>
      <c r="E51" s="25" t="n">
        <v>1606.0</v>
      </c>
      <c r="F51" s="26" t="n">
        <f>569</f>
        <v>569.0</v>
      </c>
      <c r="G51" s="25" t="n">
        <v>2.86245617E9</v>
      </c>
      <c r="H51" s="26" t="n">
        <f>1015681170</f>
        <v>1.01568117E9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979.0</v>
      </c>
      <c r="F56" s="18" t="n">
        <f>15</f>
        <v>15.0</v>
      </c>
      <c r="G56" s="17" t="n">
        <v>7.928459E8</v>
      </c>
      <c r="H56" s="18" t="n">
        <f>12190900</f>
        <v>1.21909E7</v>
      </c>
    </row>
    <row r="57" spans="1:8" ht="24.9" customHeight="1">
      <c r="A57" s="51"/>
      <c r="B57" s="57"/>
      <c r="C57" s="39"/>
      <c r="D57" s="20" t="s">
        <v>16</v>
      </c>
      <c r="E57" s="21" t="n">
        <v>3981.0</v>
      </c>
      <c r="F57" s="22" t="n">
        <f>77</f>
        <v>77.0</v>
      </c>
      <c r="G57" s="21" t="n">
        <v>3.1635913E9</v>
      </c>
      <c r="H57" s="22" t="n">
        <f>61221300</f>
        <v>6.12213E7</v>
      </c>
    </row>
    <row r="58" spans="1:8" ht="24.9" customHeight="1">
      <c r="A58" s="51"/>
      <c r="B58" s="57"/>
      <c r="C58" s="39"/>
      <c r="D58" s="20" t="s">
        <v>17</v>
      </c>
      <c r="E58" s="21" t="n">
        <v>2693.0</v>
      </c>
      <c r="F58" s="22" t="n">
        <f>51</f>
        <v>51.0</v>
      </c>
      <c r="G58" s="21" t="n">
        <v>2.09254312E9</v>
      </c>
      <c r="H58" s="22" t="n">
        <f>39834120</f>
        <v>3.983412E7</v>
      </c>
    </row>
    <row r="59" spans="1:8" ht="24.9" customHeight="1">
      <c r="A59" s="51"/>
      <c r="B59" s="57"/>
      <c r="C59" s="39"/>
      <c r="D59" s="24" t="s">
        <v>18</v>
      </c>
      <c r="E59" s="25" t="n">
        <v>7653.0</v>
      </c>
      <c r="F59" s="26" t="n">
        <f>143</f>
        <v>143.0</v>
      </c>
      <c r="G59" s="25" t="n">
        <v>6.04898032E9</v>
      </c>
      <c r="H59" s="26" t="n">
        <f>113246320</f>
        <v>1.1324632E8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196.0</v>
      </c>
      <c r="F60" s="18" t="n">
        <f>5</f>
        <v>5.0</v>
      </c>
      <c r="G60" s="17" t="n">
        <v>9.9861448E8</v>
      </c>
      <c r="H60" s="18" t="n">
        <f>25443180</f>
        <v>2.544318E7</v>
      </c>
    </row>
    <row r="61" spans="1:8" ht="24.9" customHeight="1">
      <c r="A61" s="51"/>
      <c r="B61" s="57"/>
      <c r="C61" s="39"/>
      <c r="D61" s="20" t="s">
        <v>16</v>
      </c>
      <c r="E61" s="21" t="n">
        <v>9.0</v>
      </c>
      <c r="F61" s="22" t="n">
        <f>1</f>
        <v>1.0</v>
      </c>
      <c r="G61" s="21" t="n">
        <v>4.60148E7</v>
      </c>
      <c r="H61" s="22" t="n">
        <f>5114600</f>
        <v>5114600.0</v>
      </c>
    </row>
    <row r="62" spans="1:8" ht="24.9" customHeight="1">
      <c r="A62" s="51"/>
      <c r="B62" s="57"/>
      <c r="C62" s="39"/>
      <c r="D62" s="20" t="s">
        <v>17</v>
      </c>
      <c r="E62" s="21" t="n">
        <v>22.0</v>
      </c>
      <c r="F62" s="22" t="n">
        <f>2</f>
        <v>2.0</v>
      </c>
      <c r="G62" s="21" t="n">
        <v>1.124797E8</v>
      </c>
      <c r="H62" s="22" t="n">
        <f>10223300</f>
        <v>1.02233E7</v>
      </c>
    </row>
    <row r="63" spans="1:8" ht="24.9" customHeight="1">
      <c r="A63" s="51"/>
      <c r="B63" s="57"/>
      <c r="C63" s="39"/>
      <c r="D63" s="24" t="s">
        <v>18</v>
      </c>
      <c r="E63" s="25" t="n">
        <v>227.0</v>
      </c>
      <c r="F63" s="26" t="n">
        <f>8</f>
        <v>8.0</v>
      </c>
      <c r="G63" s="25" t="n">
        <v>1.15710898E9</v>
      </c>
      <c r="H63" s="26" t="n">
        <f>40781080</f>
        <v>4.078108E7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310000.0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6.0</v>
      </c>
      <c r="F78" s="22" t="n">
        <f>0</f>
        <v>0.0</v>
      </c>
      <c r="G78" s="21" t="n">
        <v>2024500.0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7.0</v>
      </c>
      <c r="F79" s="26" t="n">
        <f>0</f>
        <v>0.0</v>
      </c>
      <c r="G79" s="25" t="n">
        <v>2334500.0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222.0</v>
      </c>
      <c r="F92" s="18" t="n">
        <f>0</f>
        <v>0.0</v>
      </c>
      <c r="G92" s="17" t="n">
        <v>3.530744E8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14.0</v>
      </c>
      <c r="F93" s="22" t="n">
        <f>0</f>
        <v>0.0</v>
      </c>
      <c r="G93" s="21" t="n">
        <v>2.22965E7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76.0</v>
      </c>
      <c r="F94" s="22" t="n">
        <f>0</f>
        <v>0.0</v>
      </c>
      <c r="G94" s="21" t="n">
        <v>1.210564E8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312.0</v>
      </c>
      <c r="F95" s="26" t="n">
        <f>0</f>
        <v>0.0</v>
      </c>
      <c r="G95" s="25" t="n">
        <v>4.964273E8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1150.0</v>
      </c>
      <c r="F96" s="18" t="n">
        <f>0</f>
        <v>0.0</v>
      </c>
      <c r="G96" s="17" t="n">
        <v>2.7071139E9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4.0</v>
      </c>
      <c r="F97" s="22" t="n">
        <f>0</f>
        <v>0.0</v>
      </c>
      <c r="G97" s="21" t="n">
        <v>9427000.0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6.0</v>
      </c>
      <c r="F98" s="22" t="n">
        <f>0</f>
        <v>0.0</v>
      </c>
      <c r="G98" s="21" t="n">
        <v>1.41422E7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1160.0</v>
      </c>
      <c r="F99" s="26" t="n">
        <f>0</f>
        <v>0.0</v>
      </c>
      <c r="G99" s="25" t="n">
        <v>2.7306831E9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310.0</v>
      </c>
      <c r="F100" s="18" t="n">
        <f>0</f>
        <v>0.0</v>
      </c>
      <c r="G100" s="17" t="n">
        <v>5.75477E8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310.0</v>
      </c>
      <c r="F103" s="26" t="n">
        <f>0</f>
        <v>0.0</v>
      </c>
      <c r="G103" s="25" t="n">
        <v>5.75477E8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15269.0</v>
      </c>
      <c r="F108" s="18" t="n">
        <f>826</f>
        <v>826.0</v>
      </c>
      <c r="G108" s="17" t="n">
        <v>1.96617535E12</v>
      </c>
      <c r="H108" s="18" t="n">
        <f>106456690000</f>
        <v>1.0645669E11</v>
      </c>
    </row>
    <row r="109" spans="1:8" ht="24.9" customHeight="1">
      <c r="A109" s="51"/>
      <c r="B109" s="57"/>
      <c r="C109" s="39"/>
      <c r="D109" s="20" t="s">
        <v>16</v>
      </c>
      <c r="E109" s="21" t="n">
        <v>19940.0</v>
      </c>
      <c r="F109" s="22" t="n">
        <f>556</f>
        <v>556.0</v>
      </c>
      <c r="G109" s="21" t="n">
        <v>2.562027195E12</v>
      </c>
      <c r="H109" s="22" t="n">
        <f>71569345000</f>
        <v>7.1569345E10</v>
      </c>
    </row>
    <row r="110" spans="1:8" ht="24.9" customHeight="1">
      <c r="A110" s="51"/>
      <c r="B110" s="57"/>
      <c r="C110" s="39"/>
      <c r="D110" s="20" t="s">
        <v>17</v>
      </c>
      <c r="E110" s="21" t="n">
        <v>14984.0</v>
      </c>
      <c r="F110" s="22" t="n">
        <f>1627</f>
        <v>1627.0</v>
      </c>
      <c r="G110" s="21" t="n">
        <v>1.926831875E12</v>
      </c>
      <c r="H110" s="22" t="n">
        <f>209262485000</f>
        <v>2.09262485E11</v>
      </c>
    </row>
    <row r="111" spans="1:8" ht="24.9" customHeight="1">
      <c r="A111" s="51"/>
      <c r="B111" s="57"/>
      <c r="C111" s="39"/>
      <c r="D111" s="24" t="s">
        <v>18</v>
      </c>
      <c r="E111" s="25" t="n">
        <v>50193.0</v>
      </c>
      <c r="F111" s="26" t="n">
        <f>3009</f>
        <v>3009.0</v>
      </c>
      <c r="G111" s="25" t="n">
        <v>6.45503442E12</v>
      </c>
      <c r="H111" s="26" t="n">
        <f>387288520000</f>
        <v>3.8728852E11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387.0</v>
      </c>
      <c r="F113" s="22" t="n">
        <f>0</f>
        <v>0.0</v>
      </c>
      <c r="G113" s="21" t="n">
        <v>4.979968E9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94.0</v>
      </c>
      <c r="F114" s="22" t="n">
        <f>0</f>
        <v>0.0</v>
      </c>
      <c r="G114" s="21" t="n">
        <v>1.209389E9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481.0</v>
      </c>
      <c r="F115" s="26" t="n">
        <f>0</f>
        <v>0.0</v>
      </c>
      <c r="G115" s="25" t="n">
        <v>6.189357E9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140.0</v>
      </c>
      <c r="F118" s="22" t="n">
        <f>0</f>
        <v>0.0</v>
      </c>
      <c r="G118" s="21" t="n">
        <v>1.29125E9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140.0</v>
      </c>
      <c r="F119" s="26" t="n">
        <f>0</f>
        <v>0.0</v>
      </c>
      <c r="G119" s="25" t="n">
        <v>1.29125E9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3946.0</v>
      </c>
      <c r="F120" s="18" t="n">
        <f>0</f>
        <v>0.0</v>
      </c>
      <c r="G120" s="17" t="n">
        <v>9.7716735625E10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0.0</v>
      </c>
      <c r="F121" s="22" t="n">
        <f>0</f>
        <v>0.0</v>
      </c>
      <c r="G121" s="21" t="n">
        <v>0.0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356.0</v>
      </c>
      <c r="F122" s="22" t="n">
        <f>0</f>
        <v>0.0</v>
      </c>
      <c r="G122" s="21" t="n">
        <v>8.814334375E9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4302.0</v>
      </c>
      <c r="F123" s="26" t="n">
        <f>0</f>
        <v>0.0</v>
      </c>
      <c r="G123" s="25" t="n">
        <v>1.0653107E11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6253.0</v>
      </c>
      <c r="F124" s="18" t="n">
        <f>0</f>
        <v>0.0</v>
      </c>
      <c r="G124" s="17" t="n">
        <v>1.49525807E11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1454.0</v>
      </c>
      <c r="F125" s="22" t="n">
        <f>0</f>
        <v>0.0</v>
      </c>
      <c r="G125" s="21" t="n">
        <v>3.4746576E10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1495.0</v>
      </c>
      <c r="F126" s="22" t="n">
        <f>0</f>
        <v>0.0</v>
      </c>
      <c r="G126" s="21" t="n">
        <v>3.5586019E10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9202.0</v>
      </c>
      <c r="F127" s="26" t="n">
        <f>0</f>
        <v>0.0</v>
      </c>
      <c r="G127" s="25" t="n">
        <v>2.19858402E11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49.0</v>
      </c>
      <c r="F128" s="18" t="n">
        <f>0</f>
        <v>0.0</v>
      </c>
      <c r="G128" s="17" t="n">
        <v>1.174427E8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45.0</v>
      </c>
      <c r="F129" s="22" t="n">
        <f>0</f>
        <v>0.0</v>
      </c>
      <c r="G129" s="21" t="n">
        <v>1.076958E8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46.0</v>
      </c>
      <c r="F130" s="22" t="n">
        <f>0</f>
        <v>0.0</v>
      </c>
      <c r="G130" s="21" t="n">
        <v>1.09591E8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140.0</v>
      </c>
      <c r="F131" s="26" t="n">
        <f>0</f>
        <v>0.0</v>
      </c>
      <c r="G131" s="25" t="n">
        <v>3.347295E8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7931.0</v>
      </c>
      <c r="F132" s="18" t="n">
        <f>0</f>
        <v>0.0</v>
      </c>
      <c r="G132" s="17" t="n">
        <v>1.8986897E10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1286.0</v>
      </c>
      <c r="F133" s="22" t="n">
        <f>0</f>
        <v>0.0</v>
      </c>
      <c r="G133" s="21" t="n">
        <v>3.0766852E9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2225.0</v>
      </c>
      <c r="F134" s="22" t="n">
        <f>1</f>
        <v>1.0</v>
      </c>
      <c r="G134" s="21" t="n">
        <v>5.3019597E9</v>
      </c>
      <c r="H134" s="22" t="n">
        <f>2391200</f>
        <v>2391200.0</v>
      </c>
    </row>
    <row r="135" spans="1:8" ht="24.9" customHeight="1">
      <c r="A135" s="51"/>
      <c r="B135" s="57"/>
      <c r="C135" s="39"/>
      <c r="D135" s="24" t="s">
        <v>18</v>
      </c>
      <c r="E135" s="25" t="n">
        <v>11442.0</v>
      </c>
      <c r="F135" s="26" t="n">
        <f>1</f>
        <v>1.0</v>
      </c>
      <c r="G135" s="25" t="n">
        <v>2.73655419E10</v>
      </c>
      <c r="H135" s="26" t="n">
        <f>2391200</f>
        <v>2391200.0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223.0</v>
      </c>
      <c r="F136" s="18" t="n">
        <f>0</f>
        <v>0.0</v>
      </c>
      <c r="G136" s="17" t="n">
        <v>5.274811E8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16.0</v>
      </c>
      <c r="F137" s="22" t="n">
        <f>0</f>
        <v>0.0</v>
      </c>
      <c r="G137" s="21" t="n">
        <v>3.79954E7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58.0</v>
      </c>
      <c r="F138" s="22" t="n">
        <f>0</f>
        <v>0.0</v>
      </c>
      <c r="G138" s="21" t="n">
        <v>1.369896E8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297.0</v>
      </c>
      <c r="F139" s="26" t="n">
        <f>0</f>
        <v>0.0</v>
      </c>
      <c r="G139" s="25" t="n">
        <v>7.024661E8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1.0</v>
      </c>
      <c r="F142" s="22" t="n">
        <f>0</f>
        <v>0.0</v>
      </c>
      <c r="G142" s="21" t="n">
        <v>1.167E7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1.167E7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1177.0</v>
      </c>
      <c r="F144" s="18" t="n">
        <f>0</f>
        <v>0.0</v>
      </c>
      <c r="G144" s="17" t="n">
        <v>5.7056945E9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804.0</v>
      </c>
      <c r="F145" s="22" t="n">
        <f>0</f>
        <v>0.0</v>
      </c>
      <c r="G145" s="21" t="n">
        <v>3.929108E9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1020.0</v>
      </c>
      <c r="F146" s="22" t="n">
        <f>0</f>
        <v>0.0</v>
      </c>
      <c r="G146" s="21" t="n">
        <v>5.0058595E9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3001.0</v>
      </c>
      <c r="F147" s="26" t="n">
        <f>0</f>
        <v>0.0</v>
      </c>
      <c r="G147" s="25" t="n">
        <v>1.4640662E10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149.0</v>
      </c>
      <c r="F148" s="18" t="n">
        <f>0</f>
        <v>0.0</v>
      </c>
      <c r="G148" s="17" t="n">
        <v>1.468418E8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368.0</v>
      </c>
      <c r="F149" s="22" t="n">
        <f>0</f>
        <v>0.0</v>
      </c>
      <c r="G149" s="21" t="n">
        <v>3.654378E8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156.0</v>
      </c>
      <c r="F150" s="22" t="n">
        <f>0</f>
        <v>0.0</v>
      </c>
      <c r="G150" s="21" t="n">
        <v>1.560273E8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673.0</v>
      </c>
      <c r="F151" s="26" t="n">
        <f>0</f>
        <v>0.0</v>
      </c>
      <c r="G151" s="25" t="n">
        <v>6.683069E8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306.0</v>
      </c>
      <c r="F152" s="18" t="n">
        <f>0</f>
        <v>0.0</v>
      </c>
      <c r="G152" s="17" t="n">
        <v>2.971563E8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268.0</v>
      </c>
      <c r="F153" s="22" t="n">
        <f>1</f>
        <v>1.0</v>
      </c>
      <c r="G153" s="21" t="n">
        <v>2.623828E8</v>
      </c>
      <c r="H153" s="22" t="n">
        <f>980100</f>
        <v>980100.0</v>
      </c>
    </row>
    <row r="154" spans="1:8" ht="24.9" customHeight="1">
      <c r="A154" s="51"/>
      <c r="B154" s="57"/>
      <c r="C154" s="39"/>
      <c r="D154" s="20" t="s">
        <v>17</v>
      </c>
      <c r="E154" s="21" t="n">
        <v>182.0</v>
      </c>
      <c r="F154" s="22" t="n">
        <f>0</f>
        <v>0.0</v>
      </c>
      <c r="G154" s="21" t="n">
        <v>1.789314E8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756.0</v>
      </c>
      <c r="F155" s="26" t="n">
        <f>1</f>
        <v>1.0</v>
      </c>
      <c r="G155" s="25" t="n">
        <v>7.384705E8</v>
      </c>
      <c r="H155" s="26" t="n">
        <f>980100</f>
        <v>980100.0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1489.0</v>
      </c>
      <c r="F156" s="18" t="n">
        <f>0</f>
        <v>0.0</v>
      </c>
      <c r="G156" s="17" t="n">
        <v>1.4426088E9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799.0</v>
      </c>
      <c r="F157" s="22" t="n">
        <f>0</f>
        <v>0.0</v>
      </c>
      <c r="G157" s="21" t="n">
        <v>7.871477E8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1545.0</v>
      </c>
      <c r="F158" s="22" t="n">
        <f>0</f>
        <v>0.0</v>
      </c>
      <c r="G158" s="21" t="n">
        <v>1.53536E9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3833.0</v>
      </c>
      <c r="F159" s="26" t="n">
        <f>0</f>
        <v>0.0</v>
      </c>
      <c r="G159" s="25" t="n">
        <v>3.7651165E9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99.0</v>
      </c>
      <c r="F168" s="18" t="n">
        <f>0</f>
        <v>0.0</v>
      </c>
      <c r="G168" s="17" t="n">
        <v>2.052445E8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53.0</v>
      </c>
      <c r="F169" s="22" t="n">
        <f>0</f>
        <v>0.0</v>
      </c>
      <c r="G169" s="21" t="n">
        <v>1.11029E8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836.0</v>
      </c>
      <c r="F170" s="22" t="n">
        <f>0</f>
        <v>0.0</v>
      </c>
      <c r="G170" s="21" t="n">
        <v>1.743893E9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988.0</v>
      </c>
      <c r="F171" s="26" t="n">
        <f>0</f>
        <v>0.0</v>
      </c>
      <c r="G171" s="25" t="n">
        <v>2.0601665E9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2.0</v>
      </c>
      <c r="F178" s="22" t="n">
        <f>0</f>
        <v>0.0</v>
      </c>
      <c r="G178" s="21" t="n">
        <v>3612000.0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2.0</v>
      </c>
      <c r="F179" s="26" t="n">
        <f>0</f>
        <v>0.0</v>
      </c>
      <c r="G179" s="25" t="n">
        <v>3612000.0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533.0</v>
      </c>
      <c r="F204" s="18" t="n">
        <f>0</f>
        <v>0.0</v>
      </c>
      <c r="G204" s="17" t="n">
        <v>2.171383E9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161.0</v>
      </c>
      <c r="F205" s="22" t="n">
        <f>0</f>
        <v>0.0</v>
      </c>
      <c r="G205" s="21" t="n">
        <v>6.59288E8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653.0</v>
      </c>
      <c r="F206" s="22" t="n">
        <f>0</f>
        <v>0.0</v>
      </c>
      <c r="G206" s="21" t="n">
        <v>2.70409E9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1347.0</v>
      </c>
      <c r="F207" s="26" t="n">
        <f>0</f>
        <v>0.0</v>
      </c>
      <c r="G207" s="25" t="n">
        <v>5.534761E9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46174.0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46174.0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4785</f>
        <v>4785.0</v>
      </c>
      <c r="E12" s="35" t="n">
        <f>2754</f>
        <v>2754.0</v>
      </c>
      <c r="F12" s="17" t="n">
        <f>3685</f>
        <v>3685.0</v>
      </c>
      <c r="G12" s="35" t="n">
        <f>1508</f>
        <v>1508.0</v>
      </c>
      <c r="H12" s="17" t="n">
        <f>8470</f>
        <v>8470.0</v>
      </c>
      <c r="I12" s="35" t="n">
        <f>4262</f>
        <v>4262.0</v>
      </c>
      <c r="J12" s="17" t="n">
        <f>1880075870</f>
        <v>1.88007587E9</v>
      </c>
      <c r="K12" s="35" t="n">
        <f>1515350870</f>
        <v>1.51535087E9</v>
      </c>
      <c r="L12" s="17" t="n">
        <f>7225601010</f>
        <v>7.22560101E9</v>
      </c>
      <c r="M12" s="35" t="n">
        <f>6473550010</f>
        <v>6.47355001E9</v>
      </c>
      <c r="N12" s="17" t="n">
        <f>9105676880</f>
        <v>9.10567688E9</v>
      </c>
      <c r="O12" s="35" t="n">
        <f>7988900880</f>
        <v>7.98890088E9</v>
      </c>
    </row>
    <row r="13" spans="1:15" ht="24.9" customHeight="1">
      <c r="A13" s="38"/>
      <c r="B13" s="62"/>
      <c r="C13" s="20" t="s">
        <v>16</v>
      </c>
      <c r="D13" s="21" t="n">
        <f>3641</f>
        <v>3641.0</v>
      </c>
      <c r="E13" s="36" t="n">
        <f>926</f>
        <v>926.0</v>
      </c>
      <c r="F13" s="21" t="n">
        <f>3326</f>
        <v>3326.0</v>
      </c>
      <c r="G13" s="36" t="n">
        <f>861</f>
        <v>861.0</v>
      </c>
      <c r="H13" s="21" t="n">
        <f>6967</f>
        <v>6967.0</v>
      </c>
      <c r="I13" s="36" t="n">
        <f>1787</f>
        <v>1787.0</v>
      </c>
      <c r="J13" s="21" t="n">
        <f>1966345280</f>
        <v>1.96634528E9</v>
      </c>
      <c r="K13" s="36" t="n">
        <f>1246382280</f>
        <v>1.24638228E9</v>
      </c>
      <c r="L13" s="21" t="n">
        <f>2303274540</f>
        <v>2.30327454E9</v>
      </c>
      <c r="M13" s="36" t="n">
        <f>1390004540</f>
        <v>1.39000454E9</v>
      </c>
      <c r="N13" s="21" t="n">
        <f>4269619820</f>
        <v>4.26961982E9</v>
      </c>
      <c r="O13" s="36" t="n">
        <f>2636386820</f>
        <v>2.63638682E9</v>
      </c>
    </row>
    <row r="14" spans="1:15" ht="24.9" customHeight="1">
      <c r="A14" s="38"/>
      <c r="B14" s="62"/>
      <c r="C14" s="20" t="s">
        <v>17</v>
      </c>
      <c r="D14" s="21" t="n">
        <f>12867</f>
        <v>12867.0</v>
      </c>
      <c r="E14" s="36" t="n">
        <f>7970</f>
        <v>7970.0</v>
      </c>
      <c r="F14" s="21" t="n">
        <f>5339</f>
        <v>5339.0</v>
      </c>
      <c r="G14" s="36" t="n">
        <f>3741</f>
        <v>3741.0</v>
      </c>
      <c r="H14" s="21" t="n">
        <f>18206</f>
        <v>18206.0</v>
      </c>
      <c r="I14" s="36" t="n">
        <f>11711</f>
        <v>11711.0</v>
      </c>
      <c r="J14" s="21" t="n">
        <f>10554563390</f>
        <v>1.055456339E10</v>
      </c>
      <c r="K14" s="36" t="n">
        <f>9377020390</f>
        <v>9.37702039E9</v>
      </c>
      <c r="L14" s="21" t="n">
        <f>4989670330</f>
        <v>4.98967033E9</v>
      </c>
      <c r="M14" s="36" t="n">
        <f>4150973330</f>
        <v>4.15097333E9</v>
      </c>
      <c r="N14" s="21" t="n">
        <f>15544233720</f>
        <v>1.554423372E10</v>
      </c>
      <c r="O14" s="36" t="n">
        <f>13527993720</f>
        <v>1.352799372E10</v>
      </c>
    </row>
    <row r="15" spans="1:15" ht="24.9" customHeight="1">
      <c r="A15" s="38"/>
      <c r="B15" s="62"/>
      <c r="C15" s="24" t="s">
        <v>18</v>
      </c>
      <c r="D15" s="25" t="n">
        <f>21293</f>
        <v>21293.0</v>
      </c>
      <c r="E15" s="37" t="n">
        <f>11650</f>
        <v>11650.0</v>
      </c>
      <c r="F15" s="25" t="n">
        <f>12350</f>
        <v>12350.0</v>
      </c>
      <c r="G15" s="37" t="n">
        <f>6110</f>
        <v>6110.0</v>
      </c>
      <c r="H15" s="25" t="n">
        <f>33643</f>
        <v>33643.0</v>
      </c>
      <c r="I15" s="37" t="n">
        <f>17760</f>
        <v>17760.0</v>
      </c>
      <c r="J15" s="25" t="n">
        <f>14400984540</f>
        <v>1.440098454E10</v>
      </c>
      <c r="K15" s="37" t="n">
        <f>12138753540</f>
        <v>1.213875354E10</v>
      </c>
      <c r="L15" s="25" t="n">
        <f>14518545880</f>
        <v>1.451854588E10</v>
      </c>
      <c r="M15" s="37" t="n">
        <f>12014527880</f>
        <v>1.201452788E10</v>
      </c>
      <c r="N15" s="25" t="n">
        <f>28919530420</f>
        <v>2.891953042E10</v>
      </c>
      <c r="O15" s="37" t="n">
        <f>24153281420</f>
        <v>2.415328142E10</v>
      </c>
    </row>
    <row r="16" spans="1:15" ht="24.9" customHeight="1">
      <c r="A16" s="38"/>
      <c r="B16" s="61" t="s">
        <v>105</v>
      </c>
      <c r="C16" s="16" t="s">
        <v>15</v>
      </c>
      <c r="D16" s="17" t="n">
        <f>6540</f>
        <v>6540.0</v>
      </c>
      <c r="E16" s="35" t="n">
        <f>230</f>
        <v>230.0</v>
      </c>
      <c r="F16" s="17" t="n">
        <f>3348</f>
        <v>3348.0</v>
      </c>
      <c r="G16" s="35" t="n">
        <f>60</f>
        <v>60.0</v>
      </c>
      <c r="H16" s="17" t="n">
        <f>9888</f>
        <v>9888.0</v>
      </c>
      <c r="I16" s="35" t="n">
        <f>290</f>
        <v>290.0</v>
      </c>
      <c r="J16" s="17" t="n">
        <f>206097370</f>
        <v>2.0609737E8</v>
      </c>
      <c r="K16" s="35" t="n">
        <f>7702370</f>
        <v>7702370.0</v>
      </c>
      <c r="L16" s="17" t="n">
        <f>325759870</f>
        <v>3.2575987E8</v>
      </c>
      <c r="M16" s="35" t="n">
        <f>2129170</f>
        <v>2129170.0</v>
      </c>
      <c r="N16" s="17" t="n">
        <f>531857240</f>
        <v>5.3185724E8</v>
      </c>
      <c r="O16" s="35" t="n">
        <f>9831540</f>
        <v>9831540.0</v>
      </c>
    </row>
    <row r="17" spans="1:15" ht="24.9" customHeight="1">
      <c r="A17" s="38"/>
      <c r="B17" s="62"/>
      <c r="C17" s="20" t="s">
        <v>16</v>
      </c>
      <c r="D17" s="21" t="n">
        <f>23677</f>
        <v>23677.0</v>
      </c>
      <c r="E17" s="36" t="n">
        <f>2420</f>
        <v>2420.0</v>
      </c>
      <c r="F17" s="21" t="n">
        <f>5729</f>
        <v>5729.0</v>
      </c>
      <c r="G17" s="36" t="n">
        <f>90</f>
        <v>90.0</v>
      </c>
      <c r="H17" s="21" t="n">
        <f>29406</f>
        <v>29406.0</v>
      </c>
      <c r="I17" s="36" t="n">
        <f>2510</f>
        <v>2510.0</v>
      </c>
      <c r="J17" s="21" t="n">
        <f>445412240</f>
        <v>4.4541224E8</v>
      </c>
      <c r="K17" s="36" t="n">
        <f>36330940</f>
        <v>3.633094E7</v>
      </c>
      <c r="L17" s="21" t="n">
        <f>1175420760</f>
        <v>1.17542076E9</v>
      </c>
      <c r="M17" s="36" t="n">
        <f>3226660</f>
        <v>3226660.0</v>
      </c>
      <c r="N17" s="21" t="n">
        <f>1620833000</f>
        <v>1.620833E9</v>
      </c>
      <c r="O17" s="36" t="n">
        <f>39557600</f>
        <v>3.95576E7</v>
      </c>
    </row>
    <row r="18" spans="1:15" ht="24.9" customHeight="1">
      <c r="A18" s="38"/>
      <c r="B18" s="62"/>
      <c r="C18" s="20" t="s">
        <v>17</v>
      </c>
      <c r="D18" s="21" t="n">
        <f>10815</f>
        <v>10815.0</v>
      </c>
      <c r="E18" s="36" t="n">
        <f>1210</f>
        <v>1210.0</v>
      </c>
      <c r="F18" s="21" t="n">
        <f>5112</f>
        <v>5112.0</v>
      </c>
      <c r="G18" s="36" t="n">
        <f>80</f>
        <v>80.0</v>
      </c>
      <c r="H18" s="21" t="n">
        <f>15927</f>
        <v>15927.0</v>
      </c>
      <c r="I18" s="36" t="n">
        <f>1290</f>
        <v>1290.0</v>
      </c>
      <c r="J18" s="21" t="n">
        <f>322903240</f>
        <v>3.2290324E8</v>
      </c>
      <c r="K18" s="36" t="n">
        <f>31091240</f>
        <v>3.109124E7</v>
      </c>
      <c r="L18" s="21" t="n">
        <f>981929790</f>
        <v>9.8192979E8</v>
      </c>
      <c r="M18" s="36" t="n">
        <f>3197890</f>
        <v>3197890.0</v>
      </c>
      <c r="N18" s="21" t="n">
        <f>1304833030</f>
        <v>1.30483303E9</v>
      </c>
      <c r="O18" s="36" t="n">
        <f>34289130</f>
        <v>3.428913E7</v>
      </c>
    </row>
    <row r="19" spans="1:15" ht="24.9" customHeight="1">
      <c r="A19" s="38"/>
      <c r="B19" s="62"/>
      <c r="C19" s="24" t="s">
        <v>18</v>
      </c>
      <c r="D19" s="25" t="n">
        <f>41032</f>
        <v>41032.0</v>
      </c>
      <c r="E19" s="37" t="n">
        <f>3860</f>
        <v>3860.0</v>
      </c>
      <c r="F19" s="25" t="n">
        <f>14189</f>
        <v>14189.0</v>
      </c>
      <c r="G19" s="37" t="n">
        <f>230</f>
        <v>230.0</v>
      </c>
      <c r="H19" s="25" t="n">
        <f>55221</f>
        <v>55221.0</v>
      </c>
      <c r="I19" s="37" t="n">
        <f>4090</f>
        <v>4090.0</v>
      </c>
      <c r="J19" s="25" t="n">
        <f>974412850</f>
        <v>9.7441285E8</v>
      </c>
      <c r="K19" s="37" t="n">
        <f>75124550</f>
        <v>7.512455E7</v>
      </c>
      <c r="L19" s="25" t="n">
        <f>2483110420</f>
        <v>2.48311042E9</v>
      </c>
      <c r="M19" s="37" t="n">
        <f>8553720</f>
        <v>8553720.0</v>
      </c>
      <c r="N19" s="25" t="n">
        <f>3457523270</f>
        <v>3.45752327E9</v>
      </c>
      <c r="O19" s="37" t="n">
        <f>83678270</f>
        <v>8.367827E7</v>
      </c>
    </row>
    <row r="20" spans="1:15" ht="24.9" customHeight="1">
      <c r="A20" s="38"/>
      <c r="B20" s="61" t="s">
        <v>106</v>
      </c>
      <c r="C20" s="16" t="s">
        <v>15</v>
      </c>
      <c r="D20" s="17" t="n">
        <f>1400</f>
        <v>1400.0</v>
      </c>
      <c r="E20" s="35" t="n">
        <f>1400</f>
        <v>1400.0</v>
      </c>
      <c r="F20" s="17" t="n">
        <f>0</f>
        <v>0.0</v>
      </c>
      <c r="G20" s="35" t="n">
        <f>0</f>
        <v>0.0</v>
      </c>
      <c r="H20" s="17" t="n">
        <f>1400</f>
        <v>1400.0</v>
      </c>
      <c r="I20" s="35" t="n">
        <f>1400</f>
        <v>1400.0</v>
      </c>
      <c r="J20" s="17" t="n">
        <f>1006863200</f>
        <v>1.0068632E9</v>
      </c>
      <c r="K20" s="35" t="n">
        <f>1006863200</f>
        <v>1.0068632E9</v>
      </c>
      <c r="L20" s="17" t="n">
        <f>0</f>
        <v>0.0</v>
      </c>
      <c r="M20" s="35" t="n">
        <f>0</f>
        <v>0.0</v>
      </c>
      <c r="N20" s="17" t="n">
        <f>1006863200</f>
        <v>1.0068632E9</v>
      </c>
      <c r="O20" s="35" t="n">
        <f>1006863200</f>
        <v>1.0068632E9</v>
      </c>
    </row>
    <row r="21" spans="1:15" ht="24.9" customHeight="1">
      <c r="A21" s="38"/>
      <c r="B21" s="62"/>
      <c r="C21" s="20" t="s">
        <v>16</v>
      </c>
      <c r="D21" s="21" t="n">
        <f>450</f>
        <v>450.0</v>
      </c>
      <c r="E21" s="36" t="n">
        <f>450</f>
        <v>450.0</v>
      </c>
      <c r="F21" s="21" t="n">
        <f>150</f>
        <v>150.0</v>
      </c>
      <c r="G21" s="36" t="n">
        <f>150</f>
        <v>150.0</v>
      </c>
      <c r="H21" s="21" t="n">
        <f>600</f>
        <v>600.0</v>
      </c>
      <c r="I21" s="36" t="n">
        <f>600</f>
        <v>600.0</v>
      </c>
      <c r="J21" s="21" t="n">
        <f>553315100</f>
        <v>5.533151E8</v>
      </c>
      <c r="K21" s="36" t="n">
        <f>553315100</f>
        <v>5.533151E8</v>
      </c>
      <c r="L21" s="21" t="n">
        <f>137150000</f>
        <v>1.3715E8</v>
      </c>
      <c r="M21" s="36" t="n">
        <f>137150000</f>
        <v>1.3715E8</v>
      </c>
      <c r="N21" s="21" t="n">
        <f>690465100</f>
        <v>6.904651E8</v>
      </c>
      <c r="O21" s="36" t="n">
        <f>690465100</f>
        <v>6.904651E8</v>
      </c>
    </row>
    <row r="22" spans="1:15" ht="24.9" customHeight="1">
      <c r="A22" s="38"/>
      <c r="B22" s="62"/>
      <c r="C22" s="20" t="s">
        <v>17</v>
      </c>
      <c r="D22" s="21" t="n">
        <f>156</f>
        <v>156.0</v>
      </c>
      <c r="E22" s="36" t="n">
        <f>156</f>
        <v>156.0</v>
      </c>
      <c r="F22" s="21" t="n">
        <f>200</f>
        <v>200.0</v>
      </c>
      <c r="G22" s="36" t="n">
        <f>200</f>
        <v>200.0</v>
      </c>
      <c r="H22" s="21" t="n">
        <f>356</f>
        <v>356.0</v>
      </c>
      <c r="I22" s="36" t="n">
        <f>356</f>
        <v>356.0</v>
      </c>
      <c r="J22" s="21" t="n">
        <f>53146102</f>
        <v>5.3146102E7</v>
      </c>
      <c r="K22" s="36" t="n">
        <f>53146102</f>
        <v>5.3146102E7</v>
      </c>
      <c r="L22" s="21" t="n">
        <f>30000000</f>
        <v>3.0E7</v>
      </c>
      <c r="M22" s="36" t="n">
        <f>30000000</f>
        <v>3.0E7</v>
      </c>
      <c r="N22" s="21" t="n">
        <f>83146102</f>
        <v>8.3146102E7</v>
      </c>
      <c r="O22" s="36" t="n">
        <f>83146102</f>
        <v>8.3146102E7</v>
      </c>
    </row>
    <row r="23" spans="1:15" ht="24.9" customHeight="1">
      <c r="A23" s="38"/>
      <c r="B23" s="62"/>
      <c r="C23" s="24" t="s">
        <v>18</v>
      </c>
      <c r="D23" s="25" t="n">
        <f>2006</f>
        <v>2006.0</v>
      </c>
      <c r="E23" s="37" t="n">
        <f>2006</f>
        <v>2006.0</v>
      </c>
      <c r="F23" s="25" t="n">
        <f>350</f>
        <v>350.0</v>
      </c>
      <c r="G23" s="37" t="n">
        <f>350</f>
        <v>350.0</v>
      </c>
      <c r="H23" s="25" t="n">
        <f>2356</f>
        <v>2356.0</v>
      </c>
      <c r="I23" s="37" t="n">
        <f>2356</f>
        <v>2356.0</v>
      </c>
      <c r="J23" s="25" t="n">
        <f>1613324402</f>
        <v>1.613324402E9</v>
      </c>
      <c r="K23" s="37" t="n">
        <f>1613324402</f>
        <v>1.613324402E9</v>
      </c>
      <c r="L23" s="25" t="n">
        <f>167150000</f>
        <v>1.6715E8</v>
      </c>
      <c r="M23" s="37" t="n">
        <f>167150000</f>
        <v>1.6715E8</v>
      </c>
      <c r="N23" s="25" t="n">
        <f>1780474402</f>
        <v>1.780474402E9</v>
      </c>
      <c r="O23" s="37" t="n">
        <f>1780474402</f>
        <v>1.780474402E9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15</f>
        <v>15.0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15</f>
        <v>15.0</v>
      </c>
      <c r="I36" s="18" t="n">
        <f>0</f>
        <v>0.0</v>
      </c>
      <c r="J36" s="17" t="n">
        <f>4350000</f>
        <v>4350000.0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4350000</f>
        <v>4350000.0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0</f>
        <v>0.0</v>
      </c>
      <c r="G37" s="22" t="n">
        <f>0</f>
        <v>0.0</v>
      </c>
      <c r="H37" s="21" t="n">
        <f>0</f>
        <v>0.0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0</f>
        <v>0.0</v>
      </c>
      <c r="M37" s="22" t="n">
        <f>0</f>
        <v>0.0</v>
      </c>
      <c r="N37" s="21" t="n">
        <f>0</f>
        <v>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120</f>
        <v>120.0</v>
      </c>
      <c r="E38" s="36" t="n">
        <f>120</f>
        <v>120.0</v>
      </c>
      <c r="F38" s="21" t="n">
        <f>110</f>
        <v>110.0</v>
      </c>
      <c r="G38" s="36" t="n">
        <f>110</f>
        <v>110.0</v>
      </c>
      <c r="H38" s="21" t="n">
        <f>230</f>
        <v>230.0</v>
      </c>
      <c r="I38" s="36" t="n">
        <f>230</f>
        <v>230.0</v>
      </c>
      <c r="J38" s="21" t="n">
        <f>36700000</f>
        <v>3.67E7</v>
      </c>
      <c r="K38" s="36" t="n">
        <f>36700000</f>
        <v>3.67E7</v>
      </c>
      <c r="L38" s="21" t="n">
        <f>32700000</f>
        <v>3.27E7</v>
      </c>
      <c r="M38" s="36" t="n">
        <f>32700000</f>
        <v>3.27E7</v>
      </c>
      <c r="N38" s="21" t="n">
        <f>69400000</f>
        <v>6.94E7</v>
      </c>
      <c r="O38" s="36" t="n">
        <f>69400000</f>
        <v>6.94E7</v>
      </c>
    </row>
    <row r="39" spans="1:15" ht="24.9" customHeight="1">
      <c r="A39" s="38"/>
      <c r="B39" s="62"/>
      <c r="C39" s="24" t="s">
        <v>18</v>
      </c>
      <c r="D39" s="25" t="n">
        <f>135</f>
        <v>135.0</v>
      </c>
      <c r="E39" s="37" t="n">
        <f>120</f>
        <v>120.0</v>
      </c>
      <c r="F39" s="25" t="n">
        <f>110</f>
        <v>110.0</v>
      </c>
      <c r="G39" s="37" t="n">
        <f>110</f>
        <v>110.0</v>
      </c>
      <c r="H39" s="25" t="n">
        <f>245</f>
        <v>245.0</v>
      </c>
      <c r="I39" s="37" t="n">
        <f>230</f>
        <v>230.0</v>
      </c>
      <c r="J39" s="25" t="n">
        <f>41050000</f>
        <v>4.105E7</v>
      </c>
      <c r="K39" s="37" t="n">
        <f>36700000</f>
        <v>3.67E7</v>
      </c>
      <c r="L39" s="25" t="n">
        <f>32700000</f>
        <v>3.27E7</v>
      </c>
      <c r="M39" s="37" t="n">
        <f>32700000</f>
        <v>3.27E7</v>
      </c>
      <c r="N39" s="25" t="n">
        <f>73750000</f>
        <v>7.375E7</v>
      </c>
      <c r="O39" s="37" t="n">
        <f>69400000</f>
        <v>6.94E7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230</f>
        <v>230.0</v>
      </c>
      <c r="E41" s="36" t="n">
        <f>0</f>
        <v>0.0</v>
      </c>
      <c r="F41" s="21" t="n">
        <f>465</f>
        <v>465.0</v>
      </c>
      <c r="G41" s="36" t="n">
        <f>0</f>
        <v>0.0</v>
      </c>
      <c r="H41" s="21" t="n">
        <f>695</f>
        <v>695.0</v>
      </c>
      <c r="I41" s="36" t="n">
        <f>0</f>
        <v>0.0</v>
      </c>
      <c r="J41" s="21" t="n">
        <f>8404285</f>
        <v>8404285.0</v>
      </c>
      <c r="K41" s="36" t="n">
        <f>0</f>
        <v>0.0</v>
      </c>
      <c r="L41" s="21" t="n">
        <f>15785347</f>
        <v>1.5785347E7</v>
      </c>
      <c r="M41" s="36" t="n">
        <f>0</f>
        <v>0.0</v>
      </c>
      <c r="N41" s="21" t="n">
        <f>24189632</f>
        <v>2.4189632E7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1515</f>
        <v>1515.0</v>
      </c>
      <c r="E42" s="36" t="n">
        <f>0</f>
        <v>0.0</v>
      </c>
      <c r="F42" s="21" t="n">
        <f>432</f>
        <v>432.0</v>
      </c>
      <c r="G42" s="36" t="n">
        <f>200</f>
        <v>200.0</v>
      </c>
      <c r="H42" s="21" t="n">
        <f>1947</f>
        <v>1947.0</v>
      </c>
      <c r="I42" s="36" t="n">
        <f>200</f>
        <v>200.0</v>
      </c>
      <c r="J42" s="21" t="n">
        <f>33982631</f>
        <v>3.3982631E7</v>
      </c>
      <c r="K42" s="36" t="n">
        <f>0</f>
        <v>0.0</v>
      </c>
      <c r="L42" s="21" t="n">
        <f>54456940</f>
        <v>5.445694E7</v>
      </c>
      <c r="M42" s="36" t="n">
        <f>42000000</f>
        <v>4.2E7</v>
      </c>
      <c r="N42" s="21" t="n">
        <f>88439571</f>
        <v>8.8439571E7</v>
      </c>
      <c r="O42" s="36" t="n">
        <f>42000000</f>
        <v>4.2E7</v>
      </c>
    </row>
    <row r="43" spans="1:15" ht="24.9" customHeight="1">
      <c r="A43" s="38"/>
      <c r="B43" s="62"/>
      <c r="C43" s="24" t="s">
        <v>18</v>
      </c>
      <c r="D43" s="25" t="n">
        <f>1745</f>
        <v>1745.0</v>
      </c>
      <c r="E43" s="37" t="n">
        <f>0</f>
        <v>0.0</v>
      </c>
      <c r="F43" s="25" t="n">
        <f>897</f>
        <v>897.0</v>
      </c>
      <c r="G43" s="37" t="n">
        <f>200</f>
        <v>200.0</v>
      </c>
      <c r="H43" s="25" t="n">
        <f>2642</f>
        <v>2642.0</v>
      </c>
      <c r="I43" s="37" t="n">
        <f>200</f>
        <v>200.0</v>
      </c>
      <c r="J43" s="25" t="n">
        <f>42386916</f>
        <v>4.2386916E7</v>
      </c>
      <c r="K43" s="37" t="n">
        <f>0</f>
        <v>0.0</v>
      </c>
      <c r="L43" s="25" t="n">
        <f>70242287</f>
        <v>7.0242287E7</v>
      </c>
      <c r="M43" s="37" t="n">
        <f>42000000</f>
        <v>4.2E7</v>
      </c>
      <c r="N43" s="25" t="n">
        <f>112629203</f>
        <v>1.12629203E8</v>
      </c>
      <c r="O43" s="37" t="n">
        <f>42000000</f>
        <v>4.2E7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