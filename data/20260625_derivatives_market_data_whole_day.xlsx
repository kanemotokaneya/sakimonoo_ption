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<sst xmlns="http://schemas.openxmlformats.org/spreadsheetml/2006/main" count="528" uniqueCount="129">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</sst>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DATE(2026,06,25)</f>
        <v>46198.0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DATE(2026,06,25)</f>
        <v>46198.0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945087.0</f>
        <v>945087.0</v>
      </c>
      <c r="E12" s="18" t="n">
        <f>38298.0</f>
        <v>38298.0</v>
      </c>
      <c r="F12" s="19" t="n">
        <f>1.0</f>
        <v>1.0</v>
      </c>
      <c r="G12" s="17" t="n">
        <f>6207972635361.0</f>
        <v>6.207972635361E12</v>
      </c>
      <c r="H12" s="18" t="n">
        <f>437908408786.0</f>
        <v>4.37908408786E11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513770.0</f>
        <v>513770.0</v>
      </c>
      <c r="E13" s="22" t="n">
        <f>19042.0</f>
        <v>19042.0</v>
      </c>
      <c r="F13" s="23" t="n">
        <f>1.0</f>
        <v>1.0</v>
      </c>
      <c r="G13" s="21" t="n">
        <f>5881304177360.0</f>
        <v>5.88130417736E12</v>
      </c>
      <c r="H13" s="22" t="n">
        <f>272638686860.0</f>
        <v>2.7263868686E11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573666.0</f>
        <v>573666.0</v>
      </c>
      <c r="E14" s="22" t="n">
        <f>43998.0</f>
        <v>43998.0</v>
      </c>
      <c r="F14" s="23" t="n">
        <f>1.0</f>
        <v>1.0</v>
      </c>
      <c r="G14" s="21" t="n">
        <f>7349446744138.0</f>
        <v>7.349446744138E12</v>
      </c>
      <c r="H14" s="22" t="n">
        <f>1049490615713.0</f>
        <v>1.049490615713E12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2032523.0</f>
        <v>2032523.0</v>
      </c>
      <c r="E15" s="26" t="n">
        <f>101338.0</f>
        <v>101338.0</v>
      </c>
      <c r="F15" s="27" t="n">
        <f>1.0</f>
        <v>1.0</v>
      </c>
      <c r="G15" s="25" t="n">
        <f>19438723556859.0</f>
        <v>1.9438723556859E13</v>
      </c>
      <c r="H15" s="26" t="n">
        <f>1760037711359.0</f>
        <v>1.760037711359E12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20903.0</f>
        <v>20903.0</v>
      </c>
      <c r="E16" s="18" t="n">
        <f>170.0</f>
        <v>170.0</v>
      </c>
      <c r="F16" s="19" t="n">
        <f>0.022</f>
        <v>0.022</v>
      </c>
      <c r="G16" s="17" t="n">
        <f>1803458468125.0</f>
        <v>1.803458468125E12</v>
      </c>
      <c r="H16" s="18" t="n">
        <f>21703760000.0</f>
        <v>2.170376E10</v>
      </c>
      <c r="I16" s="19" t="n">
        <f>0.291</f>
        <v>0.291</v>
      </c>
    </row>
    <row r="17" spans="1:9" ht="24.9" customHeight="1">
      <c r="A17" s="41"/>
      <c r="B17" s="39"/>
      <c r="C17" s="20" t="s">
        <v>16</v>
      </c>
      <c r="D17" s="21" t="n">
        <f>21154.0</f>
        <v>21154.0</v>
      </c>
      <c r="E17" s="22" t="n">
        <f>844.0</f>
        <v>844.0</v>
      </c>
      <c r="F17" s="23" t="n">
        <f>0.041</f>
        <v>0.041</v>
      </c>
      <c r="G17" s="21" t="n">
        <f>2651208964250.0</f>
        <v>2.65120896425E12</v>
      </c>
      <c r="H17" s="22" t="n">
        <f>107913620000.0</f>
        <v>1.0791362E11</v>
      </c>
      <c r="I17" s="23" t="n">
        <f>0.451</f>
        <v>0.451</v>
      </c>
    </row>
    <row r="18" spans="1:9" ht="24.9" customHeight="1">
      <c r="A18" s="41"/>
      <c r="B18" s="39"/>
      <c r="C18" s="20" t="s">
        <v>17</v>
      </c>
      <c r="D18" s="21" t="n">
        <f>20991.0</f>
        <v>20991.0</v>
      </c>
      <c r="E18" s="22" t="n">
        <f>791.0</f>
        <v>791.0</v>
      </c>
      <c r="F18" s="23" t="n">
        <f>0.037</f>
        <v>0.037</v>
      </c>
      <c r="G18" s="21" t="n">
        <f>2551317993875.0</f>
        <v>2.551317993875E12</v>
      </c>
      <c r="H18" s="22" t="n">
        <f>101191370000.0</f>
        <v>1.0119137E11</v>
      </c>
      <c r="I18" s="23" t="n">
        <f>0.347</f>
        <v>0.347</v>
      </c>
    </row>
    <row r="19" spans="1:9" ht="24.9" customHeight="1">
      <c r="A19" s="41"/>
      <c r="B19" s="39"/>
      <c r="C19" s="24" t="s">
        <v>18</v>
      </c>
      <c r="D19" s="25" t="n">
        <f>63048.0</f>
        <v>63048.0</v>
      </c>
      <c r="E19" s="26" t="n">
        <f>1805.0</f>
        <v>1805.0</v>
      </c>
      <c r="F19" s="27" t="n">
        <f>0.031</f>
        <v>0.031</v>
      </c>
      <c r="G19" s="25" t="n">
        <f>7005985426250.0</f>
        <v>7.00598542625E12</v>
      </c>
      <c r="H19" s="26" t="n">
        <f>230808750000.0</f>
        <v>2.3080875E11</v>
      </c>
      <c r="I19" s="27" t="n">
        <f>0.36</f>
        <v>0.36</v>
      </c>
    </row>
    <row r="20" spans="1:9" ht="24.9" customHeight="1">
      <c r="A20" s="41"/>
      <c r="B20" s="39" t="s">
        <v>21</v>
      </c>
      <c r="C20" s="16" t="s">
        <v>15</v>
      </c>
      <c r="D20" s="17" t="n">
        <f>897702.0</f>
        <v>897702.0</v>
      </c>
      <c r="E20" s="18" t="n">
        <f>38128.0</f>
        <v>38128.0</v>
      </c>
      <c r="F20" s="19" t="n">
        <f>0.95</f>
        <v>0.95</v>
      </c>
      <c r="G20" s="17" t="n">
        <f>4158767654986.0</f>
        <v>4.158767654986E12</v>
      </c>
      <c r="H20" s="18" t="n">
        <f>416204648786.0</f>
        <v>4.16204648786E11</v>
      </c>
      <c r="I20" s="19" t="n">
        <f>0.67</f>
        <v>0.67</v>
      </c>
    </row>
    <row r="21" spans="1:9" ht="24.9" customHeight="1">
      <c r="A21" s="41"/>
      <c r="B21" s="39"/>
      <c r="C21" s="20" t="s">
        <v>16</v>
      </c>
      <c r="D21" s="21" t="n">
        <f>481882.0</f>
        <v>481882.0</v>
      </c>
      <c r="E21" s="22" t="n">
        <f>18098.0</f>
        <v>18098.0</v>
      </c>
      <c r="F21" s="23" t="n">
        <f>0.938</f>
        <v>0.938</v>
      </c>
      <c r="G21" s="21" t="n">
        <f>3119958822010.0</f>
        <v>3.11995882201E12</v>
      </c>
      <c r="H21" s="22" t="n">
        <f>164500666860.0</f>
        <v>1.6450066686E11</v>
      </c>
      <c r="I21" s="23" t="n">
        <f>0.53</f>
        <v>0.53</v>
      </c>
    </row>
    <row r="22" spans="1:9" ht="24.9" customHeight="1">
      <c r="A22" s="41"/>
      <c r="B22" s="39"/>
      <c r="C22" s="20" t="s">
        <v>17</v>
      </c>
      <c r="D22" s="21" t="n">
        <f>537752.0</f>
        <v>537752.0</v>
      </c>
      <c r="E22" s="22" t="n">
        <f>43145.0</f>
        <v>43145.0</v>
      </c>
      <c r="F22" s="23" t="n">
        <f>0.937</f>
        <v>0.937</v>
      </c>
      <c r="G22" s="21" t="n">
        <f>4657739735383.0</f>
        <v>4.657739735383E12</v>
      </c>
      <c r="H22" s="22" t="n">
        <f>948186767233.0</f>
        <v>9.48186767233E11</v>
      </c>
      <c r="I22" s="23" t="n">
        <f>0.634</f>
        <v>0.634</v>
      </c>
    </row>
    <row r="23" spans="1:9" ht="24.9" customHeight="1">
      <c r="A23" s="41"/>
      <c r="B23" s="39"/>
      <c r="C23" s="24" t="s">
        <v>18</v>
      </c>
      <c r="D23" s="25" t="n">
        <f>1917336.0</f>
        <v>1917336.0</v>
      </c>
      <c r="E23" s="26" t="n">
        <f>99371.0</f>
        <v>99371.0</v>
      </c>
      <c r="F23" s="27" t="n">
        <f>0.943</f>
        <v>0.943</v>
      </c>
      <c r="G23" s="25" t="n">
        <f>11936466212379.0</f>
        <v>1.1936466212379E13</v>
      </c>
      <c r="H23" s="26" t="n">
        <f>1528892082879.0</f>
        <v>1.528892082879E12</v>
      </c>
      <c r="I23" s="27" t="n">
        <f>0.614</f>
        <v>0.614</v>
      </c>
    </row>
    <row r="24" spans="1:9" ht="24.9" customHeight="1">
      <c r="A24" s="41"/>
      <c r="B24" s="39" t="s">
        <v>22</v>
      </c>
      <c r="C24" s="16" t="s">
        <v>15</v>
      </c>
      <c r="D24" s="17" t="n">
        <f>26001.0</f>
        <v>26001.0</v>
      </c>
      <c r="E24" s="18" t="n">
        <f>0.0</f>
        <v>0.0</v>
      </c>
      <c r="F24" s="19" t="n">
        <f>0.028</f>
        <v>0.028</v>
      </c>
      <c r="G24" s="17" t="n">
        <f>244067035250.0</f>
        <v>2.4406703525E11</v>
      </c>
      <c r="H24" s="18" t="n">
        <f>0.0</f>
        <v>0.0</v>
      </c>
      <c r="I24" s="19" t="n">
        <f>0.039</f>
        <v>0.039</v>
      </c>
    </row>
    <row r="25" spans="1:9" ht="24.9" customHeight="1">
      <c r="A25" s="41"/>
      <c r="B25" s="39"/>
      <c r="C25" s="20" t="s">
        <v>16</v>
      </c>
      <c r="D25" s="21" t="n">
        <f>10422.0</f>
        <v>10422.0</v>
      </c>
      <c r="E25" s="22" t="n">
        <f>100.0</f>
        <v>100.0</v>
      </c>
      <c r="F25" s="23" t="n">
        <f>0.02</f>
        <v>0.02</v>
      </c>
      <c r="G25" s="21" t="n">
        <f>109081610100.0</f>
        <v>1.090816101E11</v>
      </c>
      <c r="H25" s="22" t="n">
        <f>224400000.0</f>
        <v>2.244E8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13139.0</f>
        <v>13139.0</v>
      </c>
      <c r="E26" s="22" t="n">
        <f>2.0</f>
        <v>2.0</v>
      </c>
      <c r="F26" s="23" t="n">
        <f>0.023</f>
        <v>0.023</v>
      </c>
      <c r="G26" s="21" t="n">
        <f>134399375400.0</f>
        <v>1.343993754E11</v>
      </c>
      <c r="H26" s="22" t="n">
        <f>42402000.0</f>
        <v>4.2402E7</v>
      </c>
      <c r="I26" s="23" t="n">
        <f>0.018</f>
        <v>0.018</v>
      </c>
    </row>
    <row r="27" spans="1:9" ht="24.9" customHeight="1">
      <c r="A27" s="42"/>
      <c r="B27" s="39"/>
      <c r="C27" s="24" t="s">
        <v>18</v>
      </c>
      <c r="D27" s="25" t="n">
        <f>49562.0</f>
        <v>49562.0</v>
      </c>
      <c r="E27" s="26" t="n">
        <f>102.0</f>
        <v>102.0</v>
      </c>
      <c r="F27" s="27" t="n">
        <f>0.024</f>
        <v>0.024</v>
      </c>
      <c r="G27" s="25" t="n">
        <f>487548020750.0</f>
        <v>4.8754802075E11</v>
      </c>
      <c r="H27" s="26" t="n">
        <f>266802000.0</f>
        <v>2.66802E8</v>
      </c>
      <c r="I27" s="27" t="n">
        <f>0.025</f>
        <v>0.025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481.0</f>
        <v>481.0</v>
      </c>
      <c r="E28" s="18" t="n">
        <f>0.0</f>
        <v>0.0</v>
      </c>
      <c r="F28" s="19" t="n">
        <f>0.001</f>
        <v>0.001</v>
      </c>
      <c r="G28" s="17" t="n">
        <f>1679477000.0</f>
        <v>1.679477E9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312.0</f>
        <v>312.0</v>
      </c>
      <c r="E29" s="22" t="n">
        <f>0.0</f>
        <v>0.0</v>
      </c>
      <c r="F29" s="23" t="n">
        <f>0.001</f>
        <v>0.001</v>
      </c>
      <c r="G29" s="21" t="n">
        <f>1054781000.0</f>
        <v>1.054781E9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1784.0</f>
        <v>1784.0</v>
      </c>
      <c r="E30" s="22" t="n">
        <f>60.0</f>
        <v>60.0</v>
      </c>
      <c r="F30" s="23" t="n">
        <f>0.003</f>
        <v>0.003</v>
      </c>
      <c r="G30" s="21" t="n">
        <f>5989639480.0</f>
        <v>5.98963948E9</v>
      </c>
      <c r="H30" s="22" t="n">
        <f>70076480.0</f>
        <v>7.007648E7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2577.0</f>
        <v>2577.0</v>
      </c>
      <c r="E31" s="26" t="n">
        <f>60.0</f>
        <v>60.0</v>
      </c>
      <c r="F31" s="27" t="n">
        <f>0.001</f>
        <v>0.001</v>
      </c>
      <c r="G31" s="25" t="n">
        <f>8723897480.0</f>
        <v>8.72389748E9</v>
      </c>
      <c r="H31" s="26" t="n">
        <f>70076480.0</f>
        <v>7.007648E7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38277</f>
        <v>38277.0</v>
      </c>
      <c r="E11" s="18" t="n">
        <f>15081</f>
        <v>15081.0</v>
      </c>
      <c r="F11" s="19" t="n">
        <f>1</f>
        <v>1.0</v>
      </c>
      <c r="G11" s="17" t="n">
        <f>89959330874</f>
        <v>8.9959330874E10</v>
      </c>
      <c r="H11" s="18" t="n">
        <f>88279882574</f>
        <v>8.8279882574E10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39577</f>
        <v>39577.0</v>
      </c>
      <c r="E12" s="22" t="n">
        <f>3044</f>
        <v>3044.0</v>
      </c>
      <c r="F12" s="23" t="n">
        <f>1</f>
        <v>1.0</v>
      </c>
      <c r="G12" s="21" t="n">
        <f>4790075050</f>
        <v>4.79007505E9</v>
      </c>
      <c r="H12" s="22" t="n">
        <f>1998664480</f>
        <v>1.99866448E9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65789</f>
        <v>65789.0</v>
      </c>
      <c r="E13" s="22" t="n">
        <f>18670</f>
        <v>18670.0</v>
      </c>
      <c r="F13" s="23" t="n">
        <f>1</f>
        <v>1.0</v>
      </c>
      <c r="G13" s="21" t="n">
        <f>26701467904</f>
        <v>2.6701467904E10</v>
      </c>
      <c r="H13" s="22" t="n">
        <f>20692335540</f>
        <v>2.069233554E10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143643</f>
        <v>143643.0</v>
      </c>
      <c r="E14" s="26" t="n">
        <f>36795</f>
        <v>36795.0</v>
      </c>
      <c r="F14" s="27" t="n">
        <f>1</f>
        <v>1.0</v>
      </c>
      <c r="G14" s="25" t="n">
        <f>121450873828</f>
        <v>1.21450873828E11</v>
      </c>
      <c r="H14" s="26" t="n">
        <f>110970882594</f>
        <v>1.10970882594E11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75</f>
        <v>75.0</v>
      </c>
      <c r="E16" s="22" t="n">
        <f>0</f>
        <v>0.0</v>
      </c>
      <c r="F16" s="23" t="n">
        <f>0.002</f>
        <v>0.002</v>
      </c>
      <c r="G16" s="21" t="n">
        <f>13590000</f>
        <v>1.359E7</v>
      </c>
      <c r="H16" s="22" t="n">
        <f>0</f>
        <v>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189</f>
        <v>189.0</v>
      </c>
      <c r="E17" s="22" t="n">
        <f>0</f>
        <v>0.0</v>
      </c>
      <c r="F17" s="23" t="n">
        <f>0.003</f>
        <v>0.003</v>
      </c>
      <c r="G17" s="21" t="n">
        <f>8190000</f>
        <v>8190000.0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264</f>
        <v>264.0</v>
      </c>
      <c r="E18" s="26" t="n">
        <f>0</f>
        <v>0.0</v>
      </c>
      <c r="F18" s="27" t="n">
        <f>0.002</f>
        <v>0.002</v>
      </c>
      <c r="G18" s="25" t="n">
        <f>21780000</f>
        <v>2.178E7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38277</f>
        <v>38277.0</v>
      </c>
      <c r="E19" s="18" t="n">
        <f>15081</f>
        <v>15081.0</v>
      </c>
      <c r="F19" s="19" t="n">
        <f>1</f>
        <v>1.0</v>
      </c>
      <c r="G19" s="17" t="n">
        <f>89959330874</f>
        <v>8.9959330874E10</v>
      </c>
      <c r="H19" s="18" t="n">
        <f>88279882574</f>
        <v>8.8279882574E10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29898</f>
        <v>29898.0</v>
      </c>
      <c r="E20" s="22" t="n">
        <f>3044</f>
        <v>3044.0</v>
      </c>
      <c r="F20" s="23" t="n">
        <f>0.755</f>
        <v>0.755</v>
      </c>
      <c r="G20" s="21" t="n">
        <f>4731239680</f>
        <v>4.73123968E9</v>
      </c>
      <c r="H20" s="22" t="n">
        <f>1998664480</f>
        <v>1.99866448E9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62515</f>
        <v>62515.0</v>
      </c>
      <c r="E21" s="22" t="n">
        <f>18670</f>
        <v>18670.0</v>
      </c>
      <c r="F21" s="23" t="n">
        <f>0.95</f>
        <v>0.95</v>
      </c>
      <c r="G21" s="21" t="n">
        <f>26647772540</f>
        <v>2.664777254E10</v>
      </c>
      <c r="H21" s="22" t="n">
        <f>20692335540</f>
        <v>2.069233554E10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130690</f>
        <v>130690.0</v>
      </c>
      <c r="E22" s="26" t="n">
        <f>36795</f>
        <v>36795.0</v>
      </c>
      <c r="F22" s="27" t="n">
        <f>0.91</f>
        <v>0.91</v>
      </c>
      <c r="G22" s="25" t="n">
        <f>121338343094</f>
        <v>1.21338343094E11</v>
      </c>
      <c r="H22" s="26" t="n">
        <f>110970882594</f>
        <v>1.10970882594E11</v>
      </c>
      <c r="I22" s="27" t="n">
        <f>0.999</f>
        <v>0.999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9604</f>
        <v>9604.0</v>
      </c>
      <c r="E24" s="22" t="n">
        <f>0</f>
        <v>0.0</v>
      </c>
      <c r="F24" s="23" t="n">
        <f>0.243</f>
        <v>0.243</v>
      </c>
      <c r="G24" s="21" t="n">
        <f>45245370</f>
        <v>4.524537E7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3085</f>
        <v>3085.0</v>
      </c>
      <c r="E25" s="22" t="n">
        <f>0</f>
        <v>0.0</v>
      </c>
      <c r="F25" s="23" t="n">
        <f>0.047</f>
        <v>0.047</v>
      </c>
      <c r="G25" s="21" t="n">
        <f>45505364</f>
        <v>4.5505364E7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12689</f>
        <v>12689.0</v>
      </c>
      <c r="E26" s="26" t="n">
        <f>0</f>
        <v>0.0</v>
      </c>
      <c r="F26" s="27" t="n">
        <f>0.088</f>
        <v>0.088</v>
      </c>
      <c r="G26" s="25" t="n">
        <f>90750734</f>
        <v>9.0750734E7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15010.0</v>
      </c>
      <c r="F12" s="18" t="n">
        <f>2450</f>
        <v>2450.0</v>
      </c>
      <c r="G12" s="17" t="n">
        <v>1.04375809287E12</v>
      </c>
      <c r="H12" s="18" t="n">
        <f>169747902870</f>
        <v>1.6974790287E11</v>
      </c>
    </row>
    <row r="13" spans="1:8" ht="24.9" customHeight="1">
      <c r="A13" s="51"/>
      <c r="B13" s="57"/>
      <c r="C13" s="39"/>
      <c r="D13" s="20" t="s">
        <v>16</v>
      </c>
      <c r="E13" s="21" t="n">
        <v>12696.0</v>
      </c>
      <c r="F13" s="22" t="n">
        <f>544</f>
        <v>544.0</v>
      </c>
      <c r="G13" s="21" t="n">
        <v>9.046201249E11</v>
      </c>
      <c r="H13" s="22" t="n">
        <f>38752163900</f>
        <v>3.87521639E10</v>
      </c>
    </row>
    <row r="14" spans="1:8" ht="24.9" customHeight="1">
      <c r="A14" s="51"/>
      <c r="B14" s="57"/>
      <c r="C14" s="39"/>
      <c r="D14" s="20" t="s">
        <v>17</v>
      </c>
      <c r="E14" s="21" t="n">
        <v>25522.0</v>
      </c>
      <c r="F14" s="22" t="n">
        <f>7875</f>
        <v>7875.0</v>
      </c>
      <c r="G14" s="21" t="n">
        <v>1.84568782132E12</v>
      </c>
      <c r="H14" s="22" t="n">
        <f>569457294320</f>
        <v>5.6945729432E11</v>
      </c>
    </row>
    <row r="15" spans="1:8" ht="24.9" customHeight="1">
      <c r="A15" s="51"/>
      <c r="B15" s="57"/>
      <c r="C15" s="39"/>
      <c r="D15" s="24" t="s">
        <v>18</v>
      </c>
      <c r="E15" s="25" t="n">
        <v>53228.0</v>
      </c>
      <c r="F15" s="26" t="n">
        <f>10869</f>
        <v>10869.0</v>
      </c>
      <c r="G15" s="25" t="n">
        <v>3.79406603909E12</v>
      </c>
      <c r="H15" s="26" t="n">
        <f>777957361090</f>
        <v>7.7795736109E11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310370.0</v>
      </c>
      <c r="F16" s="18" t="n">
        <f>35084</f>
        <v>35084.0</v>
      </c>
      <c r="G16" s="17" t="n">
        <v>2.159347422866E12</v>
      </c>
      <c r="H16" s="18" t="n">
        <f>244095371366</f>
        <v>2.44095371366E11</v>
      </c>
    </row>
    <row r="17" spans="1:8" ht="24.9" customHeight="1">
      <c r="A17" s="51"/>
      <c r="B17" s="57"/>
      <c r="C17" s="39"/>
      <c r="D17" s="20" t="s">
        <v>16</v>
      </c>
      <c r="E17" s="21" t="n">
        <v>200466.0</v>
      </c>
      <c r="F17" s="22" t="n">
        <f>16996</f>
        <v>16996.0</v>
      </c>
      <c r="G17" s="21" t="n">
        <v>1.42805667904E12</v>
      </c>
      <c r="H17" s="22" t="n">
        <f>121064272040</f>
        <v>1.2106427204E11</v>
      </c>
    </row>
    <row r="18" spans="1:8" ht="24.9" customHeight="1">
      <c r="A18" s="51"/>
      <c r="B18" s="57"/>
      <c r="C18" s="39"/>
      <c r="D18" s="20" t="s">
        <v>17</v>
      </c>
      <c r="E18" s="21" t="n">
        <v>220273.0</v>
      </c>
      <c r="F18" s="22" t="n">
        <f>21608</f>
        <v>21608.0</v>
      </c>
      <c r="G18" s="21" t="n">
        <v>1.590611487529E12</v>
      </c>
      <c r="H18" s="22" t="n">
        <f>155914815529</f>
        <v>1.55914815529E11</v>
      </c>
    </row>
    <row r="19" spans="1:8" ht="24.9" customHeight="1">
      <c r="A19" s="51"/>
      <c r="B19" s="57"/>
      <c r="C19" s="39"/>
      <c r="D19" s="24" t="s">
        <v>18</v>
      </c>
      <c r="E19" s="25" t="n">
        <v>731109.0</v>
      </c>
      <c r="F19" s="26" t="n">
        <f>73688</f>
        <v>73688.0</v>
      </c>
      <c r="G19" s="25" t="n">
        <v>5.178015589435E12</v>
      </c>
      <c r="H19" s="26" t="n">
        <f>521074458935</f>
        <v>5.21074458935E11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551254.0</v>
      </c>
      <c r="F20" s="18" t="str">
        <f>"－"</f>
        <v>－</v>
      </c>
      <c r="G20" s="17" t="n">
        <v>3.835375062E11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242685.0</v>
      </c>
      <c r="F21" s="22" t="str">
        <f>"－"</f>
        <v>－</v>
      </c>
      <c r="G21" s="21" t="n">
        <v>1.7283997265E11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249460.0</v>
      </c>
      <c r="F22" s="22" t="str">
        <f>"－"</f>
        <v>－</v>
      </c>
      <c r="G22" s="21" t="n">
        <v>1.8005707505E11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1043399.0</v>
      </c>
      <c r="F23" s="26" t="str">
        <f>"－"</f>
        <v>－</v>
      </c>
      <c r="G23" s="25" t="n">
        <v>7.364345539E11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13699.0</v>
      </c>
      <c r="F24" s="18" t="n">
        <f>12</f>
        <v>12.0</v>
      </c>
      <c r="G24" s="17" t="n">
        <v>5.4537766E11</v>
      </c>
      <c r="H24" s="18" t="n">
        <f>478880000</f>
        <v>4.7888E8</v>
      </c>
    </row>
    <row r="25" spans="1:8" ht="24.9" customHeight="1">
      <c r="A25" s="51"/>
      <c r="B25" s="57"/>
      <c r="C25" s="39"/>
      <c r="D25" s="20" t="s">
        <v>16</v>
      </c>
      <c r="E25" s="21" t="n">
        <v>14229.0</v>
      </c>
      <c r="F25" s="22" t="n">
        <f>84</f>
        <v>84.0</v>
      </c>
      <c r="G25" s="21" t="n">
        <v>5.71412691E11</v>
      </c>
      <c r="H25" s="22" t="n">
        <f>3366266000</f>
        <v>3.366266E9</v>
      </c>
    </row>
    <row r="26" spans="1:8" ht="24.9" customHeight="1">
      <c r="A26" s="51"/>
      <c r="B26" s="57"/>
      <c r="C26" s="39"/>
      <c r="D26" s="20" t="s">
        <v>17</v>
      </c>
      <c r="E26" s="21" t="n">
        <v>24616.0</v>
      </c>
      <c r="F26" s="22" t="n">
        <f>5147</f>
        <v>5147.0</v>
      </c>
      <c r="G26" s="21" t="n">
        <v>9.903284903E11</v>
      </c>
      <c r="H26" s="22" t="n">
        <f>206787020300</f>
        <v>2.067870203E11</v>
      </c>
    </row>
    <row r="27" spans="1:8" ht="24.9" customHeight="1">
      <c r="A27" s="51"/>
      <c r="B27" s="57"/>
      <c r="C27" s="39"/>
      <c r="D27" s="24" t="s">
        <v>18</v>
      </c>
      <c r="E27" s="25" t="n">
        <v>52544.0</v>
      </c>
      <c r="F27" s="26" t="n">
        <f>5243</f>
        <v>5243.0</v>
      </c>
      <c r="G27" s="25" t="n">
        <v>2.1071188413E12</v>
      </c>
      <c r="H27" s="26" t="n">
        <f>210632166300</f>
        <v>2.106321663E11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5563.0</v>
      </c>
      <c r="F28" s="18" t="n">
        <f>379</f>
        <v>379.0</v>
      </c>
      <c r="G28" s="17" t="n">
        <v>2.215510385E10</v>
      </c>
      <c r="H28" s="18" t="n">
        <f>1509046850</f>
        <v>1.50904685E9</v>
      </c>
    </row>
    <row r="29" spans="1:8" ht="24.9" customHeight="1">
      <c r="A29" s="51"/>
      <c r="B29" s="57"/>
      <c r="C29" s="39"/>
      <c r="D29" s="20" t="s">
        <v>16</v>
      </c>
      <c r="E29" s="21" t="n">
        <v>8675.0</v>
      </c>
      <c r="F29" s="22" t="n">
        <f>219</f>
        <v>219.0</v>
      </c>
      <c r="G29" s="21" t="n">
        <v>3.483407333E10</v>
      </c>
      <c r="H29" s="22" t="n">
        <f>879331330</f>
        <v>8.7933133E8</v>
      </c>
    </row>
    <row r="30" spans="1:8" ht="24.9" customHeight="1">
      <c r="A30" s="51"/>
      <c r="B30" s="57"/>
      <c r="C30" s="39"/>
      <c r="D30" s="20" t="s">
        <v>17</v>
      </c>
      <c r="E30" s="21" t="n">
        <v>8200.0</v>
      </c>
      <c r="F30" s="22" t="n">
        <f>312</f>
        <v>312.0</v>
      </c>
      <c r="G30" s="21" t="n">
        <v>3.300312285E10</v>
      </c>
      <c r="H30" s="22" t="n">
        <f>1256014850</f>
        <v>1.25601485E9</v>
      </c>
    </row>
    <row r="31" spans="1:8" ht="24.9" customHeight="1">
      <c r="A31" s="51"/>
      <c r="B31" s="57"/>
      <c r="C31" s="39"/>
      <c r="D31" s="24" t="s">
        <v>18</v>
      </c>
      <c r="E31" s="25" t="n">
        <v>22438.0</v>
      </c>
      <c r="F31" s="26" t="n">
        <f>910</f>
        <v>910.0</v>
      </c>
      <c r="G31" s="25" t="n">
        <v>8.999230003E10</v>
      </c>
      <c r="H31" s="26" t="n">
        <f>3644393030</f>
        <v>3.64439303E9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647.0</v>
      </c>
      <c r="F36" s="18" t="n">
        <f>0</f>
        <v>0.0</v>
      </c>
      <c r="G36" s="17" t="n">
        <v>2.3435485E9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1936.0</v>
      </c>
      <c r="F37" s="22" t="n">
        <f>1</f>
        <v>1.0</v>
      </c>
      <c r="G37" s="21" t="n">
        <v>7.05750449E9</v>
      </c>
      <c r="H37" s="22" t="n">
        <f>3658990</f>
        <v>3658990.0</v>
      </c>
    </row>
    <row r="38" spans="1:8" ht="24.9" customHeight="1">
      <c r="A38" s="51"/>
      <c r="B38" s="57"/>
      <c r="C38" s="39"/>
      <c r="D38" s="20" t="s">
        <v>17</v>
      </c>
      <c r="E38" s="21" t="n">
        <v>742.0</v>
      </c>
      <c r="F38" s="22" t="n">
        <f>103</f>
        <v>103.0</v>
      </c>
      <c r="G38" s="21" t="n">
        <v>2.712096804E9</v>
      </c>
      <c r="H38" s="22" t="n">
        <f>376308304</f>
        <v>3.76308304E8</v>
      </c>
    </row>
    <row r="39" spans="1:8" ht="24.9" customHeight="1">
      <c r="A39" s="51"/>
      <c r="B39" s="57"/>
      <c r="C39" s="39"/>
      <c r="D39" s="24" t="s">
        <v>18</v>
      </c>
      <c r="E39" s="25" t="n">
        <v>3325.0</v>
      </c>
      <c r="F39" s="26" t="n">
        <f>104</f>
        <v>104.0</v>
      </c>
      <c r="G39" s="25" t="n">
        <v>1.2113149794E10</v>
      </c>
      <c r="H39" s="26" t="n">
        <f>379967294</f>
        <v>3.79967294E8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33.0</v>
      </c>
      <c r="F45" s="22" t="n">
        <f>33</f>
        <v>33.0</v>
      </c>
      <c r="G45" s="21" t="n">
        <v>2.2308E8</v>
      </c>
      <c r="H45" s="22" t="n">
        <f>223080000</f>
        <v>2.2308E8</v>
      </c>
    </row>
    <row r="46" spans="1:8" ht="24.9" customHeight="1">
      <c r="A46" s="51"/>
      <c r="B46" s="57"/>
      <c r="C46" s="39"/>
      <c r="D46" s="20" t="s">
        <v>17</v>
      </c>
      <c r="E46" s="21" t="n">
        <v>21.0</v>
      </c>
      <c r="F46" s="22" t="n">
        <f>21</f>
        <v>21.0</v>
      </c>
      <c r="G46" s="21" t="n">
        <v>1.42962E8</v>
      </c>
      <c r="H46" s="22" t="n">
        <f>142962000</f>
        <v>1.42962E8</v>
      </c>
    </row>
    <row r="47" spans="1:8" ht="24.9" customHeight="1">
      <c r="A47" s="51"/>
      <c r="B47" s="57"/>
      <c r="C47" s="39"/>
      <c r="D47" s="24" t="s">
        <v>18</v>
      </c>
      <c r="E47" s="25" t="n">
        <v>54.0</v>
      </c>
      <c r="F47" s="26" t="n">
        <f>54</f>
        <v>54.0</v>
      </c>
      <c r="G47" s="25" t="n">
        <v>3.66042E8</v>
      </c>
      <c r="H47" s="26" t="n">
        <f>366042000</f>
        <v>3.66042E8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183.0</v>
      </c>
      <c r="F48" s="18" t="n">
        <f>183</f>
        <v>183.0</v>
      </c>
      <c r="G48" s="17" t="n">
        <v>3.23514E8</v>
      </c>
      <c r="H48" s="18" t="n">
        <f>323514000</f>
        <v>3.23514E8</v>
      </c>
    </row>
    <row r="49" spans="1:8" ht="24.9" customHeight="1">
      <c r="A49" s="51"/>
      <c r="B49" s="57"/>
      <c r="C49" s="39"/>
      <c r="D49" s="20" t="s">
        <v>16</v>
      </c>
      <c r="E49" s="21" t="n">
        <v>16.0</v>
      </c>
      <c r="F49" s="22" t="n">
        <f>0</f>
        <v>0.0</v>
      </c>
      <c r="G49" s="21" t="n">
        <v>2.83915E7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8148.0</v>
      </c>
      <c r="F50" s="22" t="n">
        <f>8032</f>
        <v>8032.0</v>
      </c>
      <c r="G50" s="21" t="n">
        <v>1.441746812E10</v>
      </c>
      <c r="H50" s="22" t="n">
        <f>14210789120</f>
        <v>1.421078912E10</v>
      </c>
    </row>
    <row r="51" spans="1:8" ht="24.9" customHeight="1">
      <c r="A51" s="51"/>
      <c r="B51" s="57"/>
      <c r="C51" s="39"/>
      <c r="D51" s="24" t="s">
        <v>18</v>
      </c>
      <c r="E51" s="25" t="n">
        <v>8347.0</v>
      </c>
      <c r="F51" s="26" t="n">
        <f>8215</f>
        <v>8215.0</v>
      </c>
      <c r="G51" s="25" t="n">
        <v>1.476937362E10</v>
      </c>
      <c r="H51" s="26" t="n">
        <f>14534303120</f>
        <v>1.453430312E10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493.0</v>
      </c>
      <c r="F56" s="18" t="n">
        <f>12</f>
        <v>12.0</v>
      </c>
      <c r="G56" s="17" t="n">
        <v>3.37298E8</v>
      </c>
      <c r="H56" s="18" t="n">
        <f>8196000</f>
        <v>8196000.0</v>
      </c>
    </row>
    <row r="57" spans="1:8" ht="24.9" customHeight="1">
      <c r="A57" s="51"/>
      <c r="B57" s="57"/>
      <c r="C57" s="39"/>
      <c r="D57" s="20" t="s">
        <v>16</v>
      </c>
      <c r="E57" s="21" t="n">
        <v>931.0</v>
      </c>
      <c r="F57" s="22" t="n">
        <f>20</f>
        <v>20.0</v>
      </c>
      <c r="G57" s="21" t="n">
        <v>6.36691E8</v>
      </c>
      <c r="H57" s="22" t="n">
        <f>13666000</f>
        <v>1.3666E7</v>
      </c>
    </row>
    <row r="58" spans="1:8" ht="24.9" customHeight="1">
      <c r="A58" s="51"/>
      <c r="B58" s="57"/>
      <c r="C58" s="39"/>
      <c r="D58" s="20" t="s">
        <v>17</v>
      </c>
      <c r="E58" s="21" t="n">
        <v>701.0</v>
      </c>
      <c r="F58" s="22" t="n">
        <f>45</f>
        <v>45.0</v>
      </c>
      <c r="G58" s="21" t="n">
        <v>4.802858E8</v>
      </c>
      <c r="H58" s="22" t="n">
        <f>31103800</f>
        <v>3.11038E7</v>
      </c>
    </row>
    <row r="59" spans="1:8" ht="24.9" customHeight="1">
      <c r="A59" s="51"/>
      <c r="B59" s="57"/>
      <c r="C59" s="39"/>
      <c r="D59" s="24" t="s">
        <v>18</v>
      </c>
      <c r="E59" s="25" t="n">
        <v>2125.0</v>
      </c>
      <c r="F59" s="26" t="n">
        <f>77</f>
        <v>77.0</v>
      </c>
      <c r="G59" s="25" t="n">
        <v>1.4542748E9</v>
      </c>
      <c r="H59" s="26" t="n">
        <f>52965800</f>
        <v>5.29658E7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212.0</v>
      </c>
      <c r="F60" s="18" t="n">
        <f>8</f>
        <v>8.0</v>
      </c>
      <c r="G60" s="17" t="n">
        <v>1.108469E9</v>
      </c>
      <c r="H60" s="18" t="n">
        <f>41737700</f>
        <v>4.17377E7</v>
      </c>
    </row>
    <row r="61" spans="1:8" ht="24.9" customHeight="1">
      <c r="A61" s="51"/>
      <c r="B61" s="57"/>
      <c r="C61" s="39"/>
      <c r="D61" s="20" t="s">
        <v>16</v>
      </c>
      <c r="E61" s="21" t="n">
        <v>10.0</v>
      </c>
      <c r="F61" s="22" t="n">
        <f>1</f>
        <v>1.0</v>
      </c>
      <c r="G61" s="21" t="n">
        <v>5.23433E7</v>
      </c>
      <c r="H61" s="22" t="n">
        <f>5228600</f>
        <v>5228600.0</v>
      </c>
    </row>
    <row r="62" spans="1:8" ht="24.9" customHeight="1">
      <c r="A62" s="51"/>
      <c r="B62" s="57"/>
      <c r="C62" s="39"/>
      <c r="D62" s="20" t="s">
        <v>17</v>
      </c>
      <c r="E62" s="21" t="n">
        <v>56.0</v>
      </c>
      <c r="F62" s="22" t="n">
        <f>2</f>
        <v>2.0</v>
      </c>
      <c r="G62" s="21" t="n">
        <v>2.9283041E8</v>
      </c>
      <c r="H62" s="22" t="n">
        <f>10459010</f>
        <v>1.045901E7</v>
      </c>
    </row>
    <row r="63" spans="1:8" ht="24.9" customHeight="1">
      <c r="A63" s="51"/>
      <c r="B63" s="57"/>
      <c r="C63" s="39"/>
      <c r="D63" s="24" t="s">
        <v>18</v>
      </c>
      <c r="E63" s="25" t="n">
        <v>278.0</v>
      </c>
      <c r="F63" s="26" t="n">
        <f>11</f>
        <v>11.0</v>
      </c>
      <c r="G63" s="25" t="n">
        <v>1.45364271E9</v>
      </c>
      <c r="H63" s="26" t="n">
        <f>57425310</f>
        <v>5.742531E7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200.0</v>
      </c>
      <c r="F73" s="22" t="n">
        <f>200</f>
        <v>200.0</v>
      </c>
      <c r="G73" s="21" t="n">
        <v>1.93E8</v>
      </c>
      <c r="H73" s="22" t="n">
        <f>193000000</f>
        <v>1.93E8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200.0</v>
      </c>
      <c r="F75" s="26" t="n">
        <f>200</f>
        <v>200.0</v>
      </c>
      <c r="G75" s="25" t="n">
        <v>1.93E8</v>
      </c>
      <c r="H75" s="26" t="n">
        <f>193000000</f>
        <v>1.93E8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1057500.0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12.0</v>
      </c>
      <c r="F78" s="22" t="n">
        <f>0</f>
        <v>0.0</v>
      </c>
      <c r="G78" s="21" t="n">
        <v>4488500.0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15.0</v>
      </c>
      <c r="F79" s="26" t="n">
        <f>0</f>
        <v>0.0</v>
      </c>
      <c r="G79" s="25" t="n">
        <v>5546000.0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74.0</v>
      </c>
      <c r="F92" s="18" t="n">
        <f>0</f>
        <v>0.0</v>
      </c>
      <c r="G92" s="17" t="n">
        <v>1.188938E8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3213300.0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1606700.0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77.0</v>
      </c>
      <c r="F95" s="26" t="n">
        <f>0</f>
        <v>0.0</v>
      </c>
      <c r="G95" s="25" t="n">
        <v>1.237138E8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197.0</v>
      </c>
      <c r="F100" s="18" t="n">
        <f>0</f>
        <v>0.0</v>
      </c>
      <c r="G100" s="17" t="n">
        <v>3.601459E8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197.0</v>
      </c>
      <c r="F103" s="26" t="n">
        <f>0</f>
        <v>0.0</v>
      </c>
      <c r="G103" s="25" t="n">
        <v>3.601459E8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12494.0</v>
      </c>
      <c r="F108" s="18" t="n">
        <f>170</f>
        <v>170.0</v>
      </c>
      <c r="G108" s="17" t="n">
        <v>1.59603975E12</v>
      </c>
      <c r="H108" s="18" t="n">
        <f>21703760000</f>
        <v>2.170376E10</v>
      </c>
    </row>
    <row r="109" spans="1:8" ht="24.9" customHeight="1">
      <c r="A109" s="51"/>
      <c r="B109" s="57"/>
      <c r="C109" s="39"/>
      <c r="D109" s="20" t="s">
        <v>16</v>
      </c>
      <c r="E109" s="21" t="n">
        <v>20634.0</v>
      </c>
      <c r="F109" s="22" t="n">
        <f>844</f>
        <v>844.0</v>
      </c>
      <c r="G109" s="21" t="n">
        <v>2.63836898E12</v>
      </c>
      <c r="H109" s="22" t="n">
        <f>107913620000</f>
        <v>1.0791362E11</v>
      </c>
    </row>
    <row r="110" spans="1:8" ht="24.9" customHeight="1">
      <c r="A110" s="51"/>
      <c r="B110" s="57"/>
      <c r="C110" s="39"/>
      <c r="D110" s="20" t="s">
        <v>17</v>
      </c>
      <c r="E110" s="21" t="n">
        <v>19821.0</v>
      </c>
      <c r="F110" s="22" t="n">
        <f>791</f>
        <v>791.0</v>
      </c>
      <c r="G110" s="21" t="n">
        <v>2.53587984E12</v>
      </c>
      <c r="H110" s="22" t="n">
        <f>101191370000</f>
        <v>1.0119137E11</v>
      </c>
    </row>
    <row r="111" spans="1:8" ht="24.9" customHeight="1">
      <c r="A111" s="51"/>
      <c r="B111" s="57"/>
      <c r="C111" s="39"/>
      <c r="D111" s="24" t="s">
        <v>18</v>
      </c>
      <c r="E111" s="25" t="n">
        <v>52949.0</v>
      </c>
      <c r="F111" s="26" t="n">
        <f>1805</f>
        <v>1805.0</v>
      </c>
      <c r="G111" s="25" t="n">
        <v>6.77028857E12</v>
      </c>
      <c r="H111" s="26" t="n">
        <f>230808750000</f>
        <v>2.3080875E11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1.2783E7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1.2797E7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2.558E7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870.0</v>
      </c>
      <c r="F118" s="22" t="n">
        <f>0</f>
        <v>0.0</v>
      </c>
      <c r="G118" s="21" t="n">
        <v>8.03035E9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870.0</v>
      </c>
      <c r="F119" s="26" t="n">
        <f>0</f>
        <v>0.0</v>
      </c>
      <c r="G119" s="25" t="n">
        <v>8.03035E9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8409.0</v>
      </c>
      <c r="F120" s="18" t="n">
        <f>0</f>
        <v>0.0</v>
      </c>
      <c r="G120" s="17" t="n">
        <v>2.07418718125E11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519.0</v>
      </c>
      <c r="F121" s="22" t="n">
        <f>0</f>
        <v>0.0</v>
      </c>
      <c r="G121" s="21" t="n">
        <v>1.282720125E10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299.0</v>
      </c>
      <c r="F122" s="22" t="n">
        <f>0</f>
        <v>0.0</v>
      </c>
      <c r="G122" s="21" t="n">
        <v>7.395006875E9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9227.0</v>
      </c>
      <c r="F123" s="26" t="n">
        <f>0</f>
        <v>0.0</v>
      </c>
      <c r="G123" s="25" t="n">
        <v>2.2764092625E11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9710.0</v>
      </c>
      <c r="F124" s="18" t="n">
        <f>0</f>
        <v>0.0</v>
      </c>
      <c r="G124" s="17" t="n">
        <v>2.06923688E11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4491.0</v>
      </c>
      <c r="F125" s="22" t="n">
        <f>0</f>
        <v>0.0</v>
      </c>
      <c r="G125" s="21" t="n">
        <v>9.5211463E10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5508.0</v>
      </c>
      <c r="F126" s="22" t="n">
        <f>2</f>
        <v>2.0</v>
      </c>
      <c r="G126" s="21" t="n">
        <v>1.16497671E11</v>
      </c>
      <c r="H126" s="22" t="n">
        <f>42402000</f>
        <v>4.2402E7</v>
      </c>
    </row>
    <row r="127" spans="1:8" ht="24.9" customHeight="1">
      <c r="A127" s="51"/>
      <c r="B127" s="57"/>
      <c r="C127" s="39"/>
      <c r="D127" s="24" t="s">
        <v>18</v>
      </c>
      <c r="E127" s="25" t="n">
        <v>19709.0</v>
      </c>
      <c r="F127" s="26" t="n">
        <f>2</f>
        <v>2.0</v>
      </c>
      <c r="G127" s="25" t="n">
        <v>4.18632822E11</v>
      </c>
      <c r="H127" s="26" t="n">
        <f>42402000</f>
        <v>4.2402E7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209.0</v>
      </c>
      <c r="F128" s="18" t="n">
        <f>0</f>
        <v>0.0</v>
      </c>
      <c r="G128" s="17" t="n">
        <v>4.45442E8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190.0</v>
      </c>
      <c r="F129" s="22" t="n">
        <f>0</f>
        <v>0.0</v>
      </c>
      <c r="G129" s="21" t="n">
        <v>4.018083E8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88.0</v>
      </c>
      <c r="F130" s="22" t="n">
        <f>0</f>
        <v>0.0</v>
      </c>
      <c r="G130" s="21" t="n">
        <v>1.850997E8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487.0</v>
      </c>
      <c r="F131" s="26" t="n">
        <f>0</f>
        <v>0.0</v>
      </c>
      <c r="G131" s="25" t="n">
        <v>1.03235E9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13121.0</v>
      </c>
      <c r="F132" s="18" t="n">
        <f>0</f>
        <v>0.0</v>
      </c>
      <c r="G132" s="17" t="n">
        <v>2.79847114E10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3314.0</v>
      </c>
      <c r="F133" s="22" t="n">
        <f>0</f>
        <v>0.0</v>
      </c>
      <c r="G133" s="21" t="n">
        <v>7.02757905E9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4300.0</v>
      </c>
      <c r="F134" s="22" t="n">
        <f>0</f>
        <v>0.0</v>
      </c>
      <c r="G134" s="21" t="n">
        <v>9.09342075E9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20735.0</v>
      </c>
      <c r="F135" s="26" t="n">
        <f>0</f>
        <v>0.0</v>
      </c>
      <c r="G135" s="25" t="n">
        <v>4.41057112E10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193.0</v>
      </c>
      <c r="F136" s="18" t="n">
        <f>0</f>
        <v>0.0</v>
      </c>
      <c r="G136" s="17" t="n">
        <v>4.06898E8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37.0</v>
      </c>
      <c r="F137" s="22" t="n">
        <f>0</f>
        <v>0.0</v>
      </c>
      <c r="G137" s="21" t="n">
        <v>7.7601E7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174.0</v>
      </c>
      <c r="F138" s="22" t="n">
        <f>0</f>
        <v>0.0</v>
      </c>
      <c r="G138" s="21" t="n">
        <v>3.643813E8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404.0</v>
      </c>
      <c r="F139" s="26" t="n">
        <f>0</f>
        <v>0.0</v>
      </c>
      <c r="G139" s="25" t="n">
        <v>8.488803E8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2.0</v>
      </c>
      <c r="F140" s="18" t="n">
        <f>0</f>
        <v>0.0</v>
      </c>
      <c r="G140" s="17" t="n">
        <v>1.89E7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4.0</v>
      </c>
      <c r="F142" s="22" t="n">
        <f>0</f>
        <v>0.0</v>
      </c>
      <c r="G142" s="21" t="n">
        <v>3.6006E7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6.0</v>
      </c>
      <c r="F143" s="26" t="n">
        <f>0</f>
        <v>0.0</v>
      </c>
      <c r="G143" s="25" t="n">
        <v>5.4906E7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1861.0</v>
      </c>
      <c r="F144" s="18" t="n">
        <f>0</f>
        <v>0.0</v>
      </c>
      <c r="G144" s="17" t="n">
        <v>7.5156745E9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1031.0</v>
      </c>
      <c r="F145" s="22" t="n">
        <f>0</f>
        <v>0.0</v>
      </c>
      <c r="G145" s="21" t="n">
        <v>4.1122055E9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1573.0</v>
      </c>
      <c r="F146" s="22" t="n">
        <f>0</f>
        <v>0.0</v>
      </c>
      <c r="G146" s="21" t="n">
        <v>6.2260645E9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4465.0</v>
      </c>
      <c r="F147" s="26" t="n">
        <f>0</f>
        <v>0.0</v>
      </c>
      <c r="G147" s="25" t="n">
        <v>1.78539445E10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36.0</v>
      </c>
      <c r="F148" s="18" t="n">
        <f>0</f>
        <v>0.0</v>
      </c>
      <c r="G148" s="17" t="n">
        <v>2.952E7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177.0</v>
      </c>
      <c r="F149" s="22" t="n">
        <f>0</f>
        <v>0.0</v>
      </c>
      <c r="G149" s="21" t="n">
        <v>1.435293E8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145.0</v>
      </c>
      <c r="F150" s="22" t="n">
        <f>0</f>
        <v>0.0</v>
      </c>
      <c r="G150" s="21" t="n">
        <v>1.170159E8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358.0</v>
      </c>
      <c r="F151" s="26" t="n">
        <f>0</f>
        <v>0.0</v>
      </c>
      <c r="G151" s="25" t="n">
        <v>2.900652E8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476.0</v>
      </c>
      <c r="F152" s="18" t="n">
        <f>0</f>
        <v>0.0</v>
      </c>
      <c r="G152" s="17" t="n">
        <v>3.8302595E8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224.0</v>
      </c>
      <c r="F153" s="22" t="n">
        <f>0</f>
        <v>0.0</v>
      </c>
      <c r="G153" s="21" t="n">
        <v>1.7835135E8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328.0</v>
      </c>
      <c r="F154" s="22" t="n">
        <f>0</f>
        <v>0.0</v>
      </c>
      <c r="G154" s="21" t="n">
        <v>2.5884765E8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1028.0</v>
      </c>
      <c r="F155" s="26" t="n">
        <f>0</f>
        <v>0.0</v>
      </c>
      <c r="G155" s="25" t="n">
        <v>8.2022495E8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364.0</v>
      </c>
      <c r="F156" s="18" t="n">
        <f>0</f>
        <v>0.0</v>
      </c>
      <c r="G156" s="17" t="n">
        <v>2.982719E8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88.0</v>
      </c>
      <c r="F157" s="22" t="n">
        <f>0</f>
        <v>0.0</v>
      </c>
      <c r="G157" s="21" t="n">
        <v>6.90256E7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394.0</v>
      </c>
      <c r="F158" s="22" t="n">
        <f>0</f>
        <v>0.0</v>
      </c>
      <c r="G158" s="21" t="n">
        <v>3.074471E8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846.0</v>
      </c>
      <c r="F159" s="26" t="n">
        <f>0</f>
        <v>0.0</v>
      </c>
      <c r="G159" s="25" t="n">
        <v>6.747446E8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21.0</v>
      </c>
      <c r="F168" s="18" t="n">
        <f>0</f>
        <v>0.0</v>
      </c>
      <c r="G168" s="17" t="n">
        <v>4.61015E7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863.0</v>
      </c>
      <c r="F169" s="22" t="n">
        <f>100</f>
        <v>100.0</v>
      </c>
      <c r="G169" s="21" t="n">
        <v>1.848078E9</v>
      </c>
      <c r="H169" s="22" t="n">
        <f>224400000</f>
        <v>2.244E8</v>
      </c>
    </row>
    <row r="170" spans="1:8" ht="24.9" customHeight="1">
      <c r="A170" s="51"/>
      <c r="B170" s="57"/>
      <c r="C170" s="39"/>
      <c r="D170" s="20" t="s">
        <v>17</v>
      </c>
      <c r="E170" s="21" t="n">
        <v>621.0</v>
      </c>
      <c r="F170" s="22" t="n">
        <f>0</f>
        <v>0.0</v>
      </c>
      <c r="G170" s="21" t="n">
        <v>1.3067055E9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1505.0</v>
      </c>
      <c r="F171" s="26" t="n">
        <f>100</f>
        <v>100.0</v>
      </c>
      <c r="G171" s="25" t="n">
        <v>3.200885E9</v>
      </c>
      <c r="H171" s="26" t="n">
        <f>224400000</f>
        <v>2.244E8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1.4802E7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7.0</v>
      </c>
      <c r="F177" s="22" t="n">
        <f>0</f>
        <v>0.0</v>
      </c>
      <c r="G177" s="21" t="n">
        <v>1.1969E7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6716000.0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19.0</v>
      </c>
      <c r="F179" s="26" t="n">
        <f>0</f>
        <v>0.0</v>
      </c>
      <c r="G179" s="25" t="n">
        <v>3.3487E7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481.0</v>
      </c>
      <c r="F204" s="18" t="n">
        <f>0</f>
        <v>0.0</v>
      </c>
      <c r="G204" s="17" t="n">
        <v>1.679477E9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302.0</v>
      </c>
      <c r="F205" s="22" t="n">
        <f>0</f>
        <v>0.0</v>
      </c>
      <c r="G205" s="21" t="n">
        <v>1.042932E9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1724.0</v>
      </c>
      <c r="F206" s="22" t="n">
        <f>0</f>
        <v>0.0</v>
      </c>
      <c r="G206" s="21" t="n">
        <v>5.919563E9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2507.0</v>
      </c>
      <c r="F207" s="26" t="n">
        <f>0</f>
        <v>0.0</v>
      </c>
      <c r="G207" s="25" t="n">
        <v>8.641972E9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3.0</v>
      </c>
      <c r="F209" s="22" t="n">
        <f>0</f>
        <v>0.0</v>
      </c>
      <c r="G209" s="21" t="n">
        <v>4464000.0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5.127648E7</v>
      </c>
      <c r="H210" s="22" t="n">
        <f>51276480</f>
        <v>5.127648E7</v>
      </c>
    </row>
    <row r="211" spans="1:8" ht="24.9" customHeight="1">
      <c r="A211" s="57"/>
      <c r="B211" s="59"/>
      <c r="C211" s="39"/>
      <c r="D211" s="24" t="s">
        <v>18</v>
      </c>
      <c r="E211" s="25" t="n">
        <v>43.0</v>
      </c>
      <c r="F211" s="26" t="n">
        <f>40</f>
        <v>40.0</v>
      </c>
      <c r="G211" s="25" t="n">
        <v>5.574048E7</v>
      </c>
      <c r="H211" s="26" t="n">
        <f>51276480</f>
        <v>5.127648E7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20.0</v>
      </c>
      <c r="F278" s="22" t="n">
        <f>20</f>
        <v>20.0</v>
      </c>
      <c r="G278" s="21" t="n">
        <v>1.88E7</v>
      </c>
      <c r="H278" s="22" t="n">
        <f>18800000</f>
        <v>1.88E7</v>
      </c>
    </row>
    <row r="279" spans="1:8" ht="24.9" customHeight="1">
      <c r="A279" s="57"/>
      <c r="B279" s="59"/>
      <c r="C279" s="39"/>
      <c r="D279" s="24" t="s">
        <v>18</v>
      </c>
      <c r="E279" s="25" t="n">
        <v>20.0</v>
      </c>
      <c r="F279" s="26" t="n">
        <f>20</f>
        <v>20.0</v>
      </c>
      <c r="G279" s="25" t="n">
        <v>1.88E7</v>
      </c>
      <c r="H279" s="26" t="n">
        <f>18800000</f>
        <v>1.88E7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7.0</v>
      </c>
      <c r="F281" s="22" t="n">
        <f>0</f>
        <v>0.0</v>
      </c>
      <c r="G281" s="21" t="n">
        <v>7385000.0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7.0</v>
      </c>
      <c r="F283" s="26" t="n">
        <f>0</f>
        <v>0.0</v>
      </c>
      <c r="G283" s="25" t="n">
        <v>7385000.0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7750</f>
        <v>7750.0</v>
      </c>
      <c r="E12" s="35" t="n">
        <f>6496</f>
        <v>6496.0</v>
      </c>
      <c r="F12" s="17" t="n">
        <f>6957</f>
        <v>6957.0</v>
      </c>
      <c r="G12" s="35" t="n">
        <f>5677</f>
        <v>5677.0</v>
      </c>
      <c r="H12" s="17" t="n">
        <f>14707</f>
        <v>14707.0</v>
      </c>
      <c r="I12" s="35" t="n">
        <f>12173</f>
        <v>12173.0</v>
      </c>
      <c r="J12" s="17" t="n">
        <f>31210971718</f>
        <v>3.1210971718E10</v>
      </c>
      <c r="K12" s="35" t="n">
        <f>30840360718</f>
        <v>3.0840360718E10</v>
      </c>
      <c r="L12" s="17" t="n">
        <f>57916726972</f>
        <v>5.7916726972E10</v>
      </c>
      <c r="M12" s="35" t="n">
        <f>57374570972</f>
        <v>5.7374570972E10</v>
      </c>
      <c r="N12" s="17" t="n">
        <f>89127698690</f>
        <v>8.912769869E10</v>
      </c>
      <c r="O12" s="35" t="n">
        <f>88214931690</f>
        <v>8.821493169E10</v>
      </c>
    </row>
    <row r="13" spans="1:15" ht="24.9" customHeight="1">
      <c r="A13" s="38"/>
      <c r="B13" s="62"/>
      <c r="C13" s="20" t="s">
        <v>16</v>
      </c>
      <c r="D13" s="21" t="n">
        <f>2782</f>
        <v>2782.0</v>
      </c>
      <c r="E13" s="36" t="n">
        <f>768</f>
        <v>768.0</v>
      </c>
      <c r="F13" s="21" t="n">
        <f>3101</f>
        <v>3101.0</v>
      </c>
      <c r="G13" s="36" t="n">
        <f>716</f>
        <v>716.0</v>
      </c>
      <c r="H13" s="21" t="n">
        <f>5883</f>
        <v>5883.0</v>
      </c>
      <c r="I13" s="36" t="n">
        <f>1484</f>
        <v>1484.0</v>
      </c>
      <c r="J13" s="21" t="n">
        <f>1629960550</f>
        <v>1.62996055E9</v>
      </c>
      <c r="K13" s="36" t="n">
        <f>725866550</f>
        <v>7.2586655E8</v>
      </c>
      <c r="L13" s="21" t="n">
        <f>2372379620</f>
        <v>2.37237962E9</v>
      </c>
      <c r="M13" s="36" t="n">
        <f>1254298620</f>
        <v>1.25429862E9</v>
      </c>
      <c r="N13" s="21" t="n">
        <f>4002340170</f>
        <v>4.00234017E9</v>
      </c>
      <c r="O13" s="36" t="n">
        <f>1980165170</f>
        <v>1.98016517E9</v>
      </c>
    </row>
    <row r="14" spans="1:15" ht="24.9" customHeight="1">
      <c r="A14" s="38"/>
      <c r="B14" s="62"/>
      <c r="C14" s="20" t="s">
        <v>17</v>
      </c>
      <c r="D14" s="21" t="n">
        <f>14201</f>
        <v>14201.0</v>
      </c>
      <c r="E14" s="36" t="n">
        <f>11017</f>
        <v>11017.0</v>
      </c>
      <c r="F14" s="21" t="n">
        <f>8773</f>
        <v>8773.0</v>
      </c>
      <c r="G14" s="36" t="n">
        <f>4493</f>
        <v>4493.0</v>
      </c>
      <c r="H14" s="21" t="n">
        <f>22974</f>
        <v>22974.0</v>
      </c>
      <c r="I14" s="36" t="n">
        <f>15510</f>
        <v>15510.0</v>
      </c>
      <c r="J14" s="21" t="n">
        <f>13736322830</f>
        <v>1.373632283E10</v>
      </c>
      <c r="K14" s="36" t="n">
        <f>11888668830</f>
        <v>1.188866883E10</v>
      </c>
      <c r="L14" s="21" t="n">
        <f>9311677950</f>
        <v>9.31167795E9</v>
      </c>
      <c r="M14" s="36" t="n">
        <f>6999849950</f>
        <v>6.99984995E9</v>
      </c>
      <c r="N14" s="21" t="n">
        <f>23048000780</f>
        <v>2.304800078E10</v>
      </c>
      <c r="O14" s="36" t="n">
        <f>18888518780</f>
        <v>1.888851878E10</v>
      </c>
    </row>
    <row r="15" spans="1:15" ht="24.9" customHeight="1">
      <c r="A15" s="38"/>
      <c r="B15" s="62"/>
      <c r="C15" s="24" t="s">
        <v>18</v>
      </c>
      <c r="D15" s="25" t="n">
        <f>24733</f>
        <v>24733.0</v>
      </c>
      <c r="E15" s="37" t="n">
        <f>18281</f>
        <v>18281.0</v>
      </c>
      <c r="F15" s="25" t="n">
        <f>18831</f>
        <v>18831.0</v>
      </c>
      <c r="G15" s="37" t="n">
        <f>10886</f>
        <v>10886.0</v>
      </c>
      <c r="H15" s="25" t="n">
        <f>43564</f>
        <v>43564.0</v>
      </c>
      <c r="I15" s="37" t="n">
        <f>29167</f>
        <v>29167.0</v>
      </c>
      <c r="J15" s="25" t="n">
        <f>46577255098</f>
        <v>4.6577255098E10</v>
      </c>
      <c r="K15" s="37" t="n">
        <f>43454896098</f>
        <v>4.3454896098E10</v>
      </c>
      <c r="L15" s="25" t="n">
        <f>69600784542</f>
        <v>6.9600784542E10</v>
      </c>
      <c r="M15" s="37" t="n">
        <f>65628719542</f>
        <v>6.5628719542E10</v>
      </c>
      <c r="N15" s="25" t="n">
        <f>116178039640</f>
        <v>1.1617803964E11</v>
      </c>
      <c r="O15" s="37" t="n">
        <f>109083615640</f>
        <v>1.0908361564E11</v>
      </c>
    </row>
    <row r="16" spans="1:15" ht="24.9" customHeight="1">
      <c r="A16" s="38"/>
      <c r="B16" s="61" t="s">
        <v>105</v>
      </c>
      <c r="C16" s="16" t="s">
        <v>15</v>
      </c>
      <c r="D16" s="17" t="n">
        <f>14653</f>
        <v>14653.0</v>
      </c>
      <c r="E16" s="35" t="n">
        <f>2040</f>
        <v>2040.0</v>
      </c>
      <c r="F16" s="17" t="n">
        <f>8859</f>
        <v>8859.0</v>
      </c>
      <c r="G16" s="35" t="n">
        <f>810</f>
        <v>810.0</v>
      </c>
      <c r="H16" s="17" t="n">
        <f>23512</f>
        <v>23512.0</v>
      </c>
      <c r="I16" s="35" t="n">
        <f>2850</f>
        <v>2850.0</v>
      </c>
      <c r="J16" s="17" t="n">
        <f>393782970</f>
        <v>3.9378297E8</v>
      </c>
      <c r="K16" s="35" t="n">
        <f>18433070</f>
        <v>1.843307E7</v>
      </c>
      <c r="L16" s="17" t="n">
        <f>395462270</f>
        <v>3.9546227E8</v>
      </c>
      <c r="M16" s="35" t="n">
        <f>4130870</f>
        <v>4130870.0</v>
      </c>
      <c r="N16" s="17" t="n">
        <f>789245240</f>
        <v>7.8924524E8</v>
      </c>
      <c r="O16" s="35" t="n">
        <f>22563940</f>
        <v>2.256394E7</v>
      </c>
    </row>
    <row r="17" spans="1:15" ht="24.9" customHeight="1">
      <c r="A17" s="38"/>
      <c r="B17" s="62"/>
      <c r="C17" s="20" t="s">
        <v>16</v>
      </c>
      <c r="D17" s="21" t="n">
        <f>13325</f>
        <v>13325.0</v>
      </c>
      <c r="E17" s="36" t="n">
        <f>790</f>
        <v>790.0</v>
      </c>
      <c r="F17" s="21" t="n">
        <f>10690</f>
        <v>10690.0</v>
      </c>
      <c r="G17" s="36" t="n">
        <f>770</f>
        <v>770.0</v>
      </c>
      <c r="H17" s="21" t="n">
        <f>24015</f>
        <v>24015.0</v>
      </c>
      <c r="I17" s="36" t="n">
        <f>1560</f>
        <v>1560.0</v>
      </c>
      <c r="J17" s="21" t="n">
        <f>273221800</f>
        <v>2.732218E8</v>
      </c>
      <c r="K17" s="36" t="n">
        <f>11374900</f>
        <v>1.13749E7</v>
      </c>
      <c r="L17" s="21" t="n">
        <f>455677710</f>
        <v>4.5567771E8</v>
      </c>
      <c r="M17" s="36" t="n">
        <f>7124410</f>
        <v>7124410.0</v>
      </c>
      <c r="N17" s="21" t="n">
        <f>728899510</f>
        <v>7.2889951E8</v>
      </c>
      <c r="O17" s="36" t="n">
        <f>18499310</f>
        <v>1.849931E7</v>
      </c>
    </row>
    <row r="18" spans="1:15" ht="24.9" customHeight="1">
      <c r="A18" s="38"/>
      <c r="B18" s="62"/>
      <c r="C18" s="20" t="s">
        <v>17</v>
      </c>
      <c r="D18" s="21" t="n">
        <f>22554</f>
        <v>22554.0</v>
      </c>
      <c r="E18" s="36" t="n">
        <f>1400</f>
        <v>1400.0</v>
      </c>
      <c r="F18" s="21" t="n">
        <f>15907</f>
        <v>15907.0</v>
      </c>
      <c r="G18" s="36" t="n">
        <f>680</f>
        <v>680.0</v>
      </c>
      <c r="H18" s="21" t="n">
        <f>38461</f>
        <v>38461.0</v>
      </c>
      <c r="I18" s="36" t="n">
        <f>2080</f>
        <v>2080.0</v>
      </c>
      <c r="J18" s="21" t="n">
        <f>660675510</f>
        <v>6.6067551E8</v>
      </c>
      <c r="K18" s="36" t="n">
        <f>24663310</f>
        <v>2.466331E7</v>
      </c>
      <c r="L18" s="21" t="n">
        <f>1170241250</f>
        <v>1.17024125E9</v>
      </c>
      <c r="M18" s="36" t="n">
        <f>10298450</f>
        <v>1.029845E7</v>
      </c>
      <c r="N18" s="21" t="n">
        <f>1830916760</f>
        <v>1.83091676E9</v>
      </c>
      <c r="O18" s="36" t="n">
        <f>34961760</f>
        <v>3.496176E7</v>
      </c>
    </row>
    <row r="19" spans="1:15" ht="24.9" customHeight="1">
      <c r="A19" s="38"/>
      <c r="B19" s="62"/>
      <c r="C19" s="24" t="s">
        <v>18</v>
      </c>
      <c r="D19" s="25" t="n">
        <f>50532</f>
        <v>50532.0</v>
      </c>
      <c r="E19" s="37" t="n">
        <f>4230</f>
        <v>4230.0</v>
      </c>
      <c r="F19" s="25" t="n">
        <f>35456</f>
        <v>35456.0</v>
      </c>
      <c r="G19" s="37" t="n">
        <f>2260</f>
        <v>2260.0</v>
      </c>
      <c r="H19" s="25" t="n">
        <f>85988</f>
        <v>85988.0</v>
      </c>
      <c r="I19" s="37" t="n">
        <f>6490</f>
        <v>6490.0</v>
      </c>
      <c r="J19" s="25" t="n">
        <f>1327680280</f>
        <v>1.32768028E9</v>
      </c>
      <c r="K19" s="37" t="n">
        <f>54471280</f>
        <v>5.447128E7</v>
      </c>
      <c r="L19" s="25" t="n">
        <f>2021381230</f>
        <v>2.02138123E9</v>
      </c>
      <c r="M19" s="37" t="n">
        <f>21553730</f>
        <v>2.155373E7</v>
      </c>
      <c r="N19" s="25" t="n">
        <f>3349061510</f>
        <v>3.34906151E9</v>
      </c>
      <c r="O19" s="37" t="n">
        <f>76025010</f>
        <v>7.602501E7</v>
      </c>
    </row>
    <row r="20" spans="1:15" ht="24.9" customHeight="1">
      <c r="A20" s="38"/>
      <c r="B20" s="61" t="s">
        <v>106</v>
      </c>
      <c r="C20" s="16" t="s">
        <v>15</v>
      </c>
      <c r="D20" s="17" t="n">
        <f>58</f>
        <v>58.0</v>
      </c>
      <c r="E20" s="35" t="n">
        <f>58</f>
        <v>58.0</v>
      </c>
      <c r="F20" s="17" t="n">
        <f>0</f>
        <v>0.0</v>
      </c>
      <c r="G20" s="35" t="n">
        <f>0</f>
        <v>0.0</v>
      </c>
      <c r="H20" s="17" t="n">
        <f>58</f>
        <v>58.0</v>
      </c>
      <c r="I20" s="35" t="n">
        <f>58</f>
        <v>58.0</v>
      </c>
      <c r="J20" s="17" t="n">
        <f>42386944</f>
        <v>4.2386944E7</v>
      </c>
      <c r="K20" s="35" t="n">
        <f>42386944</f>
        <v>4.2386944E7</v>
      </c>
      <c r="L20" s="17" t="n">
        <f>0</f>
        <v>0.0</v>
      </c>
      <c r="M20" s="35" t="n">
        <f>0</f>
        <v>0.0</v>
      </c>
      <c r="N20" s="17" t="n">
        <f>42386944</f>
        <v>4.2386944E7</v>
      </c>
      <c r="O20" s="35" t="n">
        <f>42386944</f>
        <v>4.2386944E7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390</f>
        <v>390.0</v>
      </c>
      <c r="E22" s="36" t="n">
        <f>390</f>
        <v>390.0</v>
      </c>
      <c r="F22" s="21" t="n">
        <f>690</f>
        <v>690.0</v>
      </c>
      <c r="G22" s="36" t="n">
        <f>690</f>
        <v>690.0</v>
      </c>
      <c r="H22" s="21" t="n">
        <f>1080</f>
        <v>1080.0</v>
      </c>
      <c r="I22" s="36" t="n">
        <f>1080</f>
        <v>1080.0</v>
      </c>
      <c r="J22" s="21" t="n">
        <f>470265000</f>
        <v>4.70265E8</v>
      </c>
      <c r="K22" s="36" t="n">
        <f>470265000</f>
        <v>4.70265E8</v>
      </c>
      <c r="L22" s="21" t="n">
        <f>1298590000</f>
        <v>1.29859E9</v>
      </c>
      <c r="M22" s="36" t="n">
        <f>1298590000</f>
        <v>1.29859E9</v>
      </c>
      <c r="N22" s="21" t="n">
        <f>1768855000</f>
        <v>1.768855E9</v>
      </c>
      <c r="O22" s="36" t="n">
        <f>1768855000</f>
        <v>1.768855E9</v>
      </c>
    </row>
    <row r="23" spans="1:15" ht="24.9" customHeight="1">
      <c r="A23" s="38"/>
      <c r="B23" s="62"/>
      <c r="C23" s="24" t="s">
        <v>18</v>
      </c>
      <c r="D23" s="25" t="n">
        <f>448</f>
        <v>448.0</v>
      </c>
      <c r="E23" s="37" t="n">
        <f>448</f>
        <v>448.0</v>
      </c>
      <c r="F23" s="25" t="n">
        <f>690</f>
        <v>690.0</v>
      </c>
      <c r="G23" s="37" t="n">
        <f>690</f>
        <v>690.0</v>
      </c>
      <c r="H23" s="25" t="n">
        <f>1138</f>
        <v>1138.0</v>
      </c>
      <c r="I23" s="37" t="n">
        <f>1138</f>
        <v>1138.0</v>
      </c>
      <c r="J23" s="25" t="n">
        <f>512651944</f>
        <v>5.12651944E8</v>
      </c>
      <c r="K23" s="37" t="n">
        <f>512651944</f>
        <v>5.12651944E8</v>
      </c>
      <c r="L23" s="25" t="n">
        <f>1298590000</f>
        <v>1.29859E9</v>
      </c>
      <c r="M23" s="37" t="n">
        <f>1298590000</f>
        <v>1.29859E9</v>
      </c>
      <c r="N23" s="25" t="n">
        <f>1811241944</f>
        <v>1.811241944E9</v>
      </c>
      <c r="O23" s="37" t="n">
        <f>1811241944</f>
        <v>1.811241944E9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19</f>
        <v>19.0</v>
      </c>
      <c r="E37" s="22" t="n">
        <f>0</f>
        <v>0.0</v>
      </c>
      <c r="F37" s="21" t="n">
        <f>56</f>
        <v>56.0</v>
      </c>
      <c r="G37" s="22" t="n">
        <f>0</f>
        <v>0.0</v>
      </c>
      <c r="H37" s="21" t="n">
        <f>75</f>
        <v>75.0</v>
      </c>
      <c r="I37" s="22" t="n">
        <f>0</f>
        <v>0.0</v>
      </c>
      <c r="J37" s="21" t="n">
        <f>7710000</f>
        <v>7710000.0</v>
      </c>
      <c r="K37" s="22" t="n">
        <f>0</f>
        <v>0.0</v>
      </c>
      <c r="L37" s="21" t="n">
        <f>5880000</f>
        <v>5880000.0</v>
      </c>
      <c r="M37" s="22" t="n">
        <f>0</f>
        <v>0.0</v>
      </c>
      <c r="N37" s="21" t="n">
        <f>13590000</f>
        <v>1.359E7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164</f>
        <v>164.0</v>
      </c>
      <c r="E38" s="36" t="n">
        <f>0</f>
        <v>0.0</v>
      </c>
      <c r="F38" s="21" t="n">
        <f>25</f>
        <v>25.0</v>
      </c>
      <c r="G38" s="36" t="n">
        <f>0</f>
        <v>0.0</v>
      </c>
      <c r="H38" s="21" t="n">
        <f>189</f>
        <v>189.0</v>
      </c>
      <c r="I38" s="36" t="n">
        <f>0</f>
        <v>0.0</v>
      </c>
      <c r="J38" s="21" t="n">
        <f>6840000</f>
        <v>6840000.0</v>
      </c>
      <c r="K38" s="36" t="n">
        <f>0</f>
        <v>0.0</v>
      </c>
      <c r="L38" s="21" t="n">
        <f>1350000</f>
        <v>1350000.0</v>
      </c>
      <c r="M38" s="36" t="n">
        <f>0</f>
        <v>0.0</v>
      </c>
      <c r="N38" s="21" t="n">
        <f>8190000</f>
        <v>8190000.0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183</f>
        <v>183.0</v>
      </c>
      <c r="E39" s="37" t="n">
        <f>0</f>
        <v>0.0</v>
      </c>
      <c r="F39" s="25" t="n">
        <f>81</f>
        <v>81.0</v>
      </c>
      <c r="G39" s="37" t="n">
        <f>0</f>
        <v>0.0</v>
      </c>
      <c r="H39" s="25" t="n">
        <f>264</f>
        <v>264.0</v>
      </c>
      <c r="I39" s="37" t="n">
        <f>0</f>
        <v>0.0</v>
      </c>
      <c r="J39" s="25" t="n">
        <f>14550000</f>
        <v>1.455E7</v>
      </c>
      <c r="K39" s="37" t="n">
        <f>0</f>
        <v>0.0</v>
      </c>
      <c r="L39" s="25" t="n">
        <f>7230000</f>
        <v>7230000.0</v>
      </c>
      <c r="M39" s="37" t="n">
        <f>0</f>
        <v>0.0</v>
      </c>
      <c r="N39" s="25" t="n">
        <f>21780000</f>
        <v>2.178E7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5692</f>
        <v>5692.0</v>
      </c>
      <c r="E41" s="36" t="n">
        <f>0</f>
        <v>0.0</v>
      </c>
      <c r="F41" s="21" t="n">
        <f>3912</f>
        <v>3912.0</v>
      </c>
      <c r="G41" s="36" t="n">
        <f>0</f>
        <v>0.0</v>
      </c>
      <c r="H41" s="21" t="n">
        <f>9604</f>
        <v>9604.0</v>
      </c>
      <c r="I41" s="36" t="n">
        <f>0</f>
        <v>0.0</v>
      </c>
      <c r="J41" s="21" t="n">
        <f>17599026</f>
        <v>1.7599026E7</v>
      </c>
      <c r="K41" s="36" t="n">
        <f>0</f>
        <v>0.0</v>
      </c>
      <c r="L41" s="21" t="n">
        <f>27646344</f>
        <v>2.7646344E7</v>
      </c>
      <c r="M41" s="36" t="n">
        <f>0</f>
        <v>0.0</v>
      </c>
      <c r="N41" s="21" t="n">
        <f>45245370</f>
        <v>4.524537E7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1532</f>
        <v>1532.0</v>
      </c>
      <c r="E42" s="36" t="n">
        <f>0</f>
        <v>0.0</v>
      </c>
      <c r="F42" s="21" t="n">
        <f>1553</f>
        <v>1553.0</v>
      </c>
      <c r="G42" s="36" t="n">
        <f>0</f>
        <v>0.0</v>
      </c>
      <c r="H42" s="21" t="n">
        <f>3085</f>
        <v>3085.0</v>
      </c>
      <c r="I42" s="36" t="n">
        <f>0</f>
        <v>0.0</v>
      </c>
      <c r="J42" s="21" t="n">
        <f>23570229</f>
        <v>2.3570229E7</v>
      </c>
      <c r="K42" s="36" t="n">
        <f>0</f>
        <v>0.0</v>
      </c>
      <c r="L42" s="21" t="n">
        <f>21935135</f>
        <v>2.1935135E7</v>
      </c>
      <c r="M42" s="36" t="n">
        <f>0</f>
        <v>0.0</v>
      </c>
      <c r="N42" s="21" t="n">
        <f>45505364</f>
        <v>4.5505364E7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7224</f>
        <v>7224.0</v>
      </c>
      <c r="E43" s="37" t="n">
        <f>0</f>
        <v>0.0</v>
      </c>
      <c r="F43" s="25" t="n">
        <f>5465</f>
        <v>5465.0</v>
      </c>
      <c r="G43" s="37" t="n">
        <f>0</f>
        <v>0.0</v>
      </c>
      <c r="H43" s="25" t="n">
        <f>12689</f>
        <v>12689.0</v>
      </c>
      <c r="I43" s="37" t="n">
        <f>0</f>
        <v>0.0</v>
      </c>
      <c r="J43" s="25" t="n">
        <f>41169255</f>
        <v>4.1169255E7</v>
      </c>
      <c r="K43" s="37" t="n">
        <f>0</f>
        <v>0.0</v>
      </c>
      <c r="L43" s="25" t="n">
        <f>49581479</f>
        <v>4.9581479E7</v>
      </c>
      <c r="M43" s="37" t="n">
        <f>0</f>
        <v>0.0</v>
      </c>
      <c r="N43" s="25" t="n">
        <f>90750734</f>
        <v>9.0750734E7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