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<sst xmlns="http://schemas.openxmlformats.org/spreadsheetml/2006/main" count="528" uniqueCount="129">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</sst>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DATE(2026,05,26)</f>
        <v>46168.0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DATE(2026,05,26)</f>
        <v>46168.0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343831.0</f>
        <v>343831.0</v>
      </c>
      <c r="E12" s="18" t="n">
        <f>19731.0</f>
        <v>19731.0</v>
      </c>
      <c r="F12" s="19" t="n">
        <f>1.0</f>
        <v>1.0</v>
      </c>
      <c r="G12" s="17" t="n">
        <f>2675081258490.0</f>
        <v>2.67508125849E12</v>
      </c>
      <c r="H12" s="18" t="n">
        <f>178563776590.0</f>
        <v>1.7856377659E11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426543.0</f>
        <v>426543.0</v>
      </c>
      <c r="E13" s="22" t="n">
        <f>23297.0</f>
        <v>23297.0</v>
      </c>
      <c r="F13" s="23" t="n">
        <f>1.0</f>
        <v>1.0</v>
      </c>
      <c r="G13" s="21" t="n">
        <f>4490249923097.0</f>
        <v>4.490249923097E12</v>
      </c>
      <c r="H13" s="22" t="n">
        <f>287168650647.0</f>
        <v>2.87168650647E11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353540.0</f>
        <v>353540.0</v>
      </c>
      <c r="E14" s="22" t="n">
        <f>31773.0</f>
        <v>31773.0</v>
      </c>
      <c r="F14" s="23" t="n">
        <f>1.0</f>
        <v>1.0</v>
      </c>
      <c r="G14" s="21" t="n">
        <f>5074722876485.0</f>
        <v>5.074722876485E12</v>
      </c>
      <c r="H14" s="22" t="n">
        <f>1077837232110.0</f>
        <v>1.07783723211E12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1123914.0</f>
        <v>1123914.0</v>
      </c>
      <c r="E15" s="26" t="n">
        <f>74801.0</f>
        <v>74801.0</v>
      </c>
      <c r="F15" s="27" t="n">
        <f>1.0</f>
        <v>1.0</v>
      </c>
      <c r="G15" s="25" t="n">
        <f>12240054058072.0</f>
        <v>1.2240054058072E13</v>
      </c>
      <c r="H15" s="26" t="n">
        <f>1543569659347.0</f>
        <v>1.543569659347E12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10470.0</f>
        <v>10470.0</v>
      </c>
      <c r="E16" s="18" t="n">
        <f>5.0</f>
        <v>5.0</v>
      </c>
      <c r="F16" s="19" t="n">
        <f>0.03</f>
        <v>0.03</v>
      </c>
      <c r="G16" s="17" t="n">
        <f>871104883750.0</f>
        <v>8.7110488375E11</v>
      </c>
      <c r="H16" s="18" t="n">
        <f>642300000.0</f>
        <v>6.423E8</v>
      </c>
      <c r="I16" s="19" t="n">
        <f>0.326</f>
        <v>0.326</v>
      </c>
    </row>
    <row r="17" spans="1:9" ht="24.9" customHeight="1">
      <c r="A17" s="41"/>
      <c r="B17" s="39"/>
      <c r="C17" s="20" t="s">
        <v>16</v>
      </c>
      <c r="D17" s="21" t="n">
        <f>16241.0</f>
        <v>16241.0</v>
      </c>
      <c r="E17" s="22" t="n">
        <f>453.0</f>
        <v>453.0</v>
      </c>
      <c r="F17" s="23" t="n">
        <f>0.038</f>
        <v>0.038</v>
      </c>
      <c r="G17" s="21" t="n">
        <f>1852625397500.0</f>
        <v>1.8526253975E12</v>
      </c>
      <c r="H17" s="22" t="n">
        <f>58119990000.0</f>
        <v>5.811999E10</v>
      </c>
      <c r="I17" s="23" t="n">
        <f>0.413</f>
        <v>0.413</v>
      </c>
    </row>
    <row r="18" spans="1:9" ht="24.9" customHeight="1">
      <c r="A18" s="41"/>
      <c r="B18" s="39"/>
      <c r="C18" s="20" t="s">
        <v>17</v>
      </c>
      <c r="D18" s="21" t="n">
        <f>16384.0</f>
        <v>16384.0</v>
      </c>
      <c r="E18" s="22" t="n">
        <f>2230.0</f>
        <v>2230.0</v>
      </c>
      <c r="F18" s="23" t="n">
        <f>0.046</f>
        <v>0.046</v>
      </c>
      <c r="G18" s="21" t="n">
        <f>1939878555875.0</f>
        <v>1.939878555875E12</v>
      </c>
      <c r="H18" s="22" t="n">
        <f>285984205000.0</f>
        <v>2.85984205E11</v>
      </c>
      <c r="I18" s="23" t="n">
        <f>0.382</f>
        <v>0.382</v>
      </c>
    </row>
    <row r="19" spans="1:9" ht="24.9" customHeight="1">
      <c r="A19" s="41"/>
      <c r="B19" s="39"/>
      <c r="C19" s="24" t="s">
        <v>18</v>
      </c>
      <c r="D19" s="25" t="n">
        <f>43095.0</f>
        <v>43095.0</v>
      </c>
      <c r="E19" s="26" t="n">
        <f>2688.0</f>
        <v>2688.0</v>
      </c>
      <c r="F19" s="27" t="n">
        <f>0.038</f>
        <v>0.038</v>
      </c>
      <c r="G19" s="25" t="n">
        <f>4663608837125.0</f>
        <v>4.663608837125E12</v>
      </c>
      <c r="H19" s="26" t="n">
        <f>344746495000.0</f>
        <v>3.44746495E11</v>
      </c>
      <c r="I19" s="27" t="n">
        <f>0.381</f>
        <v>0.381</v>
      </c>
    </row>
    <row r="20" spans="1:9" ht="24.9" customHeight="1">
      <c r="A20" s="41"/>
      <c r="B20" s="39" t="s">
        <v>21</v>
      </c>
      <c r="C20" s="16" t="s">
        <v>15</v>
      </c>
      <c r="D20" s="17" t="n">
        <f>327287.0</f>
        <v>327287.0</v>
      </c>
      <c r="E20" s="18" t="n">
        <f>19656.0</f>
        <v>19656.0</v>
      </c>
      <c r="F20" s="19" t="n">
        <f>0.952</f>
        <v>0.952</v>
      </c>
      <c r="G20" s="17" t="n">
        <f>1737433771990.0</f>
        <v>1.73743377199E12</v>
      </c>
      <c r="H20" s="18" t="n">
        <f>177849415390.0</f>
        <v>1.7784941539E11</v>
      </c>
      <c r="I20" s="19" t="n">
        <f>0.649</f>
        <v>0.649</v>
      </c>
    </row>
    <row r="21" spans="1:9" ht="24.9" customHeight="1">
      <c r="A21" s="41"/>
      <c r="B21" s="39"/>
      <c r="C21" s="20" t="s">
        <v>16</v>
      </c>
      <c r="D21" s="21" t="n">
        <f>402715.0</f>
        <v>402715.0</v>
      </c>
      <c r="E21" s="22" t="n">
        <f>22843.0</f>
        <v>22843.0</v>
      </c>
      <c r="F21" s="23" t="n">
        <f>0.944</f>
        <v>0.944</v>
      </c>
      <c r="G21" s="21" t="n">
        <f>2563858956897.0</f>
        <v>2.563858956897E12</v>
      </c>
      <c r="H21" s="22" t="n">
        <f>229046638647.0</f>
        <v>2.29046638647E11</v>
      </c>
      <c r="I21" s="23" t="n">
        <f>0.571</f>
        <v>0.571</v>
      </c>
    </row>
    <row r="22" spans="1:9" ht="24.9" customHeight="1">
      <c r="A22" s="41"/>
      <c r="B22" s="39"/>
      <c r="C22" s="20" t="s">
        <v>17</v>
      </c>
      <c r="D22" s="21" t="n">
        <f>329735.0</f>
        <v>329735.0</v>
      </c>
      <c r="E22" s="22" t="n">
        <f>29493.0</f>
        <v>29493.0</v>
      </c>
      <c r="F22" s="23" t="n">
        <f>0.933</f>
        <v>0.933</v>
      </c>
      <c r="G22" s="21" t="n">
        <f>3074132290160.0</f>
        <v>3.07413229016E12</v>
      </c>
      <c r="H22" s="22" t="n">
        <f>791606777110.0</f>
        <v>7.9160677711E11</v>
      </c>
      <c r="I22" s="23" t="n">
        <f>0.606</f>
        <v>0.606</v>
      </c>
    </row>
    <row r="23" spans="1:9" ht="24.9" customHeight="1">
      <c r="A23" s="41"/>
      <c r="B23" s="39"/>
      <c r="C23" s="24" t="s">
        <v>18</v>
      </c>
      <c r="D23" s="25" t="n">
        <f>1059737.0</f>
        <v>1059737.0</v>
      </c>
      <c r="E23" s="26" t="n">
        <f>71992.0</f>
        <v>71992.0</v>
      </c>
      <c r="F23" s="27" t="n">
        <f>0.943</f>
        <v>0.943</v>
      </c>
      <c r="G23" s="25" t="n">
        <f>7375425019047.0</f>
        <v>7.375425019047E12</v>
      </c>
      <c r="H23" s="26" t="n">
        <f>1198502831147.0</f>
        <v>1.198502831147E12</v>
      </c>
      <c r="I23" s="27" t="n">
        <f>0.603</f>
        <v>0.603</v>
      </c>
    </row>
    <row r="24" spans="1:9" ht="24.9" customHeight="1">
      <c r="A24" s="41"/>
      <c r="B24" s="39" t="s">
        <v>22</v>
      </c>
      <c r="C24" s="16" t="s">
        <v>15</v>
      </c>
      <c r="D24" s="17" t="n">
        <f>5784.0</f>
        <v>5784.0</v>
      </c>
      <c r="E24" s="18" t="n">
        <f>0.0</f>
        <v>0.0</v>
      </c>
      <c r="F24" s="19" t="n">
        <f>0.017</f>
        <v>0.017</v>
      </c>
      <c r="G24" s="17" t="n">
        <f>65560422050.0</f>
        <v>6.556042205E10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7261.0</f>
        <v>7261.0</v>
      </c>
      <c r="E25" s="22" t="n">
        <f>1.0</f>
        <v>1.0</v>
      </c>
      <c r="F25" s="23" t="n">
        <f>0.017</f>
        <v>0.017</v>
      </c>
      <c r="G25" s="21" t="n">
        <f>72428657200.0</f>
        <v>7.24286572E10</v>
      </c>
      <c r="H25" s="22" t="n">
        <f>2022000.0</f>
        <v>2022000.0</v>
      </c>
      <c r="I25" s="23" t="n">
        <f>0.016</f>
        <v>0.016</v>
      </c>
    </row>
    <row r="26" spans="1:9" ht="24.9" customHeight="1">
      <c r="A26" s="41"/>
      <c r="B26" s="39"/>
      <c r="C26" s="20" t="s">
        <v>17</v>
      </c>
      <c r="D26" s="21" t="n">
        <f>6127.0</f>
        <v>6127.0</v>
      </c>
      <c r="E26" s="22" t="n">
        <f>50.0</f>
        <v>50.0</v>
      </c>
      <c r="F26" s="23" t="n">
        <f>0.017</f>
        <v>0.017</v>
      </c>
      <c r="G26" s="21" t="n">
        <f>55350313450.0</f>
        <v>5.535031345E10</v>
      </c>
      <c r="H26" s="22" t="n">
        <f>246250000.0</f>
        <v>2.4625E8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19172.0</f>
        <v>19172.0</v>
      </c>
      <c r="E27" s="26" t="n">
        <f>51.0</f>
        <v>51.0</v>
      </c>
      <c r="F27" s="27" t="n">
        <f>0.017</f>
        <v>0.017</v>
      </c>
      <c r="G27" s="25" t="n">
        <f>193339392700.0</f>
        <v>1.933393927E11</v>
      </c>
      <c r="H27" s="26" t="n">
        <f>248272000.0</f>
        <v>2.48272E8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290.0</f>
        <v>290.0</v>
      </c>
      <c r="E28" s="18" t="n">
        <f>70.0</f>
        <v>70.0</v>
      </c>
      <c r="F28" s="19" t="n">
        <f>0.001</f>
        <v>0.001</v>
      </c>
      <c r="G28" s="17" t="n">
        <f>982180700.0</f>
        <v>9.821807E8</v>
      </c>
      <c r="H28" s="18" t="n">
        <f>72061200.0</f>
        <v>7.20612E7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326.0</f>
        <v>326.0</v>
      </c>
      <c r="E29" s="22" t="n">
        <f>0.0</f>
        <v>0.0</v>
      </c>
      <c r="F29" s="23" t="n">
        <f>0.001</f>
        <v>0.001</v>
      </c>
      <c r="G29" s="21" t="n">
        <f>1336911500.0</f>
        <v>1.3369115E9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1294.0</f>
        <v>1294.0</v>
      </c>
      <c r="E30" s="22" t="n">
        <f>0.0</f>
        <v>0.0</v>
      </c>
      <c r="F30" s="23" t="n">
        <f>0.004</f>
        <v>0.004</v>
      </c>
      <c r="G30" s="21" t="n">
        <f>5361717000.0</f>
        <v>5.361717E9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1910.0</f>
        <v>1910.0</v>
      </c>
      <c r="E31" s="26" t="n">
        <f>70.0</f>
        <v>70.0</v>
      </c>
      <c r="F31" s="27" t="n">
        <f>0.002</f>
        <v>0.002</v>
      </c>
      <c r="G31" s="25" t="n">
        <f>7680809200.0</f>
        <v>7.6808092E9</v>
      </c>
      <c r="H31" s="26" t="n">
        <f>72061200.0</f>
        <v>7.20612E7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14751</f>
        <v>14751.0</v>
      </c>
      <c r="E11" s="18" t="n">
        <f>2459</f>
        <v>2459.0</v>
      </c>
      <c r="F11" s="19" t="n">
        <f>1</f>
        <v>1.0</v>
      </c>
      <c r="G11" s="17" t="n">
        <f>3370568610</f>
        <v>3.37056861E9</v>
      </c>
      <c r="H11" s="18" t="n">
        <f>1654051510</f>
        <v>1.65405151E9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51393</f>
        <v>51393.0</v>
      </c>
      <c r="E12" s="22" t="n">
        <f>25309</f>
        <v>25309.0</v>
      </c>
      <c r="F12" s="23" t="n">
        <f>1</f>
        <v>1.0</v>
      </c>
      <c r="G12" s="21" t="n">
        <f>9096940676</f>
        <v>9.096940676E9</v>
      </c>
      <c r="H12" s="22" t="n">
        <f>6679014770</f>
        <v>6.67901477E9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45757</f>
        <v>45757.0</v>
      </c>
      <c r="E13" s="22" t="n">
        <f>23758</f>
        <v>23758.0</v>
      </c>
      <c r="F13" s="23" t="n">
        <f>1</f>
        <v>1.0</v>
      </c>
      <c r="G13" s="21" t="n">
        <f>20580237683</f>
        <v>2.0580237683E10</v>
      </c>
      <c r="H13" s="22" t="n">
        <f>18240323983</f>
        <v>1.8240323983E10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111901</f>
        <v>111901.0</v>
      </c>
      <c r="E14" s="26" t="n">
        <f>51526</f>
        <v>51526.0</v>
      </c>
      <c r="F14" s="27" t="n">
        <f>1</f>
        <v>1.0</v>
      </c>
      <c r="G14" s="25" t="n">
        <f>33047746969</f>
        <v>3.3047746969E10</v>
      </c>
      <c r="H14" s="26" t="n">
        <f>26573390263</f>
        <v>2.6573390263E10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47</f>
        <v>47.0</v>
      </c>
      <c r="E16" s="22" t="n">
        <f>0</f>
        <v>0.0</v>
      </c>
      <c r="F16" s="23" t="n">
        <f>0.001</f>
        <v>0.001</v>
      </c>
      <c r="G16" s="21" t="n">
        <f>7220000</f>
        <v>7220000.0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60</f>
        <v>60.0</v>
      </c>
      <c r="E17" s="22" t="n">
        <f>0</f>
        <v>0.0</v>
      </c>
      <c r="F17" s="23" t="n">
        <f>0.001</f>
        <v>0.001</v>
      </c>
      <c r="G17" s="21" t="n">
        <f>6150000</f>
        <v>6150000.0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107</f>
        <v>107.0</v>
      </c>
      <c r="E18" s="26" t="n">
        <f>0</f>
        <v>0.0</v>
      </c>
      <c r="F18" s="27" t="n">
        <f>0.001</f>
        <v>0.001</v>
      </c>
      <c r="G18" s="25" t="n">
        <f>13370000</f>
        <v>1.337E7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14751</f>
        <v>14751.0</v>
      </c>
      <c r="E19" s="18" t="n">
        <f>2459</f>
        <v>2459.0</v>
      </c>
      <c r="F19" s="19" t="n">
        <f>1</f>
        <v>1.0</v>
      </c>
      <c r="G19" s="17" t="n">
        <f>3370568610</f>
        <v>3.37056861E9</v>
      </c>
      <c r="H19" s="18" t="n">
        <f>1654051510</f>
        <v>1.65405151E9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22881</f>
        <v>22881.0</v>
      </c>
      <c r="E20" s="22" t="n">
        <f>7309</f>
        <v>7309.0</v>
      </c>
      <c r="F20" s="23" t="n">
        <f>0.445</f>
        <v>0.445</v>
      </c>
      <c r="G20" s="21" t="n">
        <f>8943872870</f>
        <v>8.94387287E9</v>
      </c>
      <c r="H20" s="22" t="n">
        <f>6602964770</f>
        <v>6.60296477E9</v>
      </c>
      <c r="I20" s="23" t="n">
        <f>0.983</f>
        <v>0.983</v>
      </c>
    </row>
    <row r="21" spans="1:9" ht="24.9" customHeight="1">
      <c r="A21" s="41"/>
      <c r="B21" s="39"/>
      <c r="C21" s="20" t="s">
        <v>17</v>
      </c>
      <c r="D21" s="21" t="n">
        <f>24945</f>
        <v>24945.0</v>
      </c>
      <c r="E21" s="22" t="n">
        <f>12258</f>
        <v>12258.0</v>
      </c>
      <c r="F21" s="23" t="n">
        <f>0.545</f>
        <v>0.545</v>
      </c>
      <c r="G21" s="21" t="n">
        <f>20041161283</f>
        <v>2.0041161283E10</v>
      </c>
      <c r="H21" s="22" t="n">
        <f>17726173983</f>
        <v>1.7726173983E10</v>
      </c>
      <c r="I21" s="23" t="n">
        <f>0.974</f>
        <v>0.974</v>
      </c>
    </row>
    <row r="22" spans="1:9" ht="24.9" customHeight="1">
      <c r="A22" s="41"/>
      <c r="B22" s="39"/>
      <c r="C22" s="24" t="s">
        <v>18</v>
      </c>
      <c r="D22" s="25" t="n">
        <f>62577</f>
        <v>62577.0</v>
      </c>
      <c r="E22" s="26" t="n">
        <f>22026</f>
        <v>22026.0</v>
      </c>
      <c r="F22" s="27" t="n">
        <f>0.559</f>
        <v>0.559</v>
      </c>
      <c r="G22" s="25" t="n">
        <f>32355602763</f>
        <v>3.2355602763E10</v>
      </c>
      <c r="H22" s="26" t="n">
        <f>25983190263</f>
        <v>2.5983190263E10</v>
      </c>
      <c r="I22" s="27" t="n">
        <f>0.979</f>
        <v>0.979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28465</f>
        <v>28465.0</v>
      </c>
      <c r="E24" s="22" t="n">
        <f>18000</f>
        <v>18000.0</v>
      </c>
      <c r="F24" s="23" t="n">
        <f>0.554</f>
        <v>0.554</v>
      </c>
      <c r="G24" s="21" t="n">
        <f>145847806</f>
        <v>1.45847806E8</v>
      </c>
      <c r="H24" s="22" t="n">
        <f>76050000</f>
        <v>7.605E7</v>
      </c>
      <c r="I24" s="23" t="n">
        <f>0.016</f>
        <v>0.016</v>
      </c>
    </row>
    <row r="25" spans="1:9" ht="24.9" customHeight="1">
      <c r="A25" s="41"/>
      <c r="B25" s="39"/>
      <c r="C25" s="20" t="s">
        <v>17</v>
      </c>
      <c r="D25" s="21" t="n">
        <f>20752</f>
        <v>20752.0</v>
      </c>
      <c r="E25" s="22" t="n">
        <f>11500</f>
        <v>11500.0</v>
      </c>
      <c r="F25" s="23" t="n">
        <f>0.454</f>
        <v>0.454</v>
      </c>
      <c r="G25" s="21" t="n">
        <f>532926400</f>
        <v>5.329264E8</v>
      </c>
      <c r="H25" s="22" t="n">
        <f>514150000</f>
        <v>5.1415E8</v>
      </c>
      <c r="I25" s="23" t="n">
        <f>0.026</f>
        <v>0.026</v>
      </c>
    </row>
    <row r="26" spans="1:9" ht="24.9" customHeight="1">
      <c r="A26" s="41"/>
      <c r="B26" s="39"/>
      <c r="C26" s="24" t="s">
        <v>18</v>
      </c>
      <c r="D26" s="25" t="n">
        <f>49217</f>
        <v>49217.0</v>
      </c>
      <c r="E26" s="26" t="n">
        <f>29500</f>
        <v>29500.0</v>
      </c>
      <c r="F26" s="27" t="n">
        <f>0.44</f>
        <v>0.44</v>
      </c>
      <c r="G26" s="25" t="n">
        <f>678774206</f>
        <v>6.78774206E8</v>
      </c>
      <c r="H26" s="26" t="n">
        <f>590200000</f>
        <v>5.902E8</v>
      </c>
      <c r="I26" s="27" t="n">
        <f>0.021</f>
        <v>0.021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7097.0</v>
      </c>
      <c r="F12" s="18" t="n">
        <f>685</f>
        <v>685.0</v>
      </c>
      <c r="G12" s="17" t="n">
        <v>4.640015628E11</v>
      </c>
      <c r="H12" s="18" t="n">
        <f>44744705800</f>
        <v>4.47447058E10</v>
      </c>
    </row>
    <row r="13" spans="1:8" ht="24.9" customHeight="1">
      <c r="A13" s="51"/>
      <c r="B13" s="57"/>
      <c r="C13" s="39"/>
      <c r="D13" s="20" t="s">
        <v>16</v>
      </c>
      <c r="E13" s="21" t="n">
        <v>10162.0</v>
      </c>
      <c r="F13" s="22" t="n">
        <f>1039</f>
        <v>1039.0</v>
      </c>
      <c r="G13" s="21" t="n">
        <v>6.605572747E11</v>
      </c>
      <c r="H13" s="22" t="n">
        <f>67570083700</f>
        <v>6.75700837E10</v>
      </c>
    </row>
    <row r="14" spans="1:8" ht="24.9" customHeight="1">
      <c r="A14" s="51"/>
      <c r="B14" s="57"/>
      <c r="C14" s="39"/>
      <c r="D14" s="20" t="s">
        <v>17</v>
      </c>
      <c r="E14" s="21" t="n">
        <v>17173.0</v>
      </c>
      <c r="F14" s="22" t="n">
        <f>6989</f>
        <v>6989.0</v>
      </c>
      <c r="G14" s="21" t="n">
        <v>1.11594587831E12</v>
      </c>
      <c r="H14" s="22" t="n">
        <f>453761343310</f>
        <v>4.5376134331E11</v>
      </c>
    </row>
    <row r="15" spans="1:8" ht="24.9" customHeight="1">
      <c r="A15" s="51"/>
      <c r="B15" s="57"/>
      <c r="C15" s="39"/>
      <c r="D15" s="24" t="s">
        <v>18</v>
      </c>
      <c r="E15" s="25" t="n">
        <v>34432.0</v>
      </c>
      <c r="F15" s="26" t="n">
        <f>8713</f>
        <v>8713.0</v>
      </c>
      <c r="G15" s="25" t="n">
        <v>2.24050471581E12</v>
      </c>
      <c r="H15" s="26" t="n">
        <f>566076132810</f>
        <v>5.6607613281E11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123476.0</v>
      </c>
      <c r="F16" s="18" t="n">
        <f>18435</f>
        <v>18435.0</v>
      </c>
      <c r="G16" s="17" t="n">
        <v>8.0726376646E11</v>
      </c>
      <c r="H16" s="18" t="n">
        <f>120513020960</f>
        <v>1.2051302096E11</v>
      </c>
    </row>
    <row r="17" spans="1:8" ht="24.9" customHeight="1">
      <c r="A17" s="51"/>
      <c r="B17" s="57"/>
      <c r="C17" s="39"/>
      <c r="D17" s="20" t="s">
        <v>16</v>
      </c>
      <c r="E17" s="21" t="n">
        <v>164133.0</v>
      </c>
      <c r="F17" s="22" t="n">
        <f>20513</f>
        <v>20513.0</v>
      </c>
      <c r="G17" s="21" t="n">
        <v>1.06665495811E12</v>
      </c>
      <c r="H17" s="22" t="n">
        <f>133319885110</f>
        <v>1.3331988511E11</v>
      </c>
    </row>
    <row r="18" spans="1:8" ht="24.9" customHeight="1">
      <c r="A18" s="51"/>
      <c r="B18" s="57"/>
      <c r="C18" s="39"/>
      <c r="D18" s="20" t="s">
        <v>17</v>
      </c>
      <c r="E18" s="21" t="n">
        <v>124188.0</v>
      </c>
      <c r="F18" s="22" t="n">
        <f>15079</f>
        <v>15079.0</v>
      </c>
      <c r="G18" s="21" t="n">
        <v>8.0753987116E11</v>
      </c>
      <c r="H18" s="22" t="n">
        <f>98062506160</f>
        <v>9.806250616E10</v>
      </c>
    </row>
    <row r="19" spans="1:8" ht="24.9" customHeight="1">
      <c r="A19" s="51"/>
      <c r="B19" s="57"/>
      <c r="C19" s="39"/>
      <c r="D19" s="24" t="s">
        <v>18</v>
      </c>
      <c r="E19" s="25" t="n">
        <v>411797.0</v>
      </c>
      <c r="F19" s="26" t="n">
        <f>54027</f>
        <v>54027.0</v>
      </c>
      <c r="G19" s="25" t="n">
        <v>2.68145859573E12</v>
      </c>
      <c r="H19" s="26" t="n">
        <f>351895412230</f>
        <v>3.5189541223E11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184153.0</v>
      </c>
      <c r="F20" s="18" t="str">
        <f>"－"</f>
        <v>－</v>
      </c>
      <c r="G20" s="17" t="n">
        <v>1.2040355425E11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200454.0</v>
      </c>
      <c r="F21" s="22" t="str">
        <f>"－"</f>
        <v>－</v>
      </c>
      <c r="G21" s="21" t="n">
        <v>1.3030050425E11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152969.0</v>
      </c>
      <c r="F22" s="22" t="str">
        <f>"－"</f>
        <v>－</v>
      </c>
      <c r="G22" s="21" t="n">
        <v>9.94730154E10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537576.0</v>
      </c>
      <c r="F23" s="26" t="str">
        <f>"－"</f>
        <v>－</v>
      </c>
      <c r="G23" s="25" t="n">
        <v>3.501770739E11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8394.0</v>
      </c>
      <c r="F24" s="18" t="n">
        <f>298</f>
        <v>298.0</v>
      </c>
      <c r="G24" s="17" t="n">
        <v>3.30634709E11</v>
      </c>
      <c r="H24" s="18" t="n">
        <f>11755204000</f>
        <v>1.1755204E10</v>
      </c>
    </row>
    <row r="25" spans="1:8" ht="24.9" customHeight="1">
      <c r="A25" s="51"/>
      <c r="B25" s="57"/>
      <c r="C25" s="39"/>
      <c r="D25" s="20" t="s">
        <v>16</v>
      </c>
      <c r="E25" s="21" t="n">
        <v>17105.0</v>
      </c>
      <c r="F25" s="22" t="n">
        <f>656</f>
        <v>656.0</v>
      </c>
      <c r="G25" s="21" t="n">
        <v>6.73204753963E11</v>
      </c>
      <c r="H25" s="22" t="n">
        <f>25874623963</f>
        <v>2.5874623963E10</v>
      </c>
    </row>
    <row r="26" spans="1:8" ht="24.9" customHeight="1">
      <c r="A26" s="51"/>
      <c r="B26" s="57"/>
      <c r="C26" s="39"/>
      <c r="D26" s="20" t="s">
        <v>17</v>
      </c>
      <c r="E26" s="21" t="n">
        <v>25939.0</v>
      </c>
      <c r="F26" s="22" t="n">
        <f>6020</f>
        <v>6020.0</v>
      </c>
      <c r="G26" s="21" t="n">
        <v>1.0221895466E12</v>
      </c>
      <c r="H26" s="22" t="n">
        <f>237205111600</f>
        <v>2.372051116E11</v>
      </c>
    </row>
    <row r="27" spans="1:8" ht="24.9" customHeight="1">
      <c r="A27" s="51"/>
      <c r="B27" s="57"/>
      <c r="C27" s="39"/>
      <c r="D27" s="24" t="s">
        <v>18</v>
      </c>
      <c r="E27" s="25" t="n">
        <v>51438.0</v>
      </c>
      <c r="F27" s="26" t="n">
        <f>6974</f>
        <v>6974.0</v>
      </c>
      <c r="G27" s="25" t="n">
        <v>2.026029009563E12</v>
      </c>
      <c r="H27" s="26" t="n">
        <f>274834939563</f>
        <v>2.74834939563E11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3305.0</v>
      </c>
      <c r="F28" s="18" t="n">
        <f>190</f>
        <v>190.0</v>
      </c>
      <c r="G28" s="17" t="n">
        <v>1.30187641E10</v>
      </c>
      <c r="H28" s="18" t="n">
        <f>748369850</f>
        <v>7.4836985E8</v>
      </c>
    </row>
    <row r="29" spans="1:8" ht="24.9" customHeight="1">
      <c r="A29" s="51"/>
      <c r="B29" s="57"/>
      <c r="C29" s="39"/>
      <c r="D29" s="20" t="s">
        <v>16</v>
      </c>
      <c r="E29" s="21" t="n">
        <v>6638.0</v>
      </c>
      <c r="F29" s="22" t="n">
        <f>371</f>
        <v>371.0</v>
      </c>
      <c r="G29" s="21" t="n">
        <v>2.6125101575E10</v>
      </c>
      <c r="H29" s="22" t="n">
        <f>1460411575</f>
        <v>1.460411575E9</v>
      </c>
    </row>
    <row r="30" spans="1:8" ht="24.9" customHeight="1">
      <c r="A30" s="51"/>
      <c r="B30" s="57"/>
      <c r="C30" s="39"/>
      <c r="D30" s="20" t="s">
        <v>17</v>
      </c>
      <c r="E30" s="21" t="n">
        <v>5935.0</v>
      </c>
      <c r="F30" s="22" t="n">
        <f>201</f>
        <v>201.0</v>
      </c>
      <c r="G30" s="21" t="n">
        <v>2.33892998E10</v>
      </c>
      <c r="H30" s="22" t="n">
        <f>792495550</f>
        <v>7.9249555E8</v>
      </c>
    </row>
    <row r="31" spans="1:8" ht="24.9" customHeight="1">
      <c r="A31" s="51"/>
      <c r="B31" s="57"/>
      <c r="C31" s="39"/>
      <c r="D31" s="24" t="s">
        <v>18</v>
      </c>
      <c r="E31" s="25" t="n">
        <v>15878.0</v>
      </c>
      <c r="F31" s="26" t="n">
        <f>762</f>
        <v>762.0</v>
      </c>
      <c r="G31" s="25" t="n">
        <v>6.2533165475E10</v>
      </c>
      <c r="H31" s="26" t="n">
        <f>3001276975</f>
        <v>3.001276975E9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225.0</v>
      </c>
      <c r="F36" s="18" t="n">
        <f>1</f>
        <v>1.0</v>
      </c>
      <c r="G36" s="17" t="n">
        <v>8.041805E8</v>
      </c>
      <c r="H36" s="18" t="n">
        <f>3579000</f>
        <v>3579000.0</v>
      </c>
    </row>
    <row r="37" spans="1:8" ht="24.9" customHeight="1">
      <c r="A37" s="51"/>
      <c r="B37" s="57"/>
      <c r="C37" s="39"/>
      <c r="D37" s="20" t="s">
        <v>16</v>
      </c>
      <c r="E37" s="21" t="n">
        <v>1224.0</v>
      </c>
      <c r="F37" s="22" t="n">
        <f>207</f>
        <v>207.0</v>
      </c>
      <c r="G37" s="21" t="n">
        <v>4.377931284E9</v>
      </c>
      <c r="H37" s="22" t="n">
        <f>741801284</f>
        <v>7.41801284E8</v>
      </c>
    </row>
    <row r="38" spans="1:8" ht="24.9" customHeight="1">
      <c r="A38" s="51"/>
      <c r="B38" s="57"/>
      <c r="C38" s="39"/>
      <c r="D38" s="20" t="s">
        <v>17</v>
      </c>
      <c r="E38" s="21" t="n">
        <v>535.0</v>
      </c>
      <c r="F38" s="22" t="n">
        <f>6</f>
        <v>6.0</v>
      </c>
      <c r="G38" s="21" t="n">
        <v>1.9133805E9</v>
      </c>
      <c r="H38" s="22" t="n">
        <f>21473000</f>
        <v>2.1473E7</v>
      </c>
    </row>
    <row r="39" spans="1:8" ht="24.9" customHeight="1">
      <c r="A39" s="51"/>
      <c r="B39" s="57"/>
      <c r="C39" s="39"/>
      <c r="D39" s="24" t="s">
        <v>18</v>
      </c>
      <c r="E39" s="25" t="n">
        <v>1984.0</v>
      </c>
      <c r="F39" s="26" t="n">
        <f>214</f>
        <v>214.0</v>
      </c>
      <c r="G39" s="25" t="n">
        <v>7.095492284E9</v>
      </c>
      <c r="H39" s="26" t="n">
        <f>766853284</f>
        <v>7.66853284E8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5.0</v>
      </c>
      <c r="F45" s="22" t="n">
        <f>5</f>
        <v>5.0</v>
      </c>
      <c r="G45" s="21" t="n">
        <v>3.2561115E7</v>
      </c>
      <c r="H45" s="22" t="n">
        <f>32561115</f>
        <v>3.2561115E7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5.0</v>
      </c>
      <c r="F47" s="26" t="n">
        <f>5</f>
        <v>5.0</v>
      </c>
      <c r="G47" s="25" t="n">
        <v>3.2561115E7</v>
      </c>
      <c r="H47" s="26" t="n">
        <f>32561115</f>
        <v>3.2561115E7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25.0</v>
      </c>
      <c r="F48" s="18" t="n">
        <f>25</f>
        <v>25.0</v>
      </c>
      <c r="G48" s="17" t="n">
        <v>4.47625E7</v>
      </c>
      <c r="H48" s="18" t="n">
        <f>44762500</f>
        <v>4.47625E7</v>
      </c>
    </row>
    <row r="49" spans="1:8" ht="24.9" customHeight="1">
      <c r="A49" s="51"/>
      <c r="B49" s="57"/>
      <c r="C49" s="39"/>
      <c r="D49" s="20" t="s">
        <v>16</v>
      </c>
      <c r="E49" s="21" t="n">
        <v>73.0</v>
      </c>
      <c r="F49" s="22" t="n">
        <f>0</f>
        <v>0.0</v>
      </c>
      <c r="G49" s="21" t="n">
        <v>1.31083E8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884.0</v>
      </c>
      <c r="F50" s="22" t="n">
        <f>781</f>
        <v>781.0</v>
      </c>
      <c r="G50" s="21" t="n">
        <v>1.58437721E9</v>
      </c>
      <c r="H50" s="22" t="n">
        <f>1399416210</f>
        <v>1.39941621E9</v>
      </c>
    </row>
    <row r="51" spans="1:8" ht="24.9" customHeight="1">
      <c r="A51" s="51"/>
      <c r="B51" s="57"/>
      <c r="C51" s="39"/>
      <c r="D51" s="24" t="s">
        <v>18</v>
      </c>
      <c r="E51" s="25" t="n">
        <v>982.0</v>
      </c>
      <c r="F51" s="26" t="n">
        <f>806</f>
        <v>806.0</v>
      </c>
      <c r="G51" s="25" t="n">
        <v>1.76022271E9</v>
      </c>
      <c r="H51" s="26" t="n">
        <f>1444178710</f>
        <v>1.44417871E9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294.0</v>
      </c>
      <c r="F56" s="18" t="n">
        <f>17</f>
        <v>17.0</v>
      </c>
      <c r="G56" s="17" t="n">
        <v>2.456249E8</v>
      </c>
      <c r="H56" s="18" t="n">
        <f>14213900</f>
        <v>1.42139E7</v>
      </c>
    </row>
    <row r="57" spans="1:8" ht="24.9" customHeight="1">
      <c r="A57" s="51"/>
      <c r="B57" s="57"/>
      <c r="C57" s="39"/>
      <c r="D57" s="20" t="s">
        <v>16</v>
      </c>
      <c r="E57" s="21" t="n">
        <v>2904.0</v>
      </c>
      <c r="F57" s="22" t="n">
        <f>51</f>
        <v>51.0</v>
      </c>
      <c r="G57" s="21" t="n">
        <v>2.3983785E9</v>
      </c>
      <c r="H57" s="22" t="n">
        <f>42168500</f>
        <v>4.21685E7</v>
      </c>
    </row>
    <row r="58" spans="1:8" ht="24.9" customHeight="1">
      <c r="A58" s="51"/>
      <c r="B58" s="57"/>
      <c r="C58" s="39"/>
      <c r="D58" s="20" t="s">
        <v>17</v>
      </c>
      <c r="E58" s="21" t="n">
        <v>1823.0</v>
      </c>
      <c r="F58" s="22" t="n">
        <f>413</f>
        <v>413.0</v>
      </c>
      <c r="G58" s="21" t="n">
        <v>1.51642628E9</v>
      </c>
      <c r="H58" s="22" t="n">
        <f>344038280</f>
        <v>3.4403828E8</v>
      </c>
    </row>
    <row r="59" spans="1:8" ht="24.9" customHeight="1">
      <c r="A59" s="51"/>
      <c r="B59" s="57"/>
      <c r="C59" s="39"/>
      <c r="D59" s="24" t="s">
        <v>18</v>
      </c>
      <c r="E59" s="25" t="n">
        <v>5021.0</v>
      </c>
      <c r="F59" s="26" t="n">
        <f>481</f>
        <v>481.0</v>
      </c>
      <c r="G59" s="25" t="n">
        <v>4.16042968E9</v>
      </c>
      <c r="H59" s="26" t="n">
        <f>400420680</f>
        <v>4.0042068E8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100.0</v>
      </c>
      <c r="F60" s="18" t="n">
        <f>5</f>
        <v>5.0</v>
      </c>
      <c r="G60" s="17" t="n">
        <v>5.1164548E8</v>
      </c>
      <c r="H60" s="18" t="n">
        <f>25559380</f>
        <v>2.555938E7</v>
      </c>
    </row>
    <row r="61" spans="1:8" ht="24.9" customHeight="1">
      <c r="A61" s="51"/>
      <c r="B61" s="57"/>
      <c r="C61" s="39"/>
      <c r="D61" s="20" t="s">
        <v>16</v>
      </c>
      <c r="E61" s="21" t="n">
        <v>14.0</v>
      </c>
      <c r="F61" s="22" t="n">
        <f>1</f>
        <v>1.0</v>
      </c>
      <c r="G61" s="21" t="n">
        <v>7.13872E7</v>
      </c>
      <c r="H61" s="22" t="n">
        <f>5103400</f>
        <v>5103400.0</v>
      </c>
    </row>
    <row r="62" spans="1:8" ht="24.9" customHeight="1">
      <c r="A62" s="51"/>
      <c r="B62" s="57"/>
      <c r="C62" s="39"/>
      <c r="D62" s="20" t="s">
        <v>17</v>
      </c>
      <c r="E62" s="21" t="n">
        <v>24.0</v>
      </c>
      <c r="F62" s="22" t="n">
        <f>4</f>
        <v>4.0</v>
      </c>
      <c r="G62" s="21" t="n">
        <v>1.223588E8</v>
      </c>
      <c r="H62" s="22" t="n">
        <f>20393000</f>
        <v>2.0393E7</v>
      </c>
    </row>
    <row r="63" spans="1:8" ht="24.9" customHeight="1">
      <c r="A63" s="51"/>
      <c r="B63" s="57"/>
      <c r="C63" s="39"/>
      <c r="D63" s="24" t="s">
        <v>18</v>
      </c>
      <c r="E63" s="25" t="n">
        <v>138.0</v>
      </c>
      <c r="F63" s="26" t="n">
        <f>10</f>
        <v>10.0</v>
      </c>
      <c r="G63" s="25" t="n">
        <v>7.0539148E8</v>
      </c>
      <c r="H63" s="26" t="n">
        <f>51055780</f>
        <v>5.105578E7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341500.0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3.0</v>
      </c>
      <c r="F78" s="22" t="n">
        <f>0</f>
        <v>0.0</v>
      </c>
      <c r="G78" s="21" t="n">
        <v>1020500.0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4.0</v>
      </c>
      <c r="F79" s="26" t="n">
        <f>0</f>
        <v>0.0</v>
      </c>
      <c r="G79" s="25" t="n">
        <v>1362000.0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7.0</v>
      </c>
      <c r="F92" s="18" t="n">
        <f>0</f>
        <v>0.0</v>
      </c>
      <c r="G92" s="17" t="n">
        <v>1.11097E7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110.0</v>
      </c>
      <c r="F94" s="22" t="n">
        <f>0</f>
        <v>0.0</v>
      </c>
      <c r="G94" s="21" t="n">
        <v>1.746368E8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117.0</v>
      </c>
      <c r="F95" s="26" t="n">
        <f>0</f>
        <v>0.0</v>
      </c>
      <c r="G95" s="25" t="n">
        <v>1.857465E8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211.0</v>
      </c>
      <c r="F96" s="18" t="n">
        <f>0</f>
        <v>0.0</v>
      </c>
      <c r="G96" s="17" t="n">
        <v>4.940923E8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2.0</v>
      </c>
      <c r="F97" s="22" t="n">
        <f>0</f>
        <v>0.0</v>
      </c>
      <c r="G97" s="21" t="n">
        <v>4681700.0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3.0</v>
      </c>
      <c r="F98" s="22" t="n">
        <f>0</f>
        <v>0.0</v>
      </c>
      <c r="G98" s="21" t="n">
        <v>7028800.0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216.0</v>
      </c>
      <c r="F99" s="26" t="n">
        <f>0</f>
        <v>0.0</v>
      </c>
      <c r="G99" s="25" t="n">
        <v>5.058028E8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149.0</v>
      </c>
      <c r="F102" s="22" t="n">
        <f>0</f>
        <v>0.0</v>
      </c>
      <c r="G102" s="21" t="n">
        <v>2.7545E8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149.0</v>
      </c>
      <c r="F103" s="26" t="n">
        <f>0</f>
        <v>0.0</v>
      </c>
      <c r="G103" s="25" t="n">
        <v>2.7545E8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5901.0</v>
      </c>
      <c r="F108" s="18" t="n">
        <f>5</f>
        <v>5.0</v>
      </c>
      <c r="G108" s="17" t="n">
        <v>7.5810237E11</v>
      </c>
      <c r="H108" s="18" t="n">
        <f>642300000</f>
        <v>6.423E8</v>
      </c>
    </row>
    <row r="109" spans="1:8" ht="24.9" customHeight="1">
      <c r="A109" s="51"/>
      <c r="B109" s="57"/>
      <c r="C109" s="39"/>
      <c r="D109" s="20" t="s">
        <v>16</v>
      </c>
      <c r="E109" s="21" t="n">
        <v>14051.0</v>
      </c>
      <c r="F109" s="22" t="n">
        <f>453</f>
        <v>453.0</v>
      </c>
      <c r="G109" s="21" t="n">
        <v>1.80315347E12</v>
      </c>
      <c r="H109" s="22" t="n">
        <f>58119990000</f>
        <v>5.811999E10</v>
      </c>
    </row>
    <row r="110" spans="1:8" ht="24.9" customHeight="1">
      <c r="A110" s="51"/>
      <c r="B110" s="57"/>
      <c r="C110" s="39"/>
      <c r="D110" s="20" t="s">
        <v>17</v>
      </c>
      <c r="E110" s="21" t="n">
        <v>14870.0</v>
      </c>
      <c r="F110" s="22" t="n">
        <f>2230</f>
        <v>2230.0</v>
      </c>
      <c r="G110" s="21" t="n">
        <v>1.906610565E12</v>
      </c>
      <c r="H110" s="22" t="n">
        <f>285984205000</f>
        <v>2.85984205E11</v>
      </c>
    </row>
    <row r="111" spans="1:8" ht="24.9" customHeight="1">
      <c r="A111" s="51"/>
      <c r="B111" s="57"/>
      <c r="C111" s="39"/>
      <c r="D111" s="24" t="s">
        <v>18</v>
      </c>
      <c r="E111" s="25" t="n">
        <v>34822.0</v>
      </c>
      <c r="F111" s="26" t="n">
        <f>2688</f>
        <v>2688.0</v>
      </c>
      <c r="G111" s="25" t="n">
        <v>4.467866405E12</v>
      </c>
      <c r="H111" s="26" t="n">
        <f>344746495000</f>
        <v>3.44746495E11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390.0</v>
      </c>
      <c r="F113" s="22" t="n">
        <f>0</f>
        <v>0.0</v>
      </c>
      <c r="G113" s="21" t="n">
        <v>5.0049E9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270.0</v>
      </c>
      <c r="F114" s="22" t="n">
        <f>0</f>
        <v>0.0</v>
      </c>
      <c r="G114" s="21" t="n">
        <v>3.46236E9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660.0</v>
      </c>
      <c r="F115" s="26" t="n">
        <f>0</f>
        <v>0.0</v>
      </c>
      <c r="G115" s="25" t="n">
        <v>8.46726E9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61.0</v>
      </c>
      <c r="F118" s="22" t="n">
        <f>0</f>
        <v>0.0</v>
      </c>
      <c r="G118" s="21" t="n">
        <v>5.61089E8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61.0</v>
      </c>
      <c r="F119" s="26" t="n">
        <f>0</f>
        <v>0.0</v>
      </c>
      <c r="G119" s="25" t="n">
        <v>5.61089E8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4569.0</v>
      </c>
      <c r="F120" s="18" t="n">
        <f>0</f>
        <v>0.0</v>
      </c>
      <c r="G120" s="17" t="n">
        <v>1.1300251375E11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1800.0</v>
      </c>
      <c r="F121" s="22" t="n">
        <f>0</f>
        <v>0.0</v>
      </c>
      <c r="G121" s="21" t="n">
        <v>4.44670275E10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1183.0</v>
      </c>
      <c r="F122" s="22" t="n">
        <f>0</f>
        <v>0.0</v>
      </c>
      <c r="G122" s="21" t="n">
        <v>2.9244541875E10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7552.0</v>
      </c>
      <c r="F123" s="26" t="n">
        <f>0</f>
        <v>0.0</v>
      </c>
      <c r="G123" s="25" t="n">
        <v>1.86714083125E11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2361.0</v>
      </c>
      <c r="F124" s="18" t="n">
        <f>0</f>
        <v>0.0</v>
      </c>
      <c r="G124" s="17" t="n">
        <v>5.6689612E10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2511.0</v>
      </c>
      <c r="F125" s="22" t="n">
        <f>0</f>
        <v>0.0</v>
      </c>
      <c r="G125" s="21" t="n">
        <v>6.0088142E10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1925.0</v>
      </c>
      <c r="F126" s="22" t="n">
        <f>0</f>
        <v>0.0</v>
      </c>
      <c r="G126" s="21" t="n">
        <v>4.5950517E10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6797.0</v>
      </c>
      <c r="F127" s="26" t="n">
        <f>0</f>
        <v>0.0</v>
      </c>
      <c r="G127" s="25" t="n">
        <v>1.62728271E11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20.0</v>
      </c>
      <c r="F128" s="18" t="n">
        <f>0</f>
        <v>0.0</v>
      </c>
      <c r="G128" s="17" t="n">
        <v>4.80133E7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31.0</v>
      </c>
      <c r="F129" s="22" t="n">
        <f>0</f>
        <v>0.0</v>
      </c>
      <c r="G129" s="21" t="n">
        <v>7.42763E7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125.0</v>
      </c>
      <c r="F130" s="22" t="n">
        <f>0</f>
        <v>0.0</v>
      </c>
      <c r="G130" s="21" t="n">
        <v>2.985755E8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176.0</v>
      </c>
      <c r="F131" s="26" t="n">
        <f>0</f>
        <v>0.0</v>
      </c>
      <c r="G131" s="25" t="n">
        <v>4.208651E8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2673.0</v>
      </c>
      <c r="F132" s="18" t="n">
        <f>0</f>
        <v>0.0</v>
      </c>
      <c r="G132" s="17" t="n">
        <v>6.4310038E9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2537.0</v>
      </c>
      <c r="F133" s="22" t="n">
        <f>0</f>
        <v>0.0</v>
      </c>
      <c r="G133" s="21" t="n">
        <v>6.0822498E9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1657.0</v>
      </c>
      <c r="F134" s="22" t="n">
        <f>0</f>
        <v>0.0</v>
      </c>
      <c r="G134" s="21" t="n">
        <v>3.96349165E9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6867.0</v>
      </c>
      <c r="F135" s="26" t="n">
        <f>0</f>
        <v>0.0</v>
      </c>
      <c r="G135" s="25" t="n">
        <v>1.647674525E10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25.0</v>
      </c>
      <c r="F136" s="18" t="n">
        <f>0</f>
        <v>0.0</v>
      </c>
      <c r="G136" s="17" t="n">
        <v>5.96575E7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41.0</v>
      </c>
      <c r="F137" s="22" t="n">
        <f>0</f>
        <v>0.0</v>
      </c>
      <c r="G137" s="21" t="n">
        <v>9.73851E7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41.0</v>
      </c>
      <c r="F138" s="22" t="n">
        <f>0</f>
        <v>0.0</v>
      </c>
      <c r="G138" s="21" t="n">
        <v>9.7222E7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107.0</v>
      </c>
      <c r="F139" s="26" t="n">
        <f>0</f>
        <v>0.0</v>
      </c>
      <c r="G139" s="25" t="n">
        <v>2.542646E8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400.0</v>
      </c>
      <c r="F144" s="18" t="n">
        <f>0</f>
        <v>0.0</v>
      </c>
      <c r="G144" s="17" t="n">
        <v>1.983389E9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966.0</v>
      </c>
      <c r="F145" s="22" t="n">
        <f>0</f>
        <v>0.0</v>
      </c>
      <c r="G145" s="21" t="n">
        <v>4.7645475E9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620.0</v>
      </c>
      <c r="F146" s="22" t="n">
        <f>50</f>
        <v>50.0</v>
      </c>
      <c r="G146" s="21" t="n">
        <v>3.052791E9</v>
      </c>
      <c r="H146" s="22" t="n">
        <f>246250000</f>
        <v>2.4625E8</v>
      </c>
    </row>
    <row r="147" spans="1:8" ht="24.9" customHeight="1">
      <c r="A147" s="51"/>
      <c r="B147" s="57"/>
      <c r="C147" s="39"/>
      <c r="D147" s="24" t="s">
        <v>18</v>
      </c>
      <c r="E147" s="25" t="n">
        <v>1986.0</v>
      </c>
      <c r="F147" s="26" t="n">
        <f>50</f>
        <v>50.0</v>
      </c>
      <c r="G147" s="25" t="n">
        <v>9.8007275E9</v>
      </c>
      <c r="H147" s="26" t="n">
        <f>246250000</f>
        <v>2.4625E8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5.0</v>
      </c>
      <c r="F148" s="18" t="n">
        <f>0</f>
        <v>0.0</v>
      </c>
      <c r="G148" s="17" t="n">
        <v>5047400.0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111.0</v>
      </c>
      <c r="F149" s="22" t="n">
        <f>0</f>
        <v>0.0</v>
      </c>
      <c r="G149" s="21" t="n">
        <v>1.115867E8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133.0</v>
      </c>
      <c r="F150" s="22" t="n">
        <f>0</f>
        <v>0.0</v>
      </c>
      <c r="G150" s="21" t="n">
        <v>1.336413E8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249.0</v>
      </c>
      <c r="F151" s="26" t="n">
        <f>0</f>
        <v>0.0</v>
      </c>
      <c r="G151" s="25" t="n">
        <v>2.502754E8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87.0</v>
      </c>
      <c r="F152" s="18" t="n">
        <f>0</f>
        <v>0.0</v>
      </c>
      <c r="G152" s="17" t="n">
        <v>8.645145E7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138.0</v>
      </c>
      <c r="F153" s="22" t="n">
        <f>0</f>
        <v>0.0</v>
      </c>
      <c r="G153" s="21" t="n">
        <v>1.363756E8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115.0</v>
      </c>
      <c r="F154" s="22" t="n">
        <f>0</f>
        <v>0.0</v>
      </c>
      <c r="G154" s="21" t="n">
        <v>1.133562E8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340.0</v>
      </c>
      <c r="F155" s="26" t="n">
        <f>0</f>
        <v>0.0</v>
      </c>
      <c r="G155" s="25" t="n">
        <v>3.3618325E8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169.0</v>
      </c>
      <c r="F156" s="18" t="n">
        <f>0</f>
        <v>0.0</v>
      </c>
      <c r="G156" s="17" t="n">
        <v>1.676061E8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766.0</v>
      </c>
      <c r="F157" s="22" t="n">
        <f>0</f>
        <v>0.0</v>
      </c>
      <c r="G157" s="21" t="n">
        <v>7.564077E8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1262.0</v>
      </c>
      <c r="F158" s="22" t="n">
        <f>0</f>
        <v>0.0</v>
      </c>
      <c r="G158" s="21" t="n">
        <v>1.2407153E9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2197.0</v>
      </c>
      <c r="F159" s="26" t="n">
        <f>0</f>
        <v>0.0</v>
      </c>
      <c r="G159" s="25" t="n">
        <v>2.1647291E9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44.0</v>
      </c>
      <c r="F168" s="18" t="n">
        <f>0</f>
        <v>0.0</v>
      </c>
      <c r="G168" s="17" t="n">
        <v>8.96415E7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134.0</v>
      </c>
      <c r="F169" s="22" t="n">
        <f>1</f>
        <v>1.0</v>
      </c>
      <c r="G169" s="21" t="n">
        <v>2.721425E8</v>
      </c>
      <c r="H169" s="22" t="n">
        <f>2022000</f>
        <v>2022000.0</v>
      </c>
    </row>
    <row r="170" spans="1:8" ht="24.9" customHeight="1">
      <c r="A170" s="51"/>
      <c r="B170" s="57"/>
      <c r="C170" s="39"/>
      <c r="D170" s="20" t="s">
        <v>17</v>
      </c>
      <c r="E170" s="21" t="n">
        <v>225.0</v>
      </c>
      <c r="F170" s="22" t="n">
        <f>0</f>
        <v>0.0</v>
      </c>
      <c r="G170" s="21" t="n">
        <v>4.581895E8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403.0</v>
      </c>
      <c r="F171" s="26" t="n">
        <f>1</f>
        <v>1.0</v>
      </c>
      <c r="G171" s="25" t="n">
        <v>8.199735E8</v>
      </c>
      <c r="H171" s="26" t="n">
        <f>2022000</f>
        <v>2022000.0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26.0</v>
      </c>
      <c r="F177" s="22" t="n">
        <f>0</f>
        <v>0.0</v>
      </c>
      <c r="G177" s="21" t="n">
        <v>4.5544E7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24.0</v>
      </c>
      <c r="F178" s="22" t="n">
        <f>0</f>
        <v>0.0</v>
      </c>
      <c r="G178" s="21" t="n">
        <v>4.1814E7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50.0</v>
      </c>
      <c r="F179" s="26" t="n">
        <f>0</f>
        <v>0.0</v>
      </c>
      <c r="G179" s="25" t="n">
        <v>8.7358E7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220.0</v>
      </c>
      <c r="F204" s="18" t="n">
        <f>0</f>
        <v>0.0</v>
      </c>
      <c r="G204" s="17" t="n">
        <v>9.101195E8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326.0</v>
      </c>
      <c r="F205" s="22" t="n">
        <f>0</f>
        <v>0.0</v>
      </c>
      <c r="G205" s="21" t="n">
        <v>1.3369115E9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1294.0</v>
      </c>
      <c r="F206" s="22" t="n">
        <f>0</f>
        <v>0.0</v>
      </c>
      <c r="G206" s="21" t="n">
        <v>5.361717E9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1840.0</v>
      </c>
      <c r="F207" s="26" t="n">
        <f>0</f>
        <v>0.0</v>
      </c>
      <c r="G207" s="25" t="n">
        <v>7.608748E9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40.0</v>
      </c>
      <c r="F212" s="18" t="n">
        <f>40</f>
        <v>40.0</v>
      </c>
      <c r="G212" s="17" t="n">
        <v>5.04E7</v>
      </c>
      <c r="H212" s="18" t="n">
        <f>50400000</f>
        <v>5.04E7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40.0</v>
      </c>
      <c r="F215" s="26" t="n">
        <f>40</f>
        <v>40.0</v>
      </c>
      <c r="G215" s="25" t="n">
        <v>5.04E7</v>
      </c>
      <c r="H215" s="26" t="n">
        <f>50400000</f>
        <v>5.04E7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30.0</v>
      </c>
      <c r="F224" s="18" t="n">
        <f>30</f>
        <v>30.0</v>
      </c>
      <c r="G224" s="17" t="n">
        <v>2.16612E7</v>
      </c>
      <c r="H224" s="18" t="n">
        <f>21661200</f>
        <v>2.16612E7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30.0</v>
      </c>
      <c r="F227" s="26" t="n">
        <f>30</f>
        <v>30.0</v>
      </c>
      <c r="G227" s="25" t="n">
        <v>2.16612E7</v>
      </c>
      <c r="H227" s="26" t="n">
        <f>21661200</f>
        <v>2.16612E7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2123</f>
        <v>2123.0</v>
      </c>
      <c r="E12" s="35" t="n">
        <f>907</f>
        <v>907.0</v>
      </c>
      <c r="F12" s="17" t="n">
        <f>2042</f>
        <v>2042.0</v>
      </c>
      <c r="G12" s="35" t="n">
        <f>552</f>
        <v>552.0</v>
      </c>
      <c r="H12" s="17" t="n">
        <f>4165</f>
        <v>4165.0</v>
      </c>
      <c r="I12" s="35" t="n">
        <f>1459</f>
        <v>1459.0</v>
      </c>
      <c r="J12" s="17" t="n">
        <f>1631289450</f>
        <v>1.63128945E9</v>
      </c>
      <c r="K12" s="35" t="n">
        <f>1231136450</f>
        <v>1.23113645E9</v>
      </c>
      <c r="L12" s="17" t="n">
        <f>1138701890</f>
        <v>1.13870189E9</v>
      </c>
      <c r="M12" s="35" t="n">
        <f>412364890</f>
        <v>4.1236489E8</v>
      </c>
      <c r="N12" s="17" t="n">
        <f>2769991340</f>
        <v>2.76999134E9</v>
      </c>
      <c r="O12" s="35" t="n">
        <f>1643501340</f>
        <v>1.64350134E9</v>
      </c>
    </row>
    <row r="13" spans="1:15" ht="24.9" customHeight="1">
      <c r="A13" s="38"/>
      <c r="B13" s="62"/>
      <c r="C13" s="20" t="s">
        <v>16</v>
      </c>
      <c r="D13" s="21" t="n">
        <f>7286</f>
        <v>7286.0</v>
      </c>
      <c r="E13" s="36" t="n">
        <f>4791</f>
        <v>4791.0</v>
      </c>
      <c r="F13" s="21" t="n">
        <f>3310</f>
        <v>3310.0</v>
      </c>
      <c r="G13" s="36" t="n">
        <f>1328</f>
        <v>1328.0</v>
      </c>
      <c r="H13" s="21" t="n">
        <f>10596</f>
        <v>10596.0</v>
      </c>
      <c r="I13" s="36" t="n">
        <f>6119</f>
        <v>6119.0</v>
      </c>
      <c r="J13" s="21" t="n">
        <f>6028868520</f>
        <v>6.02886852E9</v>
      </c>
      <c r="K13" s="36" t="n">
        <f>5023413520</f>
        <v>5.02341352E9</v>
      </c>
      <c r="L13" s="21" t="n">
        <f>2517111950</f>
        <v>2.51711195E9</v>
      </c>
      <c r="M13" s="36" t="n">
        <f>1552585950</f>
        <v>1.55258595E9</v>
      </c>
      <c r="N13" s="21" t="n">
        <f>8545980470</f>
        <v>8.54598047E9</v>
      </c>
      <c r="O13" s="36" t="n">
        <f>6575999470</f>
        <v>6.57599947E9</v>
      </c>
    </row>
    <row r="14" spans="1:15" ht="24.9" customHeight="1">
      <c r="A14" s="38"/>
      <c r="B14" s="62"/>
      <c r="C14" s="20" t="s">
        <v>17</v>
      </c>
      <c r="D14" s="21" t="n">
        <f>9392</f>
        <v>9392.0</v>
      </c>
      <c r="E14" s="36" t="n">
        <f>7565</f>
        <v>7565.0</v>
      </c>
      <c r="F14" s="21" t="n">
        <f>5500</f>
        <v>5500.0</v>
      </c>
      <c r="G14" s="36" t="n">
        <f>3903</f>
        <v>3903.0</v>
      </c>
      <c r="H14" s="21" t="n">
        <f>14892</f>
        <v>14892.0</v>
      </c>
      <c r="I14" s="36" t="n">
        <f>11468</f>
        <v>11468.0</v>
      </c>
      <c r="J14" s="21" t="n">
        <f>12372511850</f>
        <v>1.237251185E10</v>
      </c>
      <c r="K14" s="36" t="n">
        <f>11542507850</f>
        <v>1.154250785E10</v>
      </c>
      <c r="L14" s="21" t="n">
        <f>7411292843</f>
        <v>7.411292843E9</v>
      </c>
      <c r="M14" s="36" t="n">
        <f>6179732843</f>
        <v>6.179732843E9</v>
      </c>
      <c r="N14" s="21" t="n">
        <f>19783804693</f>
        <v>1.9783804693E10</v>
      </c>
      <c r="O14" s="36" t="n">
        <f>17722240693</f>
        <v>1.7722240693E10</v>
      </c>
    </row>
    <row r="15" spans="1:15" ht="24.9" customHeight="1">
      <c r="A15" s="38"/>
      <c r="B15" s="62"/>
      <c r="C15" s="24" t="s">
        <v>18</v>
      </c>
      <c r="D15" s="25" t="n">
        <f>18801</f>
        <v>18801.0</v>
      </c>
      <c r="E15" s="37" t="n">
        <f>13263</f>
        <v>13263.0</v>
      </c>
      <c r="F15" s="25" t="n">
        <f>10852</f>
        <v>10852.0</v>
      </c>
      <c r="G15" s="37" t="n">
        <f>5783</f>
        <v>5783.0</v>
      </c>
      <c r="H15" s="25" t="n">
        <f>29653</f>
        <v>29653.0</v>
      </c>
      <c r="I15" s="37" t="n">
        <f>19046</f>
        <v>19046.0</v>
      </c>
      <c r="J15" s="25" t="n">
        <f>20032669820</f>
        <v>2.003266982E10</v>
      </c>
      <c r="K15" s="37" t="n">
        <f>17797057820</f>
        <v>1.779705782E10</v>
      </c>
      <c r="L15" s="25" t="n">
        <f>11067106683</f>
        <v>1.1067106683E10</v>
      </c>
      <c r="M15" s="37" t="n">
        <f>8144683683</f>
        <v>8.144683683E9</v>
      </c>
      <c r="N15" s="25" t="n">
        <f>31099776503</f>
        <v>3.1099776503E10</v>
      </c>
      <c r="O15" s="37" t="n">
        <f>25941741503</f>
        <v>2.5941741503E10</v>
      </c>
    </row>
    <row r="16" spans="1:15" ht="24.9" customHeight="1">
      <c r="A16" s="38"/>
      <c r="B16" s="61" t="s">
        <v>105</v>
      </c>
      <c r="C16" s="16" t="s">
        <v>15</v>
      </c>
      <c r="D16" s="17" t="n">
        <f>7996</f>
        <v>7996.0</v>
      </c>
      <c r="E16" s="35" t="n">
        <f>960</f>
        <v>960.0</v>
      </c>
      <c r="F16" s="17" t="n">
        <f>2590</f>
        <v>2590.0</v>
      </c>
      <c r="G16" s="35" t="n">
        <f>40</f>
        <v>40.0</v>
      </c>
      <c r="H16" s="17" t="n">
        <f>10586</f>
        <v>10586.0</v>
      </c>
      <c r="I16" s="35" t="n">
        <f>1000</f>
        <v>1000.0</v>
      </c>
      <c r="J16" s="17" t="n">
        <f>208971200</f>
        <v>2.089712E8</v>
      </c>
      <c r="K16" s="35" t="n">
        <f>8893500</f>
        <v>8893500.0</v>
      </c>
      <c r="L16" s="17" t="n">
        <f>391606070</f>
        <v>3.9160607E8</v>
      </c>
      <c r="M16" s="35" t="n">
        <f>1656670</f>
        <v>1656670.0</v>
      </c>
      <c r="N16" s="17" t="n">
        <f>600577270</f>
        <v>6.0057727E8</v>
      </c>
      <c r="O16" s="35" t="n">
        <f>10550170</f>
        <v>1.055017E7</v>
      </c>
    </row>
    <row r="17" spans="1:15" ht="24.9" customHeight="1">
      <c r="A17" s="38"/>
      <c r="B17" s="62"/>
      <c r="C17" s="20" t="s">
        <v>16</v>
      </c>
      <c r="D17" s="21" t="n">
        <f>7619</f>
        <v>7619.0</v>
      </c>
      <c r="E17" s="36" t="n">
        <f>970</f>
        <v>970.0</v>
      </c>
      <c r="F17" s="21" t="n">
        <f>4636</f>
        <v>4636.0</v>
      </c>
      <c r="G17" s="36" t="n">
        <f>220</f>
        <v>220.0</v>
      </c>
      <c r="H17" s="21" t="n">
        <f>12255</f>
        <v>12255.0</v>
      </c>
      <c r="I17" s="36" t="n">
        <f>1190</f>
        <v>1190.0</v>
      </c>
      <c r="J17" s="21" t="n">
        <f>173876400</f>
        <v>1.738764E8</v>
      </c>
      <c r="K17" s="36" t="n">
        <f>12566700</f>
        <v>1.25667E7</v>
      </c>
      <c r="L17" s="21" t="n">
        <f>184866000</f>
        <v>1.84866E8</v>
      </c>
      <c r="M17" s="36" t="n">
        <f>14398600</f>
        <v>1.43986E7</v>
      </c>
      <c r="N17" s="21" t="n">
        <f>358742400</f>
        <v>3.587424E8</v>
      </c>
      <c r="O17" s="36" t="n">
        <f>26965300</f>
        <v>2.69653E7</v>
      </c>
    </row>
    <row r="18" spans="1:15" ht="24.9" customHeight="1">
      <c r="A18" s="38"/>
      <c r="B18" s="62"/>
      <c r="C18" s="20" t="s">
        <v>17</v>
      </c>
      <c r="D18" s="21" t="n">
        <f>6407</f>
        <v>6407.0</v>
      </c>
      <c r="E18" s="36" t="n">
        <f>680</f>
        <v>680.0</v>
      </c>
      <c r="F18" s="21" t="n">
        <f>3636</f>
        <v>3636.0</v>
      </c>
      <c r="G18" s="36" t="n">
        <f>110</f>
        <v>110.0</v>
      </c>
      <c r="H18" s="21" t="n">
        <f>10043</f>
        <v>10043.0</v>
      </c>
      <c r="I18" s="36" t="n">
        <f>790</f>
        <v>790.0</v>
      </c>
      <c r="J18" s="21" t="n">
        <f>129439050</f>
        <v>1.2943905E8</v>
      </c>
      <c r="K18" s="36" t="n">
        <f>3112350</f>
        <v>3112350.0</v>
      </c>
      <c r="L18" s="21" t="n">
        <f>124367540</f>
        <v>1.2436754E8</v>
      </c>
      <c r="M18" s="36" t="n">
        <f>820940</f>
        <v>820940.0</v>
      </c>
      <c r="N18" s="21" t="n">
        <f>253806590</f>
        <v>2.5380659E8</v>
      </c>
      <c r="O18" s="36" t="n">
        <f>3933290</f>
        <v>3933290.0</v>
      </c>
    </row>
    <row r="19" spans="1:15" ht="24.9" customHeight="1">
      <c r="A19" s="38"/>
      <c r="B19" s="62"/>
      <c r="C19" s="24" t="s">
        <v>18</v>
      </c>
      <c r="D19" s="25" t="n">
        <f>22022</f>
        <v>22022.0</v>
      </c>
      <c r="E19" s="37" t="n">
        <f>2610</f>
        <v>2610.0</v>
      </c>
      <c r="F19" s="25" t="n">
        <f>10862</f>
        <v>10862.0</v>
      </c>
      <c r="G19" s="37" t="n">
        <f>370</f>
        <v>370.0</v>
      </c>
      <c r="H19" s="25" t="n">
        <f>32884</f>
        <v>32884.0</v>
      </c>
      <c r="I19" s="37" t="n">
        <f>2980</f>
        <v>2980.0</v>
      </c>
      <c r="J19" s="25" t="n">
        <f>512286650</f>
        <v>5.1228665E8</v>
      </c>
      <c r="K19" s="37" t="n">
        <f>24572550</f>
        <v>2.457255E7</v>
      </c>
      <c r="L19" s="25" t="n">
        <f>700839610</f>
        <v>7.0083961E8</v>
      </c>
      <c r="M19" s="37" t="n">
        <f>16876210</f>
        <v>1.687621E7</v>
      </c>
      <c r="N19" s="25" t="n">
        <f>1213126260</f>
        <v>1.21312626E9</v>
      </c>
      <c r="O19" s="37" t="n">
        <f>41448760</f>
        <v>4.144876E7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30</f>
        <v>30.0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30</f>
        <v>30.0</v>
      </c>
      <c r="I21" s="36" t="n">
        <f>0</f>
        <v>0.0</v>
      </c>
      <c r="J21" s="21" t="n">
        <f>39150000</f>
        <v>3.915E7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39150000</f>
        <v>3.915E7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0</f>
        <v>0.0</v>
      </c>
      <c r="E22" s="36" t="n">
        <f>0</f>
        <v>0.0</v>
      </c>
      <c r="F22" s="21" t="n">
        <f>10</f>
        <v>10.0</v>
      </c>
      <c r="G22" s="36" t="n">
        <f>0</f>
        <v>0.0</v>
      </c>
      <c r="H22" s="21" t="n">
        <f>10</f>
        <v>10.0</v>
      </c>
      <c r="I22" s="36" t="n">
        <f>0</f>
        <v>0.0</v>
      </c>
      <c r="J22" s="21" t="n">
        <f>0</f>
        <v>0.0</v>
      </c>
      <c r="K22" s="36" t="n">
        <f>0</f>
        <v>0.0</v>
      </c>
      <c r="L22" s="21" t="n">
        <f>3550000</f>
        <v>3550000.0</v>
      </c>
      <c r="M22" s="36" t="n">
        <f>0</f>
        <v>0.0</v>
      </c>
      <c r="N22" s="21" t="n">
        <f>3550000</f>
        <v>3550000.0</v>
      </c>
      <c r="O22" s="36" t="n">
        <f>0</f>
        <v>0.0</v>
      </c>
    </row>
    <row r="23" spans="1:15" ht="24.9" customHeight="1">
      <c r="A23" s="38"/>
      <c r="B23" s="62"/>
      <c r="C23" s="24" t="s">
        <v>18</v>
      </c>
      <c r="D23" s="25" t="n">
        <f>30</f>
        <v>30.0</v>
      </c>
      <c r="E23" s="37" t="n">
        <f>0</f>
        <v>0.0</v>
      </c>
      <c r="F23" s="25" t="n">
        <f>10</f>
        <v>10.0</v>
      </c>
      <c r="G23" s="37" t="n">
        <f>0</f>
        <v>0.0</v>
      </c>
      <c r="H23" s="25" t="n">
        <f>40</f>
        <v>40.0</v>
      </c>
      <c r="I23" s="37" t="n">
        <f>0</f>
        <v>0.0</v>
      </c>
      <c r="J23" s="25" t="n">
        <f>39150000</f>
        <v>3.915E7</v>
      </c>
      <c r="K23" s="37" t="n">
        <f>0</f>
        <v>0.0</v>
      </c>
      <c r="L23" s="25" t="n">
        <f>3550000</f>
        <v>3550000.0</v>
      </c>
      <c r="M23" s="37" t="n">
        <f>0</f>
        <v>0.0</v>
      </c>
      <c r="N23" s="25" t="n">
        <f>42700000</f>
        <v>4.27E7</v>
      </c>
      <c r="O23" s="37" t="n">
        <f>0</f>
        <v>0.0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40</f>
        <v>40.0</v>
      </c>
      <c r="E37" s="22" t="n">
        <f>0</f>
        <v>0.0</v>
      </c>
      <c r="F37" s="21" t="n">
        <f>7</f>
        <v>7.0</v>
      </c>
      <c r="G37" s="22" t="n">
        <f>0</f>
        <v>0.0</v>
      </c>
      <c r="H37" s="21" t="n">
        <f>47</f>
        <v>47.0</v>
      </c>
      <c r="I37" s="22" t="n">
        <f>0</f>
        <v>0.0</v>
      </c>
      <c r="J37" s="21" t="n">
        <f>6740000</f>
        <v>6740000.0</v>
      </c>
      <c r="K37" s="22" t="n">
        <f>0</f>
        <v>0.0</v>
      </c>
      <c r="L37" s="21" t="n">
        <f>480000</f>
        <v>480000.0</v>
      </c>
      <c r="M37" s="22" t="n">
        <f>0</f>
        <v>0.0</v>
      </c>
      <c r="N37" s="21" t="n">
        <f>7220000</f>
        <v>7220000.0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20</f>
        <v>20.0</v>
      </c>
      <c r="E38" s="36" t="n">
        <f>0</f>
        <v>0.0</v>
      </c>
      <c r="F38" s="21" t="n">
        <f>40</f>
        <v>40.0</v>
      </c>
      <c r="G38" s="36" t="n">
        <f>0</f>
        <v>0.0</v>
      </c>
      <c r="H38" s="21" t="n">
        <f>60</f>
        <v>60.0</v>
      </c>
      <c r="I38" s="36" t="n">
        <f>0</f>
        <v>0.0</v>
      </c>
      <c r="J38" s="21" t="n">
        <f>2400000</f>
        <v>2400000.0</v>
      </c>
      <c r="K38" s="36" t="n">
        <f>0</f>
        <v>0.0</v>
      </c>
      <c r="L38" s="21" t="n">
        <f>3750000</f>
        <v>3750000.0</v>
      </c>
      <c r="M38" s="36" t="n">
        <f>0</f>
        <v>0.0</v>
      </c>
      <c r="N38" s="21" t="n">
        <f>6150000</f>
        <v>6150000.0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60</f>
        <v>60.0</v>
      </c>
      <c r="E39" s="37" t="n">
        <f>0</f>
        <v>0.0</v>
      </c>
      <c r="F39" s="25" t="n">
        <f>47</f>
        <v>47.0</v>
      </c>
      <c r="G39" s="37" t="n">
        <f>0</f>
        <v>0.0</v>
      </c>
      <c r="H39" s="25" t="n">
        <f>107</f>
        <v>107.0</v>
      </c>
      <c r="I39" s="37" t="n">
        <f>0</f>
        <v>0.0</v>
      </c>
      <c r="J39" s="25" t="n">
        <f>9140000</f>
        <v>9140000.0</v>
      </c>
      <c r="K39" s="37" t="n">
        <f>0</f>
        <v>0.0</v>
      </c>
      <c r="L39" s="25" t="n">
        <f>4230000</f>
        <v>4230000.0</v>
      </c>
      <c r="M39" s="37" t="n">
        <f>0</f>
        <v>0.0</v>
      </c>
      <c r="N39" s="25" t="n">
        <f>13370000</f>
        <v>1.337E7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10006</f>
        <v>10006.0</v>
      </c>
      <c r="E41" s="36" t="n">
        <f>9000</f>
        <v>9000.0</v>
      </c>
      <c r="F41" s="21" t="n">
        <f>18459</f>
        <v>18459.0</v>
      </c>
      <c r="G41" s="36" t="n">
        <f>9000</f>
        <v>9000.0</v>
      </c>
      <c r="H41" s="21" t="n">
        <f>28465</f>
        <v>28465.0</v>
      </c>
      <c r="I41" s="36" t="n">
        <f>18000</f>
        <v>18000.0</v>
      </c>
      <c r="J41" s="21" t="n">
        <f>52141921</f>
        <v>5.2141921E7</v>
      </c>
      <c r="K41" s="36" t="n">
        <f>40050000</f>
        <v>4.005E7</v>
      </c>
      <c r="L41" s="21" t="n">
        <f>93705885</f>
        <v>9.3705885E7</v>
      </c>
      <c r="M41" s="36" t="n">
        <f>36000000</f>
        <v>3.6E7</v>
      </c>
      <c r="N41" s="21" t="n">
        <f>145847806</f>
        <v>1.45847806E8</v>
      </c>
      <c r="O41" s="36" t="n">
        <f>76050000</f>
        <v>7.605E7</v>
      </c>
    </row>
    <row r="42" spans="1:15" ht="24.9" customHeight="1">
      <c r="A42" s="38"/>
      <c r="B42" s="62"/>
      <c r="C42" s="20" t="s">
        <v>17</v>
      </c>
      <c r="D42" s="21" t="n">
        <f>12478</f>
        <v>12478.0</v>
      </c>
      <c r="E42" s="36" t="n">
        <f>5100</f>
        <v>5100.0</v>
      </c>
      <c r="F42" s="21" t="n">
        <f>8274</f>
        <v>8274.0</v>
      </c>
      <c r="G42" s="36" t="n">
        <f>6400</f>
        <v>6400.0</v>
      </c>
      <c r="H42" s="21" t="n">
        <f>20752</f>
        <v>20752.0</v>
      </c>
      <c r="I42" s="36" t="n">
        <f>11500</f>
        <v>11500.0</v>
      </c>
      <c r="J42" s="21" t="n">
        <f>262476210</f>
        <v>2.6247621E8</v>
      </c>
      <c r="K42" s="36" t="n">
        <f>251500000</f>
        <v>2.515E8</v>
      </c>
      <c r="L42" s="21" t="n">
        <f>270450190</f>
        <v>2.7045019E8</v>
      </c>
      <c r="M42" s="36" t="n">
        <f>262650000</f>
        <v>2.6265E8</v>
      </c>
      <c r="N42" s="21" t="n">
        <f>532926400</f>
        <v>5.329264E8</v>
      </c>
      <c r="O42" s="36" t="n">
        <f>514150000</f>
        <v>5.1415E8</v>
      </c>
    </row>
    <row r="43" spans="1:15" ht="24.9" customHeight="1">
      <c r="A43" s="38"/>
      <c r="B43" s="62"/>
      <c r="C43" s="24" t="s">
        <v>18</v>
      </c>
      <c r="D43" s="25" t="n">
        <f>22484</f>
        <v>22484.0</v>
      </c>
      <c r="E43" s="37" t="n">
        <f>14100</f>
        <v>14100.0</v>
      </c>
      <c r="F43" s="25" t="n">
        <f>26733</f>
        <v>26733.0</v>
      </c>
      <c r="G43" s="37" t="n">
        <f>15400</f>
        <v>15400.0</v>
      </c>
      <c r="H43" s="25" t="n">
        <f>49217</f>
        <v>49217.0</v>
      </c>
      <c r="I43" s="37" t="n">
        <f>29500</f>
        <v>29500.0</v>
      </c>
      <c r="J43" s="25" t="n">
        <f>314618131</f>
        <v>3.14618131E8</v>
      </c>
      <c r="K43" s="37" t="n">
        <f>291550000</f>
        <v>2.9155E8</v>
      </c>
      <c r="L43" s="25" t="n">
        <f>364156075</f>
        <v>3.64156075E8</v>
      </c>
      <c r="M43" s="37" t="n">
        <f>298650000</f>
        <v>2.9865E8</v>
      </c>
      <c r="N43" s="25" t="n">
        <f>678774206</f>
        <v>6.78774206E8</v>
      </c>
      <c r="O43" s="37" t="n">
        <f>590200000</f>
        <v>5.902E8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