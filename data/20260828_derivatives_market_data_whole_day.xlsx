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<sst xmlns="http://schemas.openxmlformats.org/spreadsheetml/2006/main" count="528" uniqueCount="129">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</sst>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DATE(2026,08,28)</f>
        <v>46262.0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DATE(2026,08,28)</f>
        <v>46262.0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594935.0</f>
        <v>594935.0</v>
      </c>
      <c r="E12" s="18" t="n">
        <f>36693.0</f>
        <v>36693.0</v>
      </c>
      <c r="F12" s="19" t="n">
        <f>1.0</f>
        <v>1.0</v>
      </c>
      <c r="G12" s="17" t="n">
        <f>3810586568573.0</f>
        <v>3.810586568573E12</v>
      </c>
      <c r="H12" s="18" t="n">
        <f>301172741298.0</f>
        <v>3.01172741298E11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358833.0</f>
        <v>358833.0</v>
      </c>
      <c r="E13" s="22" t="n">
        <f>19197.0</f>
        <v>19197.0</v>
      </c>
      <c r="F13" s="23" t="n">
        <f>1.0</f>
        <v>1.0</v>
      </c>
      <c r="G13" s="21" t="n">
        <f>4449081830480.0</f>
        <v>4.44908183048E12</v>
      </c>
      <c r="H13" s="22" t="n">
        <f>470714287730.0</f>
        <v>4.7071428773E11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368116.0</f>
        <v>368116.0</v>
      </c>
      <c r="E14" s="22" t="n">
        <f>36007.0</f>
        <v>36007.0</v>
      </c>
      <c r="F14" s="23" t="n">
        <f>1.0</f>
        <v>1.0</v>
      </c>
      <c r="G14" s="21" t="n">
        <f>5721443173649.0</f>
        <v>5.721443173649E12</v>
      </c>
      <c r="H14" s="22" t="n">
        <f>1148578492249.0</f>
        <v>1.148578492249E12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1321884.0</f>
        <v>1321884.0</v>
      </c>
      <c r="E15" s="26" t="n">
        <f>91897.0</f>
        <v>91897.0</v>
      </c>
      <c r="F15" s="27" t="n">
        <f>1.0</f>
        <v>1.0</v>
      </c>
      <c r="G15" s="25" t="n">
        <f>13981111572702.0</f>
        <v>1.3981111572702E13</v>
      </c>
      <c r="H15" s="26" t="n">
        <f>1920465521277.0</f>
        <v>1.920465521277E12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9792.0</f>
        <v>9792.0</v>
      </c>
      <c r="E16" s="18" t="n">
        <f>7.0</f>
        <v>7.0</v>
      </c>
      <c r="F16" s="19" t="n">
        <f>0.016</f>
        <v>0.016</v>
      </c>
      <c r="G16" s="17" t="n">
        <f>1165162540625.0</f>
        <v>1.165162540625E12</v>
      </c>
      <c r="H16" s="18" t="n">
        <f>884625000.0</f>
        <v>8.84625E8</v>
      </c>
      <c r="I16" s="19" t="n">
        <f>0.306</f>
        <v>0.306</v>
      </c>
    </row>
    <row r="17" spans="1:9" ht="24.9" customHeight="1">
      <c r="A17" s="41"/>
      <c r="B17" s="39"/>
      <c r="C17" s="20" t="s">
        <v>16</v>
      </c>
      <c r="D17" s="21" t="n">
        <f>20442.0</f>
        <v>20442.0</v>
      </c>
      <c r="E17" s="22" t="n">
        <f>1829.0</f>
        <v>1829.0</v>
      </c>
      <c r="F17" s="23" t="n">
        <f>0.057</f>
        <v>0.057</v>
      </c>
      <c r="G17" s="21" t="n">
        <f>2257478134750.0</f>
        <v>2.25747813475E12</v>
      </c>
      <c r="H17" s="22" t="n">
        <f>230877705000.0</f>
        <v>2.30877705E11</v>
      </c>
      <c r="I17" s="23" t="n">
        <f>0.507</f>
        <v>0.507</v>
      </c>
    </row>
    <row r="18" spans="1:9" ht="24.9" customHeight="1">
      <c r="A18" s="41"/>
      <c r="B18" s="39"/>
      <c r="C18" s="20" t="s">
        <v>17</v>
      </c>
      <c r="D18" s="21" t="n">
        <f>20303.0</f>
        <v>20303.0</v>
      </c>
      <c r="E18" s="22" t="n">
        <f>2622.0</f>
        <v>2622.0</v>
      </c>
      <c r="F18" s="23" t="n">
        <f>0.055</f>
        <v>0.055</v>
      </c>
      <c r="G18" s="21" t="n">
        <f>2392716858750.0</f>
        <v>2.39271685875E12</v>
      </c>
      <c r="H18" s="22" t="n">
        <f>330278105000.0</f>
        <v>3.30278105E11</v>
      </c>
      <c r="I18" s="23" t="n">
        <f>0.418</f>
        <v>0.418</v>
      </c>
    </row>
    <row r="19" spans="1:9" ht="24.9" customHeight="1">
      <c r="A19" s="41"/>
      <c r="B19" s="39"/>
      <c r="C19" s="24" t="s">
        <v>18</v>
      </c>
      <c r="D19" s="25" t="n">
        <f>50537.0</f>
        <v>50537.0</v>
      </c>
      <c r="E19" s="26" t="n">
        <f>4458.0</f>
        <v>4458.0</v>
      </c>
      <c r="F19" s="27" t="n">
        <f>0.038</f>
        <v>0.038</v>
      </c>
      <c r="G19" s="25" t="n">
        <f>5815357534125.0</f>
        <v>5.815357534125E12</v>
      </c>
      <c r="H19" s="26" t="n">
        <f>562040435000.0</f>
        <v>5.62040435E11</v>
      </c>
      <c r="I19" s="27" t="n">
        <f>0.416</f>
        <v>0.416</v>
      </c>
    </row>
    <row r="20" spans="1:9" ht="24.9" customHeight="1">
      <c r="A20" s="41"/>
      <c r="B20" s="39" t="s">
        <v>21</v>
      </c>
      <c r="C20" s="16" t="s">
        <v>15</v>
      </c>
      <c r="D20" s="17" t="n">
        <f>573338.0</f>
        <v>573338.0</v>
      </c>
      <c r="E20" s="18" t="n">
        <f>36686.0</f>
        <v>36686.0</v>
      </c>
      <c r="F20" s="19" t="n">
        <f>0.964</f>
        <v>0.964</v>
      </c>
      <c r="G20" s="17" t="n">
        <f>2509202361098.0</f>
        <v>2.509202361098E12</v>
      </c>
      <c r="H20" s="18" t="n">
        <f>300288116298.0</f>
        <v>3.00288116298E11</v>
      </c>
      <c r="I20" s="19" t="n">
        <f>0.658</f>
        <v>0.658</v>
      </c>
    </row>
    <row r="21" spans="1:9" ht="24.9" customHeight="1">
      <c r="A21" s="41"/>
      <c r="B21" s="39"/>
      <c r="C21" s="20" t="s">
        <v>16</v>
      </c>
      <c r="D21" s="21" t="n">
        <f>331673.0</f>
        <v>331673.0</v>
      </c>
      <c r="E21" s="22" t="n">
        <f>17368.0</f>
        <v>17368.0</v>
      </c>
      <c r="F21" s="23" t="n">
        <f>0.924</f>
        <v>0.924</v>
      </c>
      <c r="G21" s="21" t="n">
        <f>2122850302530.0</f>
        <v>2.12285030253E12</v>
      </c>
      <c r="H21" s="22" t="n">
        <f>239836582730.0</f>
        <v>2.3983658273E11</v>
      </c>
      <c r="I21" s="23" t="n">
        <f>0.477</f>
        <v>0.477</v>
      </c>
    </row>
    <row r="22" spans="1:9" ht="24.9" customHeight="1">
      <c r="A22" s="41"/>
      <c r="B22" s="39"/>
      <c r="C22" s="20" t="s">
        <v>17</v>
      </c>
      <c r="D22" s="21" t="n">
        <f>337656.0</f>
        <v>337656.0</v>
      </c>
      <c r="E22" s="22" t="n">
        <f>33355.0</f>
        <v>33355.0</v>
      </c>
      <c r="F22" s="23" t="n">
        <f>0.917</f>
        <v>0.917</v>
      </c>
      <c r="G22" s="21" t="n">
        <f>3242559247049.0</f>
        <v>3.242559247049E12</v>
      </c>
      <c r="H22" s="22" t="n">
        <f>818185157249.0</f>
        <v>8.18185157249E11</v>
      </c>
      <c r="I22" s="23" t="n">
        <f>0.567</f>
        <v>0.567</v>
      </c>
    </row>
    <row r="23" spans="1:9" ht="24.9" customHeight="1">
      <c r="A23" s="41"/>
      <c r="B23" s="39"/>
      <c r="C23" s="24" t="s">
        <v>18</v>
      </c>
      <c r="D23" s="25" t="n">
        <f>1242667.0</f>
        <v>1242667.0</v>
      </c>
      <c r="E23" s="26" t="n">
        <f>87409.0</f>
        <v>87409.0</v>
      </c>
      <c r="F23" s="27" t="n">
        <f>0.94</f>
        <v>0.94</v>
      </c>
      <c r="G23" s="25" t="n">
        <f>7874611910677.0</f>
        <v>7.874611910677E12</v>
      </c>
      <c r="H23" s="26" t="n">
        <f>1358309856277.0</f>
        <v>1.358309856277E12</v>
      </c>
      <c r="I23" s="27" t="n">
        <f>0.563</f>
        <v>0.563</v>
      </c>
    </row>
    <row r="24" spans="1:9" ht="24.9" customHeight="1">
      <c r="A24" s="41"/>
      <c r="B24" s="39" t="s">
        <v>22</v>
      </c>
      <c r="C24" s="16" t="s">
        <v>15</v>
      </c>
      <c r="D24" s="17" t="n">
        <f>10597.0</f>
        <v>10597.0</v>
      </c>
      <c r="E24" s="18" t="n">
        <f>0.0</f>
        <v>0.0</v>
      </c>
      <c r="F24" s="19" t="n">
        <f>0.018</f>
        <v>0.018</v>
      </c>
      <c r="G24" s="17" t="n">
        <f>131616578850.0</f>
        <v>1.3161657885E11</v>
      </c>
      <c r="H24" s="18" t="n">
        <f>0.0</f>
        <v>0.0</v>
      </c>
      <c r="I24" s="19" t="n">
        <f>0.035</f>
        <v>0.035</v>
      </c>
    </row>
    <row r="25" spans="1:9" ht="24.9" customHeight="1">
      <c r="A25" s="41"/>
      <c r="B25" s="39"/>
      <c r="C25" s="20" t="s">
        <v>16</v>
      </c>
      <c r="D25" s="21" t="n">
        <f>6618.0</f>
        <v>6618.0</v>
      </c>
      <c r="E25" s="22" t="n">
        <f>0.0</f>
        <v>0.0</v>
      </c>
      <c r="F25" s="23" t="n">
        <f>0.018</f>
        <v>0.018</v>
      </c>
      <c r="G25" s="21" t="n">
        <f>68366425200.0</f>
        <v>6.83664252E10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9087.0</f>
        <v>9087.0</v>
      </c>
      <c r="E26" s="22" t="n">
        <f>0.0</f>
        <v>0.0</v>
      </c>
      <c r="F26" s="23" t="n">
        <f>0.025</f>
        <v>0.025</v>
      </c>
      <c r="G26" s="21" t="n">
        <f>82101446850.0</f>
        <v>8.210144685E10</v>
      </c>
      <c r="H26" s="22" t="n">
        <f>0.0</f>
        <v>0.0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26302.0</f>
        <v>26302.0</v>
      </c>
      <c r="E27" s="26" t="n">
        <f>0.0</f>
        <v>0.0</v>
      </c>
      <c r="F27" s="27" t="n">
        <f>0.02</f>
        <v>0.02</v>
      </c>
      <c r="G27" s="25" t="n">
        <f>282084450900.0</f>
        <v>2.820844509E11</v>
      </c>
      <c r="H27" s="26" t="n">
        <f>0.0</f>
        <v>0.0</v>
      </c>
      <c r="I27" s="27" t="n">
        <f>0.02</f>
        <v>0.02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1208.0</f>
        <v>1208.0</v>
      </c>
      <c r="E28" s="18" t="n">
        <f>0.0</f>
        <v>0.0</v>
      </c>
      <c r="F28" s="19" t="n">
        <f>0.002</f>
        <v>0.002</v>
      </c>
      <c r="G28" s="17" t="n">
        <f>4605088000.0</f>
        <v>4.605088E9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100.0</f>
        <v>100.0</v>
      </c>
      <c r="E29" s="22" t="n">
        <f>0.0</f>
        <v>0.0</v>
      </c>
      <c r="F29" s="23" t="n">
        <f>0.0</f>
        <v>0.0</v>
      </c>
      <c r="G29" s="21" t="n">
        <f>386968000.0</f>
        <v>3.86968E8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1070.0</f>
        <v>1070.0</v>
      </c>
      <c r="E30" s="22" t="n">
        <f>30.0</f>
        <v>30.0</v>
      </c>
      <c r="F30" s="23" t="n">
        <f>0.003</f>
        <v>0.003</v>
      </c>
      <c r="G30" s="21" t="n">
        <f>4065621000.0</f>
        <v>4.065621E9</v>
      </c>
      <c r="H30" s="22" t="n">
        <f>115230000.0</f>
        <v>1.1523E8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2378.0</f>
        <v>2378.0</v>
      </c>
      <c r="E31" s="26" t="n">
        <f>30.0</f>
        <v>30.0</v>
      </c>
      <c r="F31" s="27" t="n">
        <f>0.002</f>
        <v>0.002</v>
      </c>
      <c r="G31" s="25" t="n">
        <f>9057677000.0</f>
        <v>9.057677E9</v>
      </c>
      <c r="H31" s="26" t="n">
        <f>115230000.0</f>
        <v>1.1523E8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16421</f>
        <v>16421.0</v>
      </c>
      <c r="E11" s="18" t="n">
        <f>5011</f>
        <v>5011.0</v>
      </c>
      <c r="F11" s="19" t="n">
        <f>1</f>
        <v>1.0</v>
      </c>
      <c r="G11" s="17" t="n">
        <f>4591943730</f>
        <v>4.59194373E9</v>
      </c>
      <c r="H11" s="18" t="n">
        <f>3269315730</f>
        <v>3.26931573E9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27653</f>
        <v>27653.0</v>
      </c>
      <c r="E12" s="22" t="n">
        <f>4634</f>
        <v>4634.0</v>
      </c>
      <c r="F12" s="23" t="n">
        <f>1</f>
        <v>1.0</v>
      </c>
      <c r="G12" s="21" t="n">
        <f>9452381248</f>
        <v>9.452381248E9</v>
      </c>
      <c r="H12" s="22" t="n">
        <f>7847224990</f>
        <v>7.84722499E9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54599</f>
        <v>54599.0</v>
      </c>
      <c r="E13" s="22" t="n">
        <f>31825</f>
        <v>31825.0</v>
      </c>
      <c r="F13" s="23" t="n">
        <f>1</f>
        <v>1.0</v>
      </c>
      <c r="G13" s="21" t="n">
        <f>23568956819</f>
        <v>2.3568956819E10</v>
      </c>
      <c r="H13" s="22" t="n">
        <f>20841805763</f>
        <v>2.0841805763E10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98673</f>
        <v>98673.0</v>
      </c>
      <c r="E14" s="26" t="n">
        <f>41470</f>
        <v>41470.0</v>
      </c>
      <c r="F14" s="27" t="n">
        <f>1</f>
        <v>1.0</v>
      </c>
      <c r="G14" s="25" t="n">
        <f>37613281797</f>
        <v>3.7613281797E10</v>
      </c>
      <c r="H14" s="26" t="n">
        <f>31958346483</f>
        <v>3.1958346483E10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72</f>
        <v>72.0</v>
      </c>
      <c r="E16" s="22" t="n">
        <f>0</f>
        <v>0.0</v>
      </c>
      <c r="F16" s="23" t="n">
        <f>0.003</f>
        <v>0.003</v>
      </c>
      <c r="G16" s="21" t="n">
        <f>10530000</f>
        <v>1.053E7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318</f>
        <v>318.0</v>
      </c>
      <c r="E17" s="22" t="n">
        <f>0</f>
        <v>0.0</v>
      </c>
      <c r="F17" s="23" t="n">
        <f>0.006</f>
        <v>0.006</v>
      </c>
      <c r="G17" s="21" t="n">
        <f>31680000</f>
        <v>3.168E7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390</f>
        <v>390.0</v>
      </c>
      <c r="E18" s="26" t="n">
        <f>0</f>
        <v>0.0</v>
      </c>
      <c r="F18" s="27" t="n">
        <f>0.004</f>
        <v>0.004</v>
      </c>
      <c r="G18" s="25" t="n">
        <f>42210000</f>
        <v>4.221E7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16421</f>
        <v>16421.0</v>
      </c>
      <c r="E19" s="18" t="n">
        <f>5011</f>
        <v>5011.0</v>
      </c>
      <c r="F19" s="19" t="n">
        <f>1</f>
        <v>1.0</v>
      </c>
      <c r="G19" s="17" t="n">
        <f>4591943730</f>
        <v>4.59194373E9</v>
      </c>
      <c r="H19" s="18" t="n">
        <f>3269315730</f>
        <v>3.26931573E9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18481</f>
        <v>18481.0</v>
      </c>
      <c r="E20" s="22" t="n">
        <f>4114</f>
        <v>4114.0</v>
      </c>
      <c r="F20" s="23" t="n">
        <f>0.668</f>
        <v>0.668</v>
      </c>
      <c r="G20" s="21" t="n">
        <f>9340393990</f>
        <v>9.34039399E9</v>
      </c>
      <c r="H20" s="22" t="n">
        <f>7841579990</f>
        <v>7.84157999E9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43602</f>
        <v>43602.0</v>
      </c>
      <c r="E21" s="22" t="n">
        <f>23490</f>
        <v>23490.0</v>
      </c>
      <c r="F21" s="23" t="n">
        <f>0.799</f>
        <v>0.799</v>
      </c>
      <c r="G21" s="21" t="n">
        <f>23366319563</f>
        <v>2.3366319563E10</v>
      </c>
      <c r="H21" s="22" t="n">
        <f>20676555763</f>
        <v>2.0676555763E10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78504</f>
        <v>78504.0</v>
      </c>
      <c r="E22" s="26" t="n">
        <f>32615</f>
        <v>32615.0</v>
      </c>
      <c r="F22" s="27" t="n">
        <f>0.796</f>
        <v>0.796</v>
      </c>
      <c r="G22" s="25" t="n">
        <f>37298657283</f>
        <v>3.7298657283E10</v>
      </c>
      <c r="H22" s="26" t="n">
        <f>31787451483</f>
        <v>3.1787451483E10</v>
      </c>
      <c r="I22" s="27" t="n">
        <f>0.992</f>
        <v>0.992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9100</f>
        <v>9100.0</v>
      </c>
      <c r="E24" s="22" t="n">
        <f>520</f>
        <v>520.0</v>
      </c>
      <c r="F24" s="23" t="n">
        <f>0.329</f>
        <v>0.329</v>
      </c>
      <c r="G24" s="21" t="n">
        <f>101457258</f>
        <v>1.01457258E8</v>
      </c>
      <c r="H24" s="22" t="n">
        <f>5645000</f>
        <v>5645000.0</v>
      </c>
      <c r="I24" s="23" t="n">
        <f>0.011</f>
        <v>0.011</v>
      </c>
    </row>
    <row r="25" spans="1:9" ht="24.9" customHeight="1">
      <c r="A25" s="41"/>
      <c r="B25" s="39"/>
      <c r="C25" s="20" t="s">
        <v>17</v>
      </c>
      <c r="D25" s="21" t="n">
        <f>10679</f>
        <v>10679.0</v>
      </c>
      <c r="E25" s="22" t="n">
        <f>8335</f>
        <v>8335.0</v>
      </c>
      <c r="F25" s="23" t="n">
        <f>0.196</f>
        <v>0.196</v>
      </c>
      <c r="G25" s="21" t="n">
        <f>170957256</f>
        <v>1.70957256E8</v>
      </c>
      <c r="H25" s="22" t="n">
        <f>165250000</f>
        <v>1.6525E8</v>
      </c>
      <c r="I25" s="23" t="n">
        <f>0.007</f>
        <v>0.007</v>
      </c>
    </row>
    <row r="26" spans="1:9" ht="24.9" customHeight="1">
      <c r="A26" s="41"/>
      <c r="B26" s="39"/>
      <c r="C26" s="24" t="s">
        <v>18</v>
      </c>
      <c r="D26" s="25" t="n">
        <f>19779</f>
        <v>19779.0</v>
      </c>
      <c r="E26" s="26" t="n">
        <f>8855</f>
        <v>8855.0</v>
      </c>
      <c r="F26" s="27" t="n">
        <f>0.2</f>
        <v>0.2</v>
      </c>
      <c r="G26" s="25" t="n">
        <f>272414514</f>
        <v>2.72414514E8</v>
      </c>
      <c r="H26" s="26" t="n">
        <f>170895000</f>
        <v>1.70895E8</v>
      </c>
      <c r="I26" s="27" t="n">
        <f>0.007</f>
        <v>0.007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6455.0</v>
      </c>
      <c r="F12" s="18" t="n">
        <f>1051</f>
        <v>1051.0</v>
      </c>
      <c r="G12" s="17" t="n">
        <v>4.270536872E11</v>
      </c>
      <c r="H12" s="18" t="n">
        <f>69638996200</f>
        <v>6.96389962E10</v>
      </c>
    </row>
    <row r="13" spans="1:8" ht="24.9" customHeight="1">
      <c r="A13" s="51"/>
      <c r="B13" s="57"/>
      <c r="C13" s="39"/>
      <c r="D13" s="20" t="s">
        <v>16</v>
      </c>
      <c r="E13" s="21" t="n">
        <v>7629.0</v>
      </c>
      <c r="F13" s="22" t="n">
        <f>1879</f>
        <v>1879.0</v>
      </c>
      <c r="G13" s="21" t="n">
        <v>5.0657950018E11</v>
      </c>
      <c r="H13" s="22" t="n">
        <f>124710596180</f>
        <v>1.2471059618E11</v>
      </c>
    </row>
    <row r="14" spans="1:8" ht="24.9" customHeight="1">
      <c r="A14" s="51"/>
      <c r="B14" s="57"/>
      <c r="C14" s="39"/>
      <c r="D14" s="20" t="s">
        <v>17</v>
      </c>
      <c r="E14" s="21" t="n">
        <v>12776.0</v>
      </c>
      <c r="F14" s="22" t="n">
        <f>4612</f>
        <v>4612.0</v>
      </c>
      <c r="G14" s="21" t="n">
        <v>8.49662641661E11</v>
      </c>
      <c r="H14" s="22" t="n">
        <f>306551721661</f>
        <v>3.06551721661E11</v>
      </c>
    </row>
    <row r="15" spans="1:8" ht="24.9" customHeight="1">
      <c r="A15" s="51"/>
      <c r="B15" s="57"/>
      <c r="C15" s="39"/>
      <c r="D15" s="24" t="s">
        <v>18</v>
      </c>
      <c r="E15" s="25" t="n">
        <v>26860.0</v>
      </c>
      <c r="F15" s="26" t="n">
        <f>7542</f>
        <v>7542.0</v>
      </c>
      <c r="G15" s="25" t="n">
        <v>1.783295829041E12</v>
      </c>
      <c r="H15" s="26" t="n">
        <f>500901314041</f>
        <v>5.00901314041E11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223381.0</v>
      </c>
      <c r="F16" s="18" t="n">
        <f>32906</f>
        <v>32906.0</v>
      </c>
      <c r="G16" s="17" t="n">
        <v>1.47675589442E12</v>
      </c>
      <c r="H16" s="18" t="n">
        <f>217562891420</f>
        <v>2.1756289142E11</v>
      </c>
    </row>
    <row r="17" spans="1:8" ht="24.9" customHeight="1">
      <c r="A17" s="51"/>
      <c r="B17" s="57"/>
      <c r="C17" s="39"/>
      <c r="D17" s="20" t="s">
        <v>16</v>
      </c>
      <c r="E17" s="21" t="n">
        <v>134366.0</v>
      </c>
      <c r="F17" s="22" t="n">
        <f>13994</f>
        <v>13994.0</v>
      </c>
      <c r="G17" s="21" t="n">
        <v>8.9258307572E11</v>
      </c>
      <c r="H17" s="22" t="n">
        <f>92963448620</f>
        <v>9.296344862E10</v>
      </c>
    </row>
    <row r="18" spans="1:8" ht="24.9" customHeight="1">
      <c r="A18" s="51"/>
      <c r="B18" s="57"/>
      <c r="C18" s="39"/>
      <c r="D18" s="20" t="s">
        <v>17</v>
      </c>
      <c r="E18" s="21" t="n">
        <v>128445.0</v>
      </c>
      <c r="F18" s="22" t="n">
        <f>13153</f>
        <v>13153.0</v>
      </c>
      <c r="G18" s="21" t="n">
        <v>8.5479743378E11</v>
      </c>
      <c r="H18" s="22" t="n">
        <f>87547356780</f>
        <v>8.754735678E10</v>
      </c>
    </row>
    <row r="19" spans="1:8" ht="24.9" customHeight="1">
      <c r="A19" s="51"/>
      <c r="B19" s="57"/>
      <c r="C19" s="39"/>
      <c r="D19" s="24" t="s">
        <v>18</v>
      </c>
      <c r="E19" s="25" t="n">
        <v>486192.0</v>
      </c>
      <c r="F19" s="26" t="n">
        <f>60053</f>
        <v>60053.0</v>
      </c>
      <c r="G19" s="25" t="n">
        <v>3.22413640392E12</v>
      </c>
      <c r="H19" s="26" t="n">
        <f>398073696820</f>
        <v>3.9807369682E11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328039.0</v>
      </c>
      <c r="F20" s="18" t="str">
        <f>"－"</f>
        <v>－</v>
      </c>
      <c r="G20" s="17" t="n">
        <v>2.168748348E11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165325.0</v>
      </c>
      <c r="F21" s="22" t="str">
        <f>"－"</f>
        <v>－</v>
      </c>
      <c r="G21" s="21" t="n">
        <v>1.0979619395E11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148082.0</v>
      </c>
      <c r="F22" s="22" t="str">
        <f>"－"</f>
        <v>－</v>
      </c>
      <c r="G22" s="21" t="n">
        <v>9.85504175E10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641446.0</v>
      </c>
      <c r="F23" s="26" t="str">
        <f>"－"</f>
        <v>－</v>
      </c>
      <c r="G23" s="25" t="n">
        <v>4.2522144625E11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8943.0</v>
      </c>
      <c r="F24" s="18" t="n">
        <f>193</f>
        <v>193.0</v>
      </c>
      <c r="G24" s="17" t="n">
        <v>3.678825087E11</v>
      </c>
      <c r="H24" s="18" t="n">
        <f>7947954700</f>
        <v>7.9479547E9</v>
      </c>
    </row>
    <row r="25" spans="1:8" ht="24.9" customHeight="1">
      <c r="A25" s="51"/>
      <c r="B25" s="57"/>
      <c r="C25" s="39"/>
      <c r="D25" s="20" t="s">
        <v>16</v>
      </c>
      <c r="E25" s="21" t="n">
        <v>14073.0</v>
      </c>
      <c r="F25" s="22" t="n">
        <f>474</f>
        <v>474.0</v>
      </c>
      <c r="G25" s="21" t="n">
        <v>5.829216795E11</v>
      </c>
      <c r="H25" s="22" t="n">
        <f>19537199500</f>
        <v>1.95371995E10</v>
      </c>
    </row>
    <row r="26" spans="1:8" ht="24.9" customHeight="1">
      <c r="A26" s="51"/>
      <c r="B26" s="57"/>
      <c r="C26" s="39"/>
      <c r="D26" s="20" t="s">
        <v>17</v>
      </c>
      <c r="E26" s="21" t="n">
        <v>33668.0</v>
      </c>
      <c r="F26" s="22" t="n">
        <f>9931</f>
        <v>9931.0</v>
      </c>
      <c r="G26" s="21" t="n">
        <v>1.3976154799E12</v>
      </c>
      <c r="H26" s="22" t="n">
        <f>411841702900</f>
        <v>4.118417029E11</v>
      </c>
    </row>
    <row r="27" spans="1:8" ht="24.9" customHeight="1">
      <c r="A27" s="51"/>
      <c r="B27" s="57"/>
      <c r="C27" s="39"/>
      <c r="D27" s="24" t="s">
        <v>18</v>
      </c>
      <c r="E27" s="25" t="n">
        <v>56684.0</v>
      </c>
      <c r="F27" s="26" t="n">
        <f>10598</f>
        <v>10598.0</v>
      </c>
      <c r="G27" s="25" t="n">
        <v>2.3484196681E12</v>
      </c>
      <c r="H27" s="26" t="n">
        <f>439326857100</f>
        <v>4.393268571E11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3571.0</v>
      </c>
      <c r="F28" s="18" t="n">
        <f>222</f>
        <v>222.0</v>
      </c>
      <c r="G28" s="17" t="n">
        <v>1.469064055E10</v>
      </c>
      <c r="H28" s="18" t="n">
        <f>913213050</f>
        <v>9.1321305E8</v>
      </c>
    </row>
    <row r="29" spans="1:8" ht="24.9" customHeight="1">
      <c r="A29" s="51"/>
      <c r="B29" s="57"/>
      <c r="C29" s="39"/>
      <c r="D29" s="20" t="s">
        <v>16</v>
      </c>
      <c r="E29" s="21" t="n">
        <v>5678.0</v>
      </c>
      <c r="F29" s="22" t="n">
        <f>351</f>
        <v>351.0</v>
      </c>
      <c r="G29" s="21" t="n">
        <v>2.34992118E10</v>
      </c>
      <c r="H29" s="22" t="n">
        <f>1452329050</f>
        <v>1.45232905E9</v>
      </c>
    </row>
    <row r="30" spans="1:8" ht="24.9" customHeight="1">
      <c r="A30" s="51"/>
      <c r="B30" s="57"/>
      <c r="C30" s="39"/>
      <c r="D30" s="20" t="s">
        <v>17</v>
      </c>
      <c r="E30" s="21" t="n">
        <v>5608.0</v>
      </c>
      <c r="F30" s="22" t="n">
        <f>244</f>
        <v>244.0</v>
      </c>
      <c r="G30" s="21" t="n">
        <v>2.329315647E10</v>
      </c>
      <c r="H30" s="22" t="n">
        <f>1013769470</f>
        <v>1.01376947E9</v>
      </c>
    </row>
    <row r="31" spans="1:8" ht="24.9" customHeight="1">
      <c r="A31" s="51"/>
      <c r="B31" s="57"/>
      <c r="C31" s="39"/>
      <c r="D31" s="24" t="s">
        <v>18</v>
      </c>
      <c r="E31" s="25" t="n">
        <v>14857.0</v>
      </c>
      <c r="F31" s="26" t="n">
        <f>817</f>
        <v>817.0</v>
      </c>
      <c r="G31" s="25" t="n">
        <v>6.148300882E10</v>
      </c>
      <c r="H31" s="26" t="n">
        <f>3379311570</f>
        <v>3.37931157E9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221.0</v>
      </c>
      <c r="F36" s="18" t="n">
        <f>14</f>
        <v>14.0</v>
      </c>
      <c r="G36" s="17" t="n">
        <v>8.19185938E8</v>
      </c>
      <c r="H36" s="18" t="n">
        <f>51932938</f>
        <v>5.1932938E7</v>
      </c>
    </row>
    <row r="37" spans="1:8" ht="24.9" customHeight="1">
      <c r="A37" s="51"/>
      <c r="B37" s="57"/>
      <c r="C37" s="39"/>
      <c r="D37" s="20" t="s">
        <v>16</v>
      </c>
      <c r="E37" s="21" t="n">
        <v>1020.0</v>
      </c>
      <c r="F37" s="22" t="n">
        <f>3</f>
        <v>3.0</v>
      </c>
      <c r="G37" s="21" t="n">
        <v>3.80938102E9</v>
      </c>
      <c r="H37" s="22" t="n">
        <f>11190520</f>
        <v>1.119052E7</v>
      </c>
    </row>
    <row r="38" spans="1:8" ht="24.9" customHeight="1">
      <c r="A38" s="51"/>
      <c r="B38" s="57"/>
      <c r="C38" s="39"/>
      <c r="D38" s="20" t="s">
        <v>17</v>
      </c>
      <c r="E38" s="21" t="n">
        <v>2760.0</v>
      </c>
      <c r="F38" s="22" t="n">
        <f>1388</f>
        <v>1388.0</v>
      </c>
      <c r="G38" s="21" t="n">
        <v>1.0322852898E10</v>
      </c>
      <c r="H38" s="22" t="n">
        <f>5190394898</f>
        <v>5.190394898E9</v>
      </c>
    </row>
    <row r="39" spans="1:8" ht="24.9" customHeight="1">
      <c r="A39" s="51"/>
      <c r="B39" s="57"/>
      <c r="C39" s="39"/>
      <c r="D39" s="24" t="s">
        <v>18</v>
      </c>
      <c r="E39" s="25" t="n">
        <v>4001.0</v>
      </c>
      <c r="F39" s="26" t="n">
        <f>1405</f>
        <v>1405.0</v>
      </c>
      <c r="G39" s="25" t="n">
        <v>1.4951419856E10</v>
      </c>
      <c r="H39" s="26" t="n">
        <f>5253518356</f>
        <v>5.253518356E9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2280.0</v>
      </c>
      <c r="F48" s="18" t="n">
        <f>2280</f>
        <v>2280.0</v>
      </c>
      <c r="G48" s="17" t="n">
        <v>4.1253012E9</v>
      </c>
      <c r="H48" s="18" t="n">
        <f>4125301200</f>
        <v>4.1253012E9</v>
      </c>
    </row>
    <row r="49" spans="1:8" ht="24.9" customHeight="1">
      <c r="A49" s="51"/>
      <c r="B49" s="57"/>
      <c r="C49" s="39"/>
      <c r="D49" s="20" t="s">
        <v>16</v>
      </c>
      <c r="E49" s="21" t="n">
        <v>660.0</v>
      </c>
      <c r="F49" s="22" t="n">
        <f>613</f>
        <v>613.0</v>
      </c>
      <c r="G49" s="21" t="n">
        <v>1.19369858E9</v>
      </c>
      <c r="H49" s="22" t="n">
        <f>1109015080</f>
        <v>1.10901508E9</v>
      </c>
    </row>
    <row r="50" spans="1:8" ht="24.9" customHeight="1">
      <c r="A50" s="51"/>
      <c r="B50" s="57"/>
      <c r="C50" s="39"/>
      <c r="D50" s="20" t="s">
        <v>17</v>
      </c>
      <c r="E50" s="21" t="n">
        <v>3147.0</v>
      </c>
      <c r="F50" s="22" t="n">
        <f>2814</f>
        <v>2814.0</v>
      </c>
      <c r="G50" s="21" t="n">
        <v>5.63394408E9</v>
      </c>
      <c r="H50" s="22" t="n">
        <f>5037240580</f>
        <v>5.03724058E9</v>
      </c>
    </row>
    <row r="51" spans="1:8" ht="24.9" customHeight="1">
      <c r="A51" s="51"/>
      <c r="B51" s="57"/>
      <c r="C51" s="39"/>
      <c r="D51" s="24" t="s">
        <v>18</v>
      </c>
      <c r="E51" s="25" t="n">
        <v>6087.0</v>
      </c>
      <c r="F51" s="26" t="n">
        <f>5707</f>
        <v>5707.0</v>
      </c>
      <c r="G51" s="25" t="n">
        <v>1.095294386E10</v>
      </c>
      <c r="H51" s="26" t="n">
        <f>10271556860</f>
        <v>1.027155686E10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305.0</v>
      </c>
      <c r="F56" s="18" t="n">
        <f>13</f>
        <v>13.0</v>
      </c>
      <c r="G56" s="17" t="n">
        <v>2.413702E8</v>
      </c>
      <c r="H56" s="18" t="n">
        <f>10294200</f>
        <v>1.02942E7</v>
      </c>
    </row>
    <row r="57" spans="1:8" ht="24.9" customHeight="1">
      <c r="A57" s="51"/>
      <c r="B57" s="57"/>
      <c r="C57" s="39"/>
      <c r="D57" s="20" t="s">
        <v>16</v>
      </c>
      <c r="E57" s="21" t="n">
        <v>2867.0</v>
      </c>
      <c r="F57" s="22" t="n">
        <f>52</f>
        <v>52.0</v>
      </c>
      <c r="G57" s="21" t="n">
        <v>2.3241992E9</v>
      </c>
      <c r="H57" s="22" t="n">
        <f>42074200</f>
        <v>4.20742E7</v>
      </c>
    </row>
    <row r="58" spans="1:8" ht="24.9" customHeight="1">
      <c r="A58" s="51"/>
      <c r="B58" s="57"/>
      <c r="C58" s="39"/>
      <c r="D58" s="20" t="s">
        <v>17</v>
      </c>
      <c r="E58" s="21" t="n">
        <v>3114.0</v>
      </c>
      <c r="F58" s="22" t="n">
        <f>1211</f>
        <v>1211.0</v>
      </c>
      <c r="G58" s="21" t="n">
        <v>2.54484916E9</v>
      </c>
      <c r="H58" s="22" t="n">
        <f>992231160</f>
        <v>9.9223116E8</v>
      </c>
    </row>
    <row r="59" spans="1:8" ht="24.9" customHeight="1">
      <c r="A59" s="51"/>
      <c r="B59" s="57"/>
      <c r="C59" s="39"/>
      <c r="D59" s="24" t="s">
        <v>18</v>
      </c>
      <c r="E59" s="25" t="n">
        <v>6286.0</v>
      </c>
      <c r="F59" s="26" t="n">
        <f>1276</f>
        <v>1276.0</v>
      </c>
      <c r="G59" s="25" t="n">
        <v>5.11041856E9</v>
      </c>
      <c r="H59" s="26" t="n">
        <f>1044599560</f>
        <v>1.04459956E9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141.0</v>
      </c>
      <c r="F60" s="18" t="n">
        <f>7</f>
        <v>7.0</v>
      </c>
      <c r="G60" s="17" t="n">
        <v>7.5575489E8</v>
      </c>
      <c r="H60" s="18" t="n">
        <f>37532590</f>
        <v>3.753259E7</v>
      </c>
    </row>
    <row r="61" spans="1:8" ht="24.9" customHeight="1">
      <c r="A61" s="51"/>
      <c r="B61" s="57"/>
      <c r="C61" s="39"/>
      <c r="D61" s="20" t="s">
        <v>16</v>
      </c>
      <c r="E61" s="21" t="n">
        <v>25.0</v>
      </c>
      <c r="F61" s="22" t="n">
        <f>2</f>
        <v>2.0</v>
      </c>
      <c r="G61" s="21" t="n">
        <v>1.3411908E8</v>
      </c>
      <c r="H61" s="22" t="n">
        <f>10729580</f>
        <v>1.072958E7</v>
      </c>
    </row>
    <row r="62" spans="1:8" ht="24.9" customHeight="1">
      <c r="A62" s="51"/>
      <c r="B62" s="57"/>
      <c r="C62" s="39"/>
      <c r="D62" s="20" t="s">
        <v>17</v>
      </c>
      <c r="E62" s="21" t="n">
        <v>24.0</v>
      </c>
      <c r="F62" s="22" t="n">
        <f>2</f>
        <v>2.0</v>
      </c>
      <c r="G62" s="21" t="n">
        <v>1.288701E8</v>
      </c>
      <c r="H62" s="22" t="n">
        <f>10739800</f>
        <v>1.07398E7</v>
      </c>
    </row>
    <row r="63" spans="1:8" ht="24.9" customHeight="1">
      <c r="A63" s="51"/>
      <c r="B63" s="57"/>
      <c r="C63" s="39"/>
      <c r="D63" s="24" t="s">
        <v>18</v>
      </c>
      <c r="E63" s="25" t="n">
        <v>190.0</v>
      </c>
      <c r="F63" s="26" t="n">
        <f>11</f>
        <v>11.0</v>
      </c>
      <c r="G63" s="25" t="n">
        <v>1.01874407E9</v>
      </c>
      <c r="H63" s="26" t="n">
        <f>59001970</f>
        <v>5.900197E7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30.0</v>
      </c>
      <c r="F77" s="22" t="n">
        <f>0</f>
        <v>0.0</v>
      </c>
      <c r="G77" s="21" t="n">
        <v>9243500.0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32.0</v>
      </c>
      <c r="F78" s="22" t="n">
        <f>0</f>
        <v>0.0</v>
      </c>
      <c r="G78" s="21" t="n">
        <v>9601500.0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62.0</v>
      </c>
      <c r="F79" s="26" t="n">
        <f>0</f>
        <v>0.0</v>
      </c>
      <c r="G79" s="25" t="n">
        <v>1.8845E7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2.0</v>
      </c>
      <c r="F92" s="18" t="n">
        <f>0</f>
        <v>0.0</v>
      </c>
      <c r="G92" s="17" t="n">
        <v>3183200.0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2.0</v>
      </c>
      <c r="F95" s="26" t="n">
        <f>0</f>
        <v>0.0</v>
      </c>
      <c r="G95" s="25" t="n">
        <v>3183200.0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9090.0</v>
      </c>
      <c r="F108" s="18" t="n">
        <f>7</f>
        <v>7.0</v>
      </c>
      <c r="G108" s="17" t="n">
        <v>1.147823215E12</v>
      </c>
      <c r="H108" s="18" t="n">
        <f>884625000</f>
        <v>8.84625E8</v>
      </c>
    </row>
    <row r="109" spans="1:8" ht="24.9" customHeight="1">
      <c r="A109" s="51"/>
      <c r="B109" s="57"/>
      <c r="C109" s="39"/>
      <c r="D109" s="20" t="s">
        <v>16</v>
      </c>
      <c r="E109" s="21" t="n">
        <v>17434.0</v>
      </c>
      <c r="F109" s="22" t="n">
        <f>1829</f>
        <v>1829.0</v>
      </c>
      <c r="G109" s="21" t="n">
        <v>2.198860245E12</v>
      </c>
      <c r="H109" s="22" t="n">
        <f>230877705000</f>
        <v>2.30877705E11</v>
      </c>
    </row>
    <row r="110" spans="1:8" ht="24.9" customHeight="1">
      <c r="A110" s="51"/>
      <c r="B110" s="57"/>
      <c r="C110" s="39"/>
      <c r="D110" s="20" t="s">
        <v>17</v>
      </c>
      <c r="E110" s="21" t="n">
        <v>18828.0</v>
      </c>
      <c r="F110" s="22" t="n">
        <f>2622</f>
        <v>2622.0</v>
      </c>
      <c r="G110" s="21" t="n">
        <v>2.373415395E12</v>
      </c>
      <c r="H110" s="22" t="n">
        <f>330278105000</f>
        <v>3.30278105E11</v>
      </c>
    </row>
    <row r="111" spans="1:8" ht="24.9" customHeight="1">
      <c r="A111" s="51"/>
      <c r="B111" s="57"/>
      <c r="C111" s="39"/>
      <c r="D111" s="24" t="s">
        <v>18</v>
      </c>
      <c r="E111" s="25" t="n">
        <v>45352.0</v>
      </c>
      <c r="F111" s="26" t="n">
        <f>4458</f>
        <v>4458.0</v>
      </c>
      <c r="G111" s="25" t="n">
        <v>5.720098855E12</v>
      </c>
      <c r="H111" s="26" t="n">
        <f>562040435000</f>
        <v>5.62040435E11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1286.0</v>
      </c>
      <c r="F113" s="22" t="n">
        <f>0</f>
        <v>0.0</v>
      </c>
      <c r="G113" s="21" t="n">
        <v>1.6229741E10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960.0</v>
      </c>
      <c r="F114" s="22" t="n">
        <f>0</f>
        <v>0.0</v>
      </c>
      <c r="G114" s="21" t="n">
        <v>1.210143E10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2246.0</v>
      </c>
      <c r="F115" s="26" t="n">
        <f>0</f>
        <v>0.0</v>
      </c>
      <c r="G115" s="25" t="n">
        <v>2.8331171E10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350.0</v>
      </c>
      <c r="F118" s="22" t="n">
        <f>0</f>
        <v>0.0</v>
      </c>
      <c r="G118" s="21" t="n">
        <v>3.12495E9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350.0</v>
      </c>
      <c r="F119" s="26" t="n">
        <f>0</f>
        <v>0.0</v>
      </c>
      <c r="G119" s="25" t="n">
        <v>3.12495E9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702.0</v>
      </c>
      <c r="F120" s="18" t="n">
        <f>0</f>
        <v>0.0</v>
      </c>
      <c r="G120" s="17" t="n">
        <v>1.7339325625E10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1722.0</v>
      </c>
      <c r="F121" s="22" t="n">
        <f>0</f>
        <v>0.0</v>
      </c>
      <c r="G121" s="21" t="n">
        <v>4.238814875E10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165.0</v>
      </c>
      <c r="F122" s="22" t="n">
        <f>0</f>
        <v>0.0</v>
      </c>
      <c r="G122" s="21" t="n">
        <v>4.07508375E9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2589.0</v>
      </c>
      <c r="F123" s="26" t="n">
        <f>0</f>
        <v>0.0</v>
      </c>
      <c r="G123" s="25" t="n">
        <v>6.3802558125E10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4763.0</v>
      </c>
      <c r="F124" s="18" t="n">
        <f>0</f>
        <v>0.0</v>
      </c>
      <c r="G124" s="17" t="n">
        <v>1.15151721E11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2253.0</v>
      </c>
      <c r="F125" s="22" t="n">
        <f>0</f>
        <v>0.0</v>
      </c>
      <c r="G125" s="21" t="n">
        <v>5.4518044E10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2692.0</v>
      </c>
      <c r="F126" s="22" t="n">
        <f>0</f>
        <v>0.0</v>
      </c>
      <c r="G126" s="21" t="n">
        <v>6.5024229E10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9708.0</v>
      </c>
      <c r="F127" s="26" t="n">
        <f>0</f>
        <v>0.0</v>
      </c>
      <c r="G127" s="25" t="n">
        <v>2.34693994E11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49.0</v>
      </c>
      <c r="F128" s="18" t="n">
        <f>0</f>
        <v>0.0</v>
      </c>
      <c r="G128" s="17" t="n">
        <v>1.172041E8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46.0</v>
      </c>
      <c r="F129" s="22" t="n">
        <f>0</f>
        <v>0.0</v>
      </c>
      <c r="G129" s="21" t="n">
        <v>1.101065E8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124.0</v>
      </c>
      <c r="F130" s="22" t="n">
        <f>0</f>
        <v>0.0</v>
      </c>
      <c r="G130" s="21" t="n">
        <v>2.963752E8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219.0</v>
      </c>
      <c r="F131" s="26" t="n">
        <f>0</f>
        <v>0.0</v>
      </c>
      <c r="G131" s="25" t="n">
        <v>5.236858E8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4002.0</v>
      </c>
      <c r="F132" s="18" t="n">
        <f>0</f>
        <v>0.0</v>
      </c>
      <c r="G132" s="17" t="n">
        <v>9.7029661E9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1719.0</v>
      </c>
      <c r="F133" s="22" t="n">
        <f>0</f>
        <v>0.0</v>
      </c>
      <c r="G133" s="21" t="n">
        <v>4.1754635E9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2436.0</v>
      </c>
      <c r="F134" s="22" t="n">
        <f>0</f>
        <v>0.0</v>
      </c>
      <c r="G134" s="21" t="n">
        <v>5.90261675E9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8157.0</v>
      </c>
      <c r="F135" s="26" t="n">
        <f>0</f>
        <v>0.0</v>
      </c>
      <c r="G135" s="25" t="n">
        <v>1.978104635E10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86.0</v>
      </c>
      <c r="F136" s="18" t="n">
        <f>0</f>
        <v>0.0</v>
      </c>
      <c r="G136" s="17" t="n">
        <v>2.04054E8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5.0</v>
      </c>
      <c r="F137" s="22" t="n">
        <f>0</f>
        <v>0.0</v>
      </c>
      <c r="G137" s="21" t="n">
        <v>1.18914E7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38.0</v>
      </c>
      <c r="F138" s="22" t="n">
        <f>0</f>
        <v>0.0</v>
      </c>
      <c r="G138" s="21" t="n">
        <v>9.00639E7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129.0</v>
      </c>
      <c r="F139" s="26" t="n">
        <f>0</f>
        <v>0.0</v>
      </c>
      <c r="G139" s="25" t="n">
        <v>3.060093E8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1259.0</v>
      </c>
      <c r="F144" s="18" t="n">
        <f>0</f>
        <v>0.0</v>
      </c>
      <c r="G144" s="17" t="n">
        <v>5.856012E9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1769.0</v>
      </c>
      <c r="F145" s="22" t="n">
        <f>0</f>
        <v>0.0</v>
      </c>
      <c r="G145" s="21" t="n">
        <v>8.2669955E9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1345.0</v>
      </c>
      <c r="F146" s="22" t="n">
        <f>0</f>
        <v>0.0</v>
      </c>
      <c r="G146" s="21" t="n">
        <v>6.303379E9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4373.0</v>
      </c>
      <c r="F147" s="26" t="n">
        <f>0</f>
        <v>0.0</v>
      </c>
      <c r="G147" s="25" t="n">
        <v>2.04263865E10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123.0</v>
      </c>
      <c r="F148" s="18" t="n">
        <f>0</f>
        <v>0.0</v>
      </c>
      <c r="G148" s="17" t="n">
        <v>1.161471E8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157.0</v>
      </c>
      <c r="F149" s="22" t="n">
        <f>0</f>
        <v>0.0</v>
      </c>
      <c r="G149" s="21" t="n">
        <v>1.494112E8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395.0</v>
      </c>
      <c r="F150" s="22" t="n">
        <f>0</f>
        <v>0.0</v>
      </c>
      <c r="G150" s="21" t="n">
        <v>3.76713E8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675.0</v>
      </c>
      <c r="F151" s="26" t="n">
        <f>0</f>
        <v>0.0</v>
      </c>
      <c r="G151" s="25" t="n">
        <v>6.422713E8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172.0</v>
      </c>
      <c r="F152" s="18" t="n">
        <f>0</f>
        <v>0.0</v>
      </c>
      <c r="G152" s="17" t="n">
        <v>1.6011015E8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271.0</v>
      </c>
      <c r="F153" s="22" t="n">
        <f>0</f>
        <v>0.0</v>
      </c>
      <c r="G153" s="21" t="n">
        <v>2.528426E8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213.0</v>
      </c>
      <c r="F154" s="22" t="n">
        <f>0</f>
        <v>0.0</v>
      </c>
      <c r="G154" s="21" t="n">
        <v>1.993809E8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656.0</v>
      </c>
      <c r="F155" s="26" t="n">
        <f>0</f>
        <v>0.0</v>
      </c>
      <c r="G155" s="25" t="n">
        <v>6.1233365E8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8.0</v>
      </c>
      <c r="F156" s="18" t="n">
        <f>0</f>
        <v>0.0</v>
      </c>
      <c r="G156" s="17" t="n">
        <v>7408900.0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0.0</v>
      </c>
      <c r="F157" s="22" t="n">
        <f>0</f>
        <v>0.0</v>
      </c>
      <c r="G157" s="21" t="n">
        <v>0.0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126.0</v>
      </c>
      <c r="F158" s="22" t="n">
        <f>0</f>
        <v>0.0</v>
      </c>
      <c r="G158" s="21" t="n">
        <v>1.176081E8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134.0</v>
      </c>
      <c r="F159" s="26" t="n">
        <f>0</f>
        <v>0.0</v>
      </c>
      <c r="G159" s="25" t="n">
        <v>1.25017E8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135.0</v>
      </c>
      <c r="F168" s="18" t="n">
        <f>0</f>
        <v>0.0</v>
      </c>
      <c r="G168" s="17" t="n">
        <v>3.009555E8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398.0</v>
      </c>
      <c r="F169" s="22" t="n">
        <f>0</f>
        <v>0.0</v>
      </c>
      <c r="G169" s="21" t="n">
        <v>8.816705E8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1674.0</v>
      </c>
      <c r="F170" s="22" t="n">
        <f>0</f>
        <v>0.0</v>
      </c>
      <c r="G170" s="21" t="n">
        <v>3.707685E9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2207.0</v>
      </c>
      <c r="F171" s="26" t="n">
        <f>0</f>
        <v>0.0</v>
      </c>
      <c r="G171" s="25" t="n">
        <v>4.890311E9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44.0</v>
      </c>
      <c r="F178" s="22" t="n">
        <f>0</f>
        <v>0.0</v>
      </c>
      <c r="G178" s="21" t="n">
        <v>8.3396E7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44.0</v>
      </c>
      <c r="F179" s="26" t="n">
        <f>0</f>
        <v>0.0</v>
      </c>
      <c r="G179" s="25" t="n">
        <v>8.3396E7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1208.0</v>
      </c>
      <c r="F204" s="18" t="n">
        <f>0</f>
        <v>0.0</v>
      </c>
      <c r="G204" s="17" t="n">
        <v>4.605088E9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100.0</v>
      </c>
      <c r="F205" s="22" t="n">
        <f>0</f>
        <v>0.0</v>
      </c>
      <c r="G205" s="21" t="n">
        <v>3.86968E8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1070.0</v>
      </c>
      <c r="F206" s="22" t="n">
        <f>30</f>
        <v>30.0</v>
      </c>
      <c r="G206" s="21" t="n">
        <v>4.065621E9</v>
      </c>
      <c r="H206" s="22" t="n">
        <f>115230000</f>
        <v>1.1523E8</v>
      </c>
    </row>
    <row r="207" spans="1:8" ht="24.9" customHeight="1">
      <c r="A207" s="57"/>
      <c r="B207" s="59"/>
      <c r="C207" s="39"/>
      <c r="D207" s="24" t="s">
        <v>18</v>
      </c>
      <c r="E207" s="25" t="n">
        <v>2378.0</v>
      </c>
      <c r="F207" s="26" t="n">
        <f>30</f>
        <v>30.0</v>
      </c>
      <c r="G207" s="25" t="n">
        <v>9.057677E9</v>
      </c>
      <c r="H207" s="26" t="n">
        <f>115230000</f>
        <v>1.1523E8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4844</f>
        <v>4844.0</v>
      </c>
      <c r="E12" s="35" t="n">
        <f>3357</f>
        <v>3357.0</v>
      </c>
      <c r="F12" s="17" t="n">
        <f>2188</f>
        <v>2188.0</v>
      </c>
      <c r="G12" s="35" t="n">
        <f>1084</f>
        <v>1084.0</v>
      </c>
      <c r="H12" s="17" t="n">
        <f>7032</f>
        <v>7032.0</v>
      </c>
      <c r="I12" s="35" t="n">
        <f>4441</f>
        <v>4441.0</v>
      </c>
      <c r="J12" s="17" t="n">
        <f>3077880710</f>
        <v>3.07788071E9</v>
      </c>
      <c r="K12" s="35" t="n">
        <f>2561506710</f>
        <v>2.56150671E9</v>
      </c>
      <c r="L12" s="17" t="n">
        <f>1046997190</f>
        <v>1.04699719E9</v>
      </c>
      <c r="M12" s="35" t="n">
        <f>645794190</f>
        <v>6.4579419E8</v>
      </c>
      <c r="N12" s="17" t="n">
        <f>4124877900</f>
        <v>4.1248779E9</v>
      </c>
      <c r="O12" s="35" t="n">
        <f>3207300900</f>
        <v>3.2073009E9</v>
      </c>
    </row>
    <row r="13" spans="1:15" ht="24.9" customHeight="1">
      <c r="A13" s="38"/>
      <c r="B13" s="62"/>
      <c r="C13" s="20" t="s">
        <v>16</v>
      </c>
      <c r="D13" s="21" t="n">
        <f>5451</f>
        <v>5451.0</v>
      </c>
      <c r="E13" s="36" t="n">
        <f>2594</f>
        <v>2594.0</v>
      </c>
      <c r="F13" s="21" t="n">
        <f>2637</f>
        <v>2637.0</v>
      </c>
      <c r="G13" s="36" t="n">
        <f>1020</f>
        <v>1020.0</v>
      </c>
      <c r="H13" s="21" t="n">
        <f>8088</f>
        <v>8088.0</v>
      </c>
      <c r="I13" s="36" t="n">
        <f>3614</f>
        <v>3614.0</v>
      </c>
      <c r="J13" s="21" t="n">
        <f>4907027340</f>
        <v>4.90702734E9</v>
      </c>
      <c r="K13" s="36" t="n">
        <f>4154828340</f>
        <v>4.15482834E9</v>
      </c>
      <c r="L13" s="21" t="n">
        <f>3071614300</f>
        <v>3.0716143E9</v>
      </c>
      <c r="M13" s="36" t="n">
        <f>2656646300</f>
        <v>2.6566463E9</v>
      </c>
      <c r="N13" s="21" t="n">
        <f>7978641640</f>
        <v>7.97864164E9</v>
      </c>
      <c r="O13" s="36" t="n">
        <f>6811474640</f>
        <v>6.81147464E9</v>
      </c>
    </row>
    <row r="14" spans="1:15" ht="24.9" customHeight="1">
      <c r="A14" s="38"/>
      <c r="B14" s="62"/>
      <c r="C14" s="20" t="s">
        <v>17</v>
      </c>
      <c r="D14" s="21" t="n">
        <f>17641</f>
        <v>17641.0</v>
      </c>
      <c r="E14" s="36" t="n">
        <f>12255</f>
        <v>12255.0</v>
      </c>
      <c r="F14" s="21" t="n">
        <f>11771</f>
        <v>11771.0</v>
      </c>
      <c r="G14" s="36" t="n">
        <f>9075</f>
        <v>9075.0</v>
      </c>
      <c r="H14" s="21" t="n">
        <f>29412</f>
        <v>29412.0</v>
      </c>
      <c r="I14" s="36" t="n">
        <f>21330</f>
        <v>21330.0</v>
      </c>
      <c r="J14" s="21" t="n">
        <f>11573737010</f>
        <v>1.157373701E10</v>
      </c>
      <c r="K14" s="36" t="n">
        <f>10099701010</f>
        <v>1.009970101E10</v>
      </c>
      <c r="L14" s="21" t="n">
        <f>10873638773</f>
        <v>1.0873638773E10</v>
      </c>
      <c r="M14" s="36" t="n">
        <f>10062799773</f>
        <v>1.0062799773E10</v>
      </c>
      <c r="N14" s="21" t="n">
        <f>22447375783</f>
        <v>2.2447375783E10</v>
      </c>
      <c r="O14" s="36" t="n">
        <f>20162500783</f>
        <v>2.0162500783E10</v>
      </c>
    </row>
    <row r="15" spans="1:15" ht="24.9" customHeight="1">
      <c r="A15" s="38"/>
      <c r="B15" s="62"/>
      <c r="C15" s="24" t="s">
        <v>18</v>
      </c>
      <c r="D15" s="25" t="n">
        <f>27936</f>
        <v>27936.0</v>
      </c>
      <c r="E15" s="37" t="n">
        <f>18206</f>
        <v>18206.0</v>
      </c>
      <c r="F15" s="25" t="n">
        <f>16596</f>
        <v>16596.0</v>
      </c>
      <c r="G15" s="37" t="n">
        <f>11179</f>
        <v>11179.0</v>
      </c>
      <c r="H15" s="25" t="n">
        <f>44532</f>
        <v>44532.0</v>
      </c>
      <c r="I15" s="37" t="n">
        <f>29385</f>
        <v>29385.0</v>
      </c>
      <c r="J15" s="25" t="n">
        <f>19558645060</f>
        <v>1.955864506E10</v>
      </c>
      <c r="K15" s="37" t="n">
        <f>16816036060</f>
        <v>1.681603606E10</v>
      </c>
      <c r="L15" s="25" t="n">
        <f>14992250263</f>
        <v>1.4992250263E10</v>
      </c>
      <c r="M15" s="37" t="n">
        <f>13365240263</f>
        <v>1.3365240263E10</v>
      </c>
      <c r="N15" s="25" t="n">
        <f>34550895323</f>
        <v>3.4550895323E10</v>
      </c>
      <c r="O15" s="37" t="n">
        <f>30181276323</f>
        <v>3.0181276323E10</v>
      </c>
    </row>
    <row r="16" spans="1:15" ht="24.9" customHeight="1">
      <c r="A16" s="38"/>
      <c r="B16" s="61" t="s">
        <v>105</v>
      </c>
      <c r="C16" s="16" t="s">
        <v>15</v>
      </c>
      <c r="D16" s="17" t="n">
        <f>4682</f>
        <v>4682.0</v>
      </c>
      <c r="E16" s="35" t="n">
        <f>100</f>
        <v>100.0</v>
      </c>
      <c r="F16" s="17" t="n">
        <f>4307</f>
        <v>4307.0</v>
      </c>
      <c r="G16" s="35" t="n">
        <f>70</f>
        <v>70.0</v>
      </c>
      <c r="H16" s="17" t="n">
        <f>8989</f>
        <v>8989.0</v>
      </c>
      <c r="I16" s="35" t="n">
        <f>170</f>
        <v>170.0</v>
      </c>
      <c r="J16" s="17" t="n">
        <f>200039030</f>
        <v>2.0003903E8</v>
      </c>
      <c r="K16" s="35" t="n">
        <f>1844330</f>
        <v>1844330.0</v>
      </c>
      <c r="L16" s="17" t="n">
        <f>208526800</f>
        <v>2.085268E8</v>
      </c>
      <c r="M16" s="35" t="n">
        <f>1670500</f>
        <v>1670500.0</v>
      </c>
      <c r="N16" s="17" t="n">
        <f>408565830</f>
        <v>4.0856583E8</v>
      </c>
      <c r="O16" s="35" t="n">
        <f>3514830</f>
        <v>3514830.0</v>
      </c>
    </row>
    <row r="17" spans="1:15" ht="24.9" customHeight="1">
      <c r="A17" s="38"/>
      <c r="B17" s="62"/>
      <c r="C17" s="20" t="s">
        <v>16</v>
      </c>
      <c r="D17" s="21" t="n">
        <f>6130</f>
        <v>6130.0</v>
      </c>
      <c r="E17" s="36" t="n">
        <f>150</f>
        <v>150.0</v>
      </c>
      <c r="F17" s="21" t="n">
        <f>3963</f>
        <v>3963.0</v>
      </c>
      <c r="G17" s="36" t="n">
        <f>50</f>
        <v>50.0</v>
      </c>
      <c r="H17" s="21" t="n">
        <f>10093</f>
        <v>10093.0</v>
      </c>
      <c r="I17" s="36" t="n">
        <f>200</f>
        <v>200.0</v>
      </c>
      <c r="J17" s="21" t="n">
        <f>202940180</f>
        <v>2.0294018E8</v>
      </c>
      <c r="K17" s="36" t="n">
        <f>1793080</f>
        <v>1793080.0</v>
      </c>
      <c r="L17" s="21" t="n">
        <f>131312170</f>
        <v>1.3131217E8</v>
      </c>
      <c r="M17" s="36" t="n">
        <f>812270</f>
        <v>812270.0</v>
      </c>
      <c r="N17" s="21" t="n">
        <f>334252350</f>
        <v>3.3425235E8</v>
      </c>
      <c r="O17" s="36" t="n">
        <f>2605350</f>
        <v>2605350.0</v>
      </c>
    </row>
    <row r="18" spans="1:15" ht="24.9" customHeight="1">
      <c r="A18" s="38"/>
      <c r="B18" s="62"/>
      <c r="C18" s="20" t="s">
        <v>17</v>
      </c>
      <c r="D18" s="21" t="n">
        <f>7338</f>
        <v>7338.0</v>
      </c>
      <c r="E18" s="36" t="n">
        <f>440</f>
        <v>440.0</v>
      </c>
      <c r="F18" s="21" t="n">
        <f>5862</f>
        <v>5862.0</v>
      </c>
      <c r="G18" s="36" t="n">
        <f>730</f>
        <v>730.0</v>
      </c>
      <c r="H18" s="21" t="n">
        <f>13200</f>
        <v>13200.0</v>
      </c>
      <c r="I18" s="36" t="n">
        <f>1170</f>
        <v>1170.0</v>
      </c>
      <c r="J18" s="21" t="n">
        <f>226115340</f>
        <v>2.2611534E8</v>
      </c>
      <c r="K18" s="36" t="n">
        <f>7426940</f>
        <v>7426940.0</v>
      </c>
      <c r="L18" s="21" t="n">
        <f>194998440</f>
        <v>1.9499844E8</v>
      </c>
      <c r="M18" s="36" t="n">
        <f>8798040</f>
        <v>8798040.0</v>
      </c>
      <c r="N18" s="21" t="n">
        <f>421113780</f>
        <v>4.2111378E8</v>
      </c>
      <c r="O18" s="36" t="n">
        <f>16224980</f>
        <v>1.622498E7</v>
      </c>
    </row>
    <row r="19" spans="1:15" ht="24.9" customHeight="1">
      <c r="A19" s="38"/>
      <c r="B19" s="62"/>
      <c r="C19" s="24" t="s">
        <v>18</v>
      </c>
      <c r="D19" s="25" t="n">
        <f>18150</f>
        <v>18150.0</v>
      </c>
      <c r="E19" s="37" t="n">
        <f>690</f>
        <v>690.0</v>
      </c>
      <c r="F19" s="25" t="n">
        <f>14132</f>
        <v>14132.0</v>
      </c>
      <c r="G19" s="37" t="n">
        <f>850</f>
        <v>850.0</v>
      </c>
      <c r="H19" s="25" t="n">
        <f>32282</f>
        <v>32282.0</v>
      </c>
      <c r="I19" s="37" t="n">
        <f>1540</f>
        <v>1540.0</v>
      </c>
      <c r="J19" s="25" t="n">
        <f>629094550</f>
        <v>6.2909455E8</v>
      </c>
      <c r="K19" s="37" t="n">
        <f>11064350</f>
        <v>1.106435E7</v>
      </c>
      <c r="L19" s="25" t="n">
        <f>534837410</f>
        <v>5.3483741E8</v>
      </c>
      <c r="M19" s="37" t="n">
        <f>11280810</f>
        <v>1.128081E7</v>
      </c>
      <c r="N19" s="25" t="n">
        <f>1163931960</f>
        <v>1.16393196E9</v>
      </c>
      <c r="O19" s="37" t="n">
        <f>22345160</f>
        <v>2.234516E7</v>
      </c>
    </row>
    <row r="20" spans="1:15" ht="24.9" customHeight="1">
      <c r="A20" s="38"/>
      <c r="B20" s="61" t="s">
        <v>106</v>
      </c>
      <c r="C20" s="16" t="s">
        <v>15</v>
      </c>
      <c r="D20" s="17" t="n">
        <f>400</f>
        <v>400.0</v>
      </c>
      <c r="E20" s="35" t="n">
        <f>400</f>
        <v>400.0</v>
      </c>
      <c r="F20" s="17" t="n">
        <f>0</f>
        <v>0.0</v>
      </c>
      <c r="G20" s="35" t="n">
        <f>0</f>
        <v>0.0</v>
      </c>
      <c r="H20" s="17" t="n">
        <f>400</f>
        <v>400.0</v>
      </c>
      <c r="I20" s="35" t="n">
        <f>400</f>
        <v>400.0</v>
      </c>
      <c r="J20" s="17" t="n">
        <f>58500000</f>
        <v>5.85E7</v>
      </c>
      <c r="K20" s="35" t="n">
        <f>58500000</f>
        <v>5.85E7</v>
      </c>
      <c r="L20" s="17" t="n">
        <f>0</f>
        <v>0.0</v>
      </c>
      <c r="M20" s="35" t="n">
        <f>0</f>
        <v>0.0</v>
      </c>
      <c r="N20" s="17" t="n">
        <f>58500000</f>
        <v>5.85E7</v>
      </c>
      <c r="O20" s="35" t="n">
        <f>58500000</f>
        <v>5.85E7</v>
      </c>
    </row>
    <row r="21" spans="1:15" ht="24.9" customHeight="1">
      <c r="A21" s="38"/>
      <c r="B21" s="62"/>
      <c r="C21" s="20" t="s">
        <v>16</v>
      </c>
      <c r="D21" s="21" t="n">
        <f>150</f>
        <v>150.0</v>
      </c>
      <c r="E21" s="36" t="n">
        <f>150</f>
        <v>150.0</v>
      </c>
      <c r="F21" s="21" t="n">
        <f>150</f>
        <v>150.0</v>
      </c>
      <c r="G21" s="36" t="n">
        <f>150</f>
        <v>150.0</v>
      </c>
      <c r="H21" s="21" t="n">
        <f>300</f>
        <v>300.0</v>
      </c>
      <c r="I21" s="36" t="n">
        <f>300</f>
        <v>300.0</v>
      </c>
      <c r="J21" s="21" t="n">
        <f>522000000</f>
        <v>5.22E8</v>
      </c>
      <c r="K21" s="36" t="n">
        <f>522000000</f>
        <v>5.22E8</v>
      </c>
      <c r="L21" s="21" t="n">
        <f>505500000</f>
        <v>5.055E8</v>
      </c>
      <c r="M21" s="36" t="n">
        <f>505500000</f>
        <v>5.055E8</v>
      </c>
      <c r="N21" s="21" t="n">
        <f>1027500000</f>
        <v>1.0275E9</v>
      </c>
      <c r="O21" s="36" t="n">
        <f>1027500000</f>
        <v>1.0275E9</v>
      </c>
    </row>
    <row r="22" spans="1:15" ht="24.9" customHeight="1">
      <c r="A22" s="38"/>
      <c r="B22" s="62"/>
      <c r="C22" s="20" t="s">
        <v>17</v>
      </c>
      <c r="D22" s="21" t="n">
        <f>470</f>
        <v>470.0</v>
      </c>
      <c r="E22" s="36" t="n">
        <f>470</f>
        <v>470.0</v>
      </c>
      <c r="F22" s="21" t="n">
        <f>520</f>
        <v>520.0</v>
      </c>
      <c r="G22" s="36" t="n">
        <f>520</f>
        <v>520.0</v>
      </c>
      <c r="H22" s="21" t="n">
        <f>990</f>
        <v>990.0</v>
      </c>
      <c r="I22" s="36" t="n">
        <f>990</f>
        <v>990.0</v>
      </c>
      <c r="J22" s="21" t="n">
        <f>185400000</f>
        <v>1.854E8</v>
      </c>
      <c r="K22" s="36" t="n">
        <f>185400000</f>
        <v>1.854E8</v>
      </c>
      <c r="L22" s="21" t="n">
        <f>312430000</f>
        <v>3.1243E8</v>
      </c>
      <c r="M22" s="36" t="n">
        <f>312430000</f>
        <v>3.1243E8</v>
      </c>
      <c r="N22" s="21" t="n">
        <f>497830000</f>
        <v>4.9783E8</v>
      </c>
      <c r="O22" s="36" t="n">
        <f>497830000</f>
        <v>4.9783E8</v>
      </c>
    </row>
    <row r="23" spans="1:15" ht="24.9" customHeight="1">
      <c r="A23" s="38"/>
      <c r="B23" s="62"/>
      <c r="C23" s="24" t="s">
        <v>18</v>
      </c>
      <c r="D23" s="25" t="n">
        <f>1020</f>
        <v>1020.0</v>
      </c>
      <c r="E23" s="37" t="n">
        <f>1020</f>
        <v>1020.0</v>
      </c>
      <c r="F23" s="25" t="n">
        <f>670</f>
        <v>670.0</v>
      </c>
      <c r="G23" s="37" t="n">
        <f>670</f>
        <v>670.0</v>
      </c>
      <c r="H23" s="25" t="n">
        <f>1690</f>
        <v>1690.0</v>
      </c>
      <c r="I23" s="37" t="n">
        <f>1690</f>
        <v>1690.0</v>
      </c>
      <c r="J23" s="25" t="n">
        <f>765900000</f>
        <v>7.659E8</v>
      </c>
      <c r="K23" s="37" t="n">
        <f>765900000</f>
        <v>7.659E8</v>
      </c>
      <c r="L23" s="25" t="n">
        <f>817930000</f>
        <v>8.1793E8</v>
      </c>
      <c r="M23" s="37" t="n">
        <f>817930000</f>
        <v>8.1793E8</v>
      </c>
      <c r="N23" s="25" t="n">
        <f>1583830000</f>
        <v>1.58383E9</v>
      </c>
      <c r="O23" s="37" t="n">
        <f>1583830000</f>
        <v>1.58383E9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58</f>
        <v>58.0</v>
      </c>
      <c r="E37" s="22" t="n">
        <f>0</f>
        <v>0.0</v>
      </c>
      <c r="F37" s="21" t="n">
        <f>14</f>
        <v>14.0</v>
      </c>
      <c r="G37" s="22" t="n">
        <f>0</f>
        <v>0.0</v>
      </c>
      <c r="H37" s="21" t="n">
        <f>72</f>
        <v>72.0</v>
      </c>
      <c r="I37" s="22" t="n">
        <f>0</f>
        <v>0.0</v>
      </c>
      <c r="J37" s="21" t="n">
        <f>8940000</f>
        <v>8940000.0</v>
      </c>
      <c r="K37" s="22" t="n">
        <f>0</f>
        <v>0.0</v>
      </c>
      <c r="L37" s="21" t="n">
        <f>1590000</f>
        <v>1590000.0</v>
      </c>
      <c r="M37" s="22" t="n">
        <f>0</f>
        <v>0.0</v>
      </c>
      <c r="N37" s="21" t="n">
        <f>10530000</f>
        <v>1.053E7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101</f>
        <v>101.0</v>
      </c>
      <c r="E38" s="36" t="n">
        <f>0</f>
        <v>0.0</v>
      </c>
      <c r="F38" s="21" t="n">
        <f>217</f>
        <v>217.0</v>
      </c>
      <c r="G38" s="36" t="n">
        <f>0</f>
        <v>0.0</v>
      </c>
      <c r="H38" s="21" t="n">
        <f>318</f>
        <v>318.0</v>
      </c>
      <c r="I38" s="36" t="n">
        <f>0</f>
        <v>0.0</v>
      </c>
      <c r="J38" s="21" t="n">
        <f>16130000</f>
        <v>1.613E7</v>
      </c>
      <c r="K38" s="36" t="n">
        <f>0</f>
        <v>0.0</v>
      </c>
      <c r="L38" s="21" t="n">
        <f>15550000</f>
        <v>1.555E7</v>
      </c>
      <c r="M38" s="36" t="n">
        <f>0</f>
        <v>0.0</v>
      </c>
      <c r="N38" s="21" t="n">
        <f>31680000</f>
        <v>3.168E7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159</f>
        <v>159.0</v>
      </c>
      <c r="E39" s="37" t="n">
        <f>0</f>
        <v>0.0</v>
      </c>
      <c r="F39" s="25" t="n">
        <f>231</f>
        <v>231.0</v>
      </c>
      <c r="G39" s="37" t="n">
        <f>0</f>
        <v>0.0</v>
      </c>
      <c r="H39" s="25" t="n">
        <f>390</f>
        <v>390.0</v>
      </c>
      <c r="I39" s="37" t="n">
        <f>0</f>
        <v>0.0</v>
      </c>
      <c r="J39" s="25" t="n">
        <f>25070000</f>
        <v>2.507E7</v>
      </c>
      <c r="K39" s="37" t="n">
        <f>0</f>
        <v>0.0</v>
      </c>
      <c r="L39" s="25" t="n">
        <f>17140000</f>
        <v>1.714E7</v>
      </c>
      <c r="M39" s="37" t="n">
        <f>0</f>
        <v>0.0</v>
      </c>
      <c r="N39" s="25" t="n">
        <f>42210000</f>
        <v>4.221E7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879</f>
        <v>879.0</v>
      </c>
      <c r="E41" s="36" t="n">
        <f>0</f>
        <v>0.0</v>
      </c>
      <c r="F41" s="21" t="n">
        <f>8221</f>
        <v>8221.0</v>
      </c>
      <c r="G41" s="36" t="n">
        <f>520</f>
        <v>520.0</v>
      </c>
      <c r="H41" s="21" t="n">
        <f>9100</f>
        <v>9100.0</v>
      </c>
      <c r="I41" s="36" t="n">
        <f>520</f>
        <v>520.0</v>
      </c>
      <c r="J41" s="21" t="n">
        <f>66678659</f>
        <v>6.6678659E7</v>
      </c>
      <c r="K41" s="36" t="n">
        <f>0</f>
        <v>0.0</v>
      </c>
      <c r="L41" s="21" t="n">
        <f>34778599</f>
        <v>3.4778599E7</v>
      </c>
      <c r="M41" s="36" t="n">
        <f>5645000</f>
        <v>5645000.0</v>
      </c>
      <c r="N41" s="21" t="n">
        <f>101457258</f>
        <v>1.01457258E8</v>
      </c>
      <c r="O41" s="36" t="n">
        <f>5645000</f>
        <v>5645000.0</v>
      </c>
    </row>
    <row r="42" spans="1:15" ht="24.9" customHeight="1">
      <c r="A42" s="38"/>
      <c r="B42" s="62"/>
      <c r="C42" s="20" t="s">
        <v>17</v>
      </c>
      <c r="D42" s="21" t="n">
        <f>6459</f>
        <v>6459.0</v>
      </c>
      <c r="E42" s="36" t="n">
        <f>4235</f>
        <v>4235.0</v>
      </c>
      <c r="F42" s="21" t="n">
        <f>4220</f>
        <v>4220.0</v>
      </c>
      <c r="G42" s="36" t="n">
        <f>4100</f>
        <v>4100.0</v>
      </c>
      <c r="H42" s="21" t="n">
        <f>10679</f>
        <v>10679.0</v>
      </c>
      <c r="I42" s="36" t="n">
        <f>8335</f>
        <v>8335.0</v>
      </c>
      <c r="J42" s="21" t="n">
        <f>112393340</f>
        <v>1.1239334E8</v>
      </c>
      <c r="K42" s="36" t="n">
        <f>108850000</f>
        <v>1.0885E8</v>
      </c>
      <c r="L42" s="21" t="n">
        <f>58563916</f>
        <v>5.8563916E7</v>
      </c>
      <c r="M42" s="36" t="n">
        <f>56400000</f>
        <v>5.64E7</v>
      </c>
      <c r="N42" s="21" t="n">
        <f>170957256</f>
        <v>1.70957256E8</v>
      </c>
      <c r="O42" s="36" t="n">
        <f>165250000</f>
        <v>1.6525E8</v>
      </c>
    </row>
    <row r="43" spans="1:15" ht="24.9" customHeight="1">
      <c r="A43" s="38"/>
      <c r="B43" s="62"/>
      <c r="C43" s="24" t="s">
        <v>18</v>
      </c>
      <c r="D43" s="25" t="n">
        <f>7338</f>
        <v>7338.0</v>
      </c>
      <c r="E43" s="37" t="n">
        <f>4235</f>
        <v>4235.0</v>
      </c>
      <c r="F43" s="25" t="n">
        <f>12441</f>
        <v>12441.0</v>
      </c>
      <c r="G43" s="37" t="n">
        <f>4620</f>
        <v>4620.0</v>
      </c>
      <c r="H43" s="25" t="n">
        <f>19779</f>
        <v>19779.0</v>
      </c>
      <c r="I43" s="37" t="n">
        <f>8855</f>
        <v>8855.0</v>
      </c>
      <c r="J43" s="25" t="n">
        <f>179071999</f>
        <v>1.79071999E8</v>
      </c>
      <c r="K43" s="37" t="n">
        <f>108850000</f>
        <v>1.0885E8</v>
      </c>
      <c r="L43" s="25" t="n">
        <f>93342515</f>
        <v>9.3342515E7</v>
      </c>
      <c r="M43" s="37" t="n">
        <f>62045000</f>
        <v>6.2045E7</v>
      </c>
      <c r="N43" s="25" t="n">
        <f>272414514</f>
        <v>2.72414514E8</v>
      </c>
      <c r="O43" s="37" t="n">
        <f>170895000</f>
        <v>1.70895E8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