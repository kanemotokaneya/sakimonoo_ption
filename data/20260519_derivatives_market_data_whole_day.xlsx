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<sst xmlns="http://schemas.openxmlformats.org/spreadsheetml/2006/main" count="528" uniqueCount="129">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</sst>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DATE(2026,05,19)</f>
        <v>46161.0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DATE(2026,05,19)</f>
        <v>46161.0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902847.0</f>
        <v>902847.0</v>
      </c>
      <c r="E12" s="18" t="n">
        <f>43183.0</f>
        <v>43183.0</v>
      </c>
      <c r="F12" s="19" t="n">
        <f>1.0</f>
        <v>1.0</v>
      </c>
      <c r="G12" s="17" t="n">
        <f>6476052515355.0</f>
        <v>6.476052515355E12</v>
      </c>
      <c r="H12" s="18" t="n">
        <f>337699520280.0</f>
        <v>3.3769952028E11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440171.0</f>
        <v>440171.0</v>
      </c>
      <c r="E13" s="22" t="n">
        <f>24257.0</f>
        <v>24257.0</v>
      </c>
      <c r="F13" s="23" t="n">
        <f>1.0</f>
        <v>1.0</v>
      </c>
      <c r="G13" s="21" t="n">
        <f>4406409264285.0</f>
        <v>4.406409264285E12</v>
      </c>
      <c r="H13" s="22" t="n">
        <f>358480143410.0</f>
        <v>3.5848014341E11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524787.0</f>
        <v>524787.0</v>
      </c>
      <c r="E14" s="22" t="n">
        <f>34703.0</f>
        <v>34703.0</v>
      </c>
      <c r="F14" s="23" t="n">
        <f>1.0</f>
        <v>1.0</v>
      </c>
      <c r="G14" s="21" t="n">
        <f>6090776268800.0</f>
        <v>6.0907762688E12</v>
      </c>
      <c r="H14" s="22" t="n">
        <f>992496703350.0</f>
        <v>9.9249670335E11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1867805.0</f>
        <v>1867805.0</v>
      </c>
      <c r="E15" s="26" t="n">
        <f>102143.0</f>
        <v>102143.0</v>
      </c>
      <c r="F15" s="27" t="n">
        <f>1.0</f>
        <v>1.0</v>
      </c>
      <c r="G15" s="25" t="n">
        <f>16973238048440.0</f>
        <v>1.697323804844E13</v>
      </c>
      <c r="H15" s="26" t="n">
        <f>1688676367040.0</f>
        <v>1.68867636704E12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23317.0</f>
        <v>23317.0</v>
      </c>
      <c r="E16" s="18" t="n">
        <f>236.0</f>
        <v>236.0</v>
      </c>
      <c r="F16" s="19" t="n">
        <f>0.026</f>
        <v>0.026</v>
      </c>
      <c r="G16" s="17" t="n">
        <f>2154173011875.0</f>
        <v>2.154173011875E12</v>
      </c>
      <c r="H16" s="18" t="n">
        <f>30212010000.0</f>
        <v>3.021201E10</v>
      </c>
      <c r="I16" s="19" t="n">
        <f>0.333</f>
        <v>0.333</v>
      </c>
    </row>
    <row r="17" spans="1:9" ht="24.9" customHeight="1">
      <c r="A17" s="41"/>
      <c r="B17" s="39"/>
      <c r="C17" s="20" t="s">
        <v>16</v>
      </c>
      <c r="D17" s="21" t="n">
        <f>16631.0</f>
        <v>16631.0</v>
      </c>
      <c r="E17" s="22" t="n">
        <f>1343.0</f>
        <v>1343.0</v>
      </c>
      <c r="F17" s="23" t="n">
        <f>0.038</f>
        <v>0.038</v>
      </c>
      <c r="G17" s="21" t="n">
        <f>1960419584125.0</f>
        <v>1.960419584125E12</v>
      </c>
      <c r="H17" s="22" t="n">
        <f>172037630000.0</f>
        <v>1.7203763E11</v>
      </c>
      <c r="I17" s="23" t="n">
        <f>0.445</f>
        <v>0.445</v>
      </c>
    </row>
    <row r="18" spans="1:9" ht="24.9" customHeight="1">
      <c r="A18" s="41"/>
      <c r="B18" s="39"/>
      <c r="C18" s="20" t="s">
        <v>17</v>
      </c>
      <c r="D18" s="21" t="n">
        <f>20328.0</f>
        <v>20328.0</v>
      </c>
      <c r="E18" s="22" t="n">
        <f>3581.0</f>
        <v>3581.0</v>
      </c>
      <c r="F18" s="23" t="n">
        <f>0.039</f>
        <v>0.039</v>
      </c>
      <c r="G18" s="21" t="n">
        <f>2507109679000.0</f>
        <v>2.507109679E12</v>
      </c>
      <c r="H18" s="22" t="n">
        <f>457194735000.0</f>
        <v>4.57194735E11</v>
      </c>
      <c r="I18" s="23" t="n">
        <f>0.412</f>
        <v>0.412</v>
      </c>
    </row>
    <row r="19" spans="1:9" ht="24.9" customHeight="1">
      <c r="A19" s="41"/>
      <c r="B19" s="39"/>
      <c r="C19" s="24" t="s">
        <v>18</v>
      </c>
      <c r="D19" s="25" t="n">
        <f>60276.0</f>
        <v>60276.0</v>
      </c>
      <c r="E19" s="26" t="n">
        <f>5160.0</f>
        <v>5160.0</v>
      </c>
      <c r="F19" s="27" t="n">
        <f>0.032</f>
        <v>0.032</v>
      </c>
      <c r="G19" s="25" t="n">
        <f>6621702275000.0</f>
        <v>6.621702275E12</v>
      </c>
      <c r="H19" s="26" t="n">
        <f>659444375000.0</f>
        <v>6.59444375E11</v>
      </c>
      <c r="I19" s="27" t="n">
        <f>0.39</f>
        <v>0.39</v>
      </c>
    </row>
    <row r="20" spans="1:9" ht="24.9" customHeight="1">
      <c r="A20" s="41"/>
      <c r="B20" s="39" t="s">
        <v>21</v>
      </c>
      <c r="C20" s="16" t="s">
        <v>15</v>
      </c>
      <c r="D20" s="17" t="n">
        <f>863987.0</f>
        <v>863987.0</v>
      </c>
      <c r="E20" s="18" t="n">
        <f>42748.0</f>
        <v>42748.0</v>
      </c>
      <c r="F20" s="19" t="n">
        <f>0.957</f>
        <v>0.957</v>
      </c>
      <c r="G20" s="17" t="n">
        <f>4100929743690.0</f>
        <v>4.10092974369E12</v>
      </c>
      <c r="H20" s="18" t="n">
        <f>307125097040.0</f>
        <v>3.0712509704E11</v>
      </c>
      <c r="I20" s="19" t="n">
        <f>0.633</f>
        <v>0.633</v>
      </c>
    </row>
    <row r="21" spans="1:9" ht="24.9" customHeight="1">
      <c r="A21" s="41"/>
      <c r="B21" s="39"/>
      <c r="C21" s="20" t="s">
        <v>16</v>
      </c>
      <c r="D21" s="21" t="n">
        <f>416333.0</f>
        <v>416333.0</v>
      </c>
      <c r="E21" s="22" t="n">
        <f>22914.0</f>
        <v>22914.0</v>
      </c>
      <c r="F21" s="23" t="n">
        <f>0.946</f>
        <v>0.946</v>
      </c>
      <c r="G21" s="21" t="n">
        <f>2374393353410.0</f>
        <v>2.37439335341E12</v>
      </c>
      <c r="H21" s="22" t="n">
        <f>186442513410.0</f>
        <v>1.8644251341E11</v>
      </c>
      <c r="I21" s="23" t="n">
        <f>0.539</f>
        <v>0.539</v>
      </c>
    </row>
    <row r="22" spans="1:9" ht="24.9" customHeight="1">
      <c r="A22" s="41"/>
      <c r="B22" s="39"/>
      <c r="C22" s="20" t="s">
        <v>17</v>
      </c>
      <c r="D22" s="21" t="n">
        <f>492381.0</f>
        <v>492381.0</v>
      </c>
      <c r="E22" s="22" t="n">
        <f>31122.0</f>
        <v>31122.0</v>
      </c>
      <c r="F22" s="23" t="n">
        <f>0.938</f>
        <v>0.938</v>
      </c>
      <c r="G22" s="21" t="n">
        <f>3441530310750.0</f>
        <v>3.44153031075E12</v>
      </c>
      <c r="H22" s="22" t="n">
        <f>535301968350.0</f>
        <v>5.3530196835E11</v>
      </c>
      <c r="I22" s="23" t="n">
        <f>0.565</f>
        <v>0.565</v>
      </c>
    </row>
    <row r="23" spans="1:9" ht="24.9" customHeight="1">
      <c r="A23" s="41"/>
      <c r="B23" s="39"/>
      <c r="C23" s="24" t="s">
        <v>18</v>
      </c>
      <c r="D23" s="25" t="n">
        <f>1772701.0</f>
        <v>1772701.0</v>
      </c>
      <c r="E23" s="26" t="n">
        <f>96784.0</f>
        <v>96784.0</v>
      </c>
      <c r="F23" s="27" t="n">
        <f>0.949</f>
        <v>0.949</v>
      </c>
      <c r="G23" s="25" t="n">
        <f>9916853407850.0</f>
        <v>9.91685340785E12</v>
      </c>
      <c r="H23" s="26" t="n">
        <f>1028869578800.0</f>
        <v>1.0288695788E12</v>
      </c>
      <c r="I23" s="27" t="n">
        <f>0.584</f>
        <v>0.584</v>
      </c>
    </row>
    <row r="24" spans="1:9" ht="24.9" customHeight="1">
      <c r="A24" s="41"/>
      <c r="B24" s="39" t="s">
        <v>22</v>
      </c>
      <c r="C24" s="16" t="s">
        <v>15</v>
      </c>
      <c r="D24" s="17" t="n">
        <f>14684.0</f>
        <v>14684.0</v>
      </c>
      <c r="E24" s="18" t="n">
        <f>140.0</f>
        <v>140.0</v>
      </c>
      <c r="F24" s="19" t="n">
        <f>0.016</f>
        <v>0.016</v>
      </c>
      <c r="G24" s="17" t="n">
        <f>217289754050.0</f>
        <v>2.1728975405E11</v>
      </c>
      <c r="H24" s="18" t="n">
        <f>282310000.0</f>
        <v>2.8231E8</v>
      </c>
      <c r="I24" s="19" t="n">
        <f>0.034</f>
        <v>0.034</v>
      </c>
    </row>
    <row r="25" spans="1:9" ht="24.9" customHeight="1">
      <c r="A25" s="41"/>
      <c r="B25" s="39"/>
      <c r="C25" s="20" t="s">
        <v>16</v>
      </c>
      <c r="D25" s="21" t="n">
        <f>6833.0</f>
        <v>6833.0</v>
      </c>
      <c r="E25" s="22" t="n">
        <f>0.0</f>
        <v>0.0</v>
      </c>
      <c r="F25" s="23" t="n">
        <f>0.016</f>
        <v>0.016</v>
      </c>
      <c r="G25" s="21" t="n">
        <f>69924803250.0</f>
        <v>6.992480325E10</v>
      </c>
      <c r="H25" s="22" t="n">
        <f>0.0</f>
        <v>0.0</v>
      </c>
      <c r="I25" s="23" t="n">
        <f>0.016</f>
        <v>0.016</v>
      </c>
    </row>
    <row r="26" spans="1:9" ht="24.9" customHeight="1">
      <c r="A26" s="41"/>
      <c r="B26" s="39"/>
      <c r="C26" s="20" t="s">
        <v>17</v>
      </c>
      <c r="D26" s="21" t="n">
        <f>10559.0</f>
        <v>10559.0</v>
      </c>
      <c r="E26" s="22" t="n">
        <f>0.0</f>
        <v>0.0</v>
      </c>
      <c r="F26" s="23" t="n">
        <f>0.02</f>
        <v>0.02</v>
      </c>
      <c r="G26" s="21" t="n">
        <f>135316020050.0</f>
        <v>1.3531602005E11</v>
      </c>
      <c r="H26" s="22" t="n">
        <f>0.0</f>
        <v>0.0</v>
      </c>
      <c r="I26" s="23" t="n">
        <f>0.022</f>
        <v>0.022</v>
      </c>
    </row>
    <row r="27" spans="1:9" ht="24.9" customHeight="1">
      <c r="A27" s="42"/>
      <c r="B27" s="39"/>
      <c r="C27" s="24" t="s">
        <v>18</v>
      </c>
      <c r="D27" s="25" t="n">
        <f>32076.0</f>
        <v>32076.0</v>
      </c>
      <c r="E27" s="26" t="n">
        <f>140.0</f>
        <v>140.0</v>
      </c>
      <c r="F27" s="27" t="n">
        <f>0.017</f>
        <v>0.017</v>
      </c>
      <c r="G27" s="25" t="n">
        <f>422530577350.0</f>
        <v>4.2253057735E11</v>
      </c>
      <c r="H27" s="26" t="n">
        <f>282310000.0</f>
        <v>2.8231E8</v>
      </c>
      <c r="I27" s="27" t="n">
        <f>0.025</f>
        <v>0.025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859.0</f>
        <v>859.0</v>
      </c>
      <c r="E28" s="18" t="n">
        <f>59.0</f>
        <v>59.0</v>
      </c>
      <c r="F28" s="19" t="n">
        <f>0.001</f>
        <v>0.001</v>
      </c>
      <c r="G28" s="17" t="n">
        <f>3660005740.0</f>
        <v>3.66000574E9</v>
      </c>
      <c r="H28" s="18" t="n">
        <f>80103240.0</f>
        <v>8.010324E7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374.0</f>
        <v>374.0</v>
      </c>
      <c r="E29" s="22" t="n">
        <f>0.0</f>
        <v>0.0</v>
      </c>
      <c r="F29" s="23" t="n">
        <f>0.001</f>
        <v>0.001</v>
      </c>
      <c r="G29" s="21" t="n">
        <f>1671523500.0</f>
        <v>1.6715235E9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1519.0</f>
        <v>1519.0</v>
      </c>
      <c r="E30" s="22" t="n">
        <f>0.0</f>
        <v>0.0</v>
      </c>
      <c r="F30" s="23" t="n">
        <f>0.003</f>
        <v>0.003</v>
      </c>
      <c r="G30" s="21" t="n">
        <f>6820259000.0</f>
        <v>6.820259E9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2752.0</f>
        <v>2752.0</v>
      </c>
      <c r="E31" s="26" t="n">
        <f>59.0</f>
        <v>59.0</v>
      </c>
      <c r="F31" s="27" t="n">
        <f>0.001</f>
        <v>0.001</v>
      </c>
      <c r="G31" s="25" t="n">
        <f>12151788240.0</f>
        <v>1.215178824E10</v>
      </c>
      <c r="H31" s="26" t="n">
        <f>80103240.0</f>
        <v>8.010324E7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21691</f>
        <v>21691.0</v>
      </c>
      <c r="E11" s="18" t="n">
        <f>5304</f>
        <v>5304.0</v>
      </c>
      <c r="F11" s="19" t="n">
        <f>1</f>
        <v>1.0</v>
      </c>
      <c r="G11" s="17" t="n">
        <f>5083869449</f>
        <v>5.083869449E9</v>
      </c>
      <c r="H11" s="18" t="n">
        <f>3848637949</f>
        <v>3.848637949E9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27296</f>
        <v>27296.0</v>
      </c>
      <c r="E12" s="22" t="n">
        <f>5313</f>
        <v>5313.0</v>
      </c>
      <c r="F12" s="23" t="n">
        <f>1</f>
        <v>1.0</v>
      </c>
      <c r="G12" s="21" t="n">
        <f>4742217635</f>
        <v>4.742217635E9</v>
      </c>
      <c r="H12" s="22" t="n">
        <f>3348551013</f>
        <v>3.348551013E9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127638</f>
        <v>127638.0</v>
      </c>
      <c r="E13" s="22" t="n">
        <f>99110</f>
        <v>99110.0</v>
      </c>
      <c r="F13" s="23" t="n">
        <f>1</f>
        <v>1.0</v>
      </c>
      <c r="G13" s="21" t="n">
        <f>28795436767</f>
        <v>2.8795436767E10</v>
      </c>
      <c r="H13" s="22" t="n">
        <f>24563083770</f>
        <v>2.456308377E10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176625</f>
        <v>176625.0</v>
      </c>
      <c r="E14" s="26" t="n">
        <f>109727</f>
        <v>109727.0</v>
      </c>
      <c r="F14" s="27" t="n">
        <f>1</f>
        <v>1.0</v>
      </c>
      <c r="G14" s="25" t="n">
        <f>38621523851</f>
        <v>3.8621523851E10</v>
      </c>
      <c r="H14" s="26" t="n">
        <f>31760272732</f>
        <v>3.1760272732E10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51</f>
        <v>51.0</v>
      </c>
      <c r="E15" s="18" t="n">
        <f>50</f>
        <v>50.0</v>
      </c>
      <c r="F15" s="19" t="n">
        <f>0.002</f>
        <v>0.002</v>
      </c>
      <c r="G15" s="17" t="n">
        <f>21630000</f>
        <v>2.163E7</v>
      </c>
      <c r="H15" s="18" t="n">
        <f>21500000</f>
        <v>2.15E7</v>
      </c>
      <c r="I15" s="19" t="n">
        <f>0.004</f>
        <v>0.004</v>
      </c>
    </row>
    <row r="16" spans="1:9" ht="24.9" customHeight="1">
      <c r="A16" s="41"/>
      <c r="B16" s="39"/>
      <c r="C16" s="20" t="s">
        <v>16</v>
      </c>
      <c r="D16" s="21" t="n">
        <f>14</f>
        <v>14.0</v>
      </c>
      <c r="E16" s="22" t="n">
        <f>0</f>
        <v>0.0</v>
      </c>
      <c r="F16" s="23" t="n">
        <f>0.001</f>
        <v>0.001</v>
      </c>
      <c r="G16" s="21" t="n">
        <f>540000</f>
        <v>540000.0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180</f>
        <v>180.0</v>
      </c>
      <c r="E17" s="22" t="n">
        <f>150</f>
        <v>150.0</v>
      </c>
      <c r="F17" s="23" t="n">
        <f>0.001</f>
        <v>0.001</v>
      </c>
      <c r="G17" s="21" t="n">
        <f>16100000</f>
        <v>1.61E7</v>
      </c>
      <c r="H17" s="22" t="n">
        <f>8000000</f>
        <v>8000000.0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245</f>
        <v>245.0</v>
      </c>
      <c r="E18" s="26" t="n">
        <f>200</f>
        <v>200.0</v>
      </c>
      <c r="F18" s="27" t="n">
        <f>0.001</f>
        <v>0.001</v>
      </c>
      <c r="G18" s="25" t="n">
        <f>38270000</f>
        <v>3.827E7</v>
      </c>
      <c r="H18" s="26" t="n">
        <f>29500000</f>
        <v>2.95E7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21640</f>
        <v>21640.0</v>
      </c>
      <c r="E19" s="18" t="n">
        <f>5254</f>
        <v>5254.0</v>
      </c>
      <c r="F19" s="19" t="n">
        <f>0.998</f>
        <v>0.998</v>
      </c>
      <c r="G19" s="17" t="n">
        <f>5062239449</f>
        <v>5.062239449E9</v>
      </c>
      <c r="H19" s="18" t="n">
        <f>3827137949</f>
        <v>3.827137949E9</v>
      </c>
      <c r="I19" s="19" t="n">
        <f>0.996</f>
        <v>0.996</v>
      </c>
    </row>
    <row r="20" spans="1:9" ht="24.9" customHeight="1">
      <c r="A20" s="41"/>
      <c r="B20" s="39"/>
      <c r="C20" s="20" t="s">
        <v>16</v>
      </c>
      <c r="D20" s="21" t="n">
        <f>15714</f>
        <v>15714.0</v>
      </c>
      <c r="E20" s="22" t="n">
        <f>2973</f>
        <v>2973.0</v>
      </c>
      <c r="F20" s="23" t="n">
        <f>0.576</f>
        <v>0.576</v>
      </c>
      <c r="G20" s="21" t="n">
        <f>4407614313</f>
        <v>4.407614313E9</v>
      </c>
      <c r="H20" s="22" t="n">
        <f>3079801013</f>
        <v>3.079801013E9</v>
      </c>
      <c r="I20" s="23" t="n">
        <f>0.929</f>
        <v>0.929</v>
      </c>
    </row>
    <row r="21" spans="1:9" ht="24.9" customHeight="1">
      <c r="A21" s="41"/>
      <c r="B21" s="39"/>
      <c r="C21" s="20" t="s">
        <v>17</v>
      </c>
      <c r="D21" s="21" t="n">
        <f>37339</f>
        <v>37339.0</v>
      </c>
      <c r="E21" s="22" t="n">
        <f>15842</f>
        <v>15842.0</v>
      </c>
      <c r="F21" s="23" t="n">
        <f>0.293</f>
        <v>0.293</v>
      </c>
      <c r="G21" s="21" t="n">
        <f>25629891320</f>
        <v>2.562989132E10</v>
      </c>
      <c r="H21" s="22" t="n">
        <f>21429714820</f>
        <v>2.142971482E10</v>
      </c>
      <c r="I21" s="23" t="n">
        <f>0.89</f>
        <v>0.89</v>
      </c>
    </row>
    <row r="22" spans="1:9" ht="24.9" customHeight="1">
      <c r="A22" s="41"/>
      <c r="B22" s="39"/>
      <c r="C22" s="24" t="s">
        <v>18</v>
      </c>
      <c r="D22" s="25" t="n">
        <f>74693</f>
        <v>74693.0</v>
      </c>
      <c r="E22" s="26" t="n">
        <f>24069</f>
        <v>24069.0</v>
      </c>
      <c r="F22" s="27" t="n">
        <f>0.423</f>
        <v>0.423</v>
      </c>
      <c r="G22" s="25" t="n">
        <f>35099745082</f>
        <v>3.5099745082E10</v>
      </c>
      <c r="H22" s="26" t="n">
        <f>28336653782</f>
        <v>2.8336653782E10</v>
      </c>
      <c r="I22" s="27" t="n">
        <f>0.909</f>
        <v>0.909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11568</f>
        <v>11568.0</v>
      </c>
      <c r="E24" s="22" t="n">
        <f>2340</f>
        <v>2340.0</v>
      </c>
      <c r="F24" s="23" t="n">
        <f>0.424</f>
        <v>0.424</v>
      </c>
      <c r="G24" s="21" t="n">
        <f>334063322</f>
        <v>3.34063322E8</v>
      </c>
      <c r="H24" s="22" t="n">
        <f>268750000</f>
        <v>2.6875E8</v>
      </c>
      <c r="I24" s="23" t="n">
        <f>0.07</f>
        <v>0.07</v>
      </c>
    </row>
    <row r="25" spans="1:9" ht="24.9" customHeight="1">
      <c r="A25" s="41"/>
      <c r="B25" s="39"/>
      <c r="C25" s="20" t="s">
        <v>17</v>
      </c>
      <c r="D25" s="21" t="n">
        <f>90119</f>
        <v>90119.0</v>
      </c>
      <c r="E25" s="22" t="n">
        <f>83118</f>
        <v>83118.0</v>
      </c>
      <c r="F25" s="23" t="n">
        <f>0.706</f>
        <v>0.706</v>
      </c>
      <c r="G25" s="21" t="n">
        <f>3149445447</f>
        <v>3.149445447E9</v>
      </c>
      <c r="H25" s="22" t="n">
        <f>3125368950</f>
        <v>3.12536895E9</v>
      </c>
      <c r="I25" s="23" t="n">
        <f>0.109</f>
        <v>0.109</v>
      </c>
    </row>
    <row r="26" spans="1:9" ht="24.9" customHeight="1">
      <c r="A26" s="41"/>
      <c r="B26" s="39"/>
      <c r="C26" s="24" t="s">
        <v>18</v>
      </c>
      <c r="D26" s="25" t="n">
        <f>101687</f>
        <v>101687.0</v>
      </c>
      <c r="E26" s="26" t="n">
        <f>85458</f>
        <v>85458.0</v>
      </c>
      <c r="F26" s="27" t="n">
        <f>0.576</f>
        <v>0.576</v>
      </c>
      <c r="G26" s="25" t="n">
        <f>3483508769</f>
        <v>3.483508769E9</v>
      </c>
      <c r="H26" s="26" t="n">
        <f>3394118950</f>
        <v>3.39411895E9</v>
      </c>
      <c r="I26" s="27" t="n">
        <f>0.09</f>
        <v>0.09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12802.0</v>
      </c>
      <c r="F12" s="18" t="n">
        <f>819</f>
        <v>819.0</v>
      </c>
      <c r="G12" s="17" t="n">
        <v>7.85011811E11</v>
      </c>
      <c r="H12" s="18" t="n">
        <f>50191821000</f>
        <v>5.0191821E10</v>
      </c>
    </row>
    <row r="13" spans="1:8" ht="24.9" customHeight="1">
      <c r="A13" s="51"/>
      <c r="B13" s="57"/>
      <c r="C13" s="39"/>
      <c r="D13" s="20" t="s">
        <v>16</v>
      </c>
      <c r="E13" s="21" t="n">
        <v>10796.0</v>
      </c>
      <c r="F13" s="22" t="n">
        <f>815</f>
        <v>815.0</v>
      </c>
      <c r="G13" s="21" t="n">
        <v>6.600726036E11</v>
      </c>
      <c r="H13" s="22" t="n">
        <f>49887163600</f>
        <v>4.98871636E10</v>
      </c>
    </row>
    <row r="14" spans="1:8" ht="24.9" customHeight="1">
      <c r="A14" s="51"/>
      <c r="B14" s="57"/>
      <c r="C14" s="39"/>
      <c r="D14" s="20" t="s">
        <v>17</v>
      </c>
      <c r="E14" s="21" t="n">
        <v>17752.0</v>
      </c>
      <c r="F14" s="22" t="n">
        <f>3564</f>
        <v>3564.0</v>
      </c>
      <c r="G14" s="21" t="n">
        <v>1.07634438307E12</v>
      </c>
      <c r="H14" s="22" t="n">
        <f>216276123070</f>
        <v>2.1627612307E11</v>
      </c>
    </row>
    <row r="15" spans="1:8" ht="24.9" customHeight="1">
      <c r="A15" s="51"/>
      <c r="B15" s="57"/>
      <c r="C15" s="39"/>
      <c r="D15" s="24" t="s">
        <v>18</v>
      </c>
      <c r="E15" s="25" t="n">
        <v>41350.0</v>
      </c>
      <c r="F15" s="26" t="n">
        <f>5198</f>
        <v>5198.0</v>
      </c>
      <c r="G15" s="25" t="n">
        <v>2.52142879767E12</v>
      </c>
      <c r="H15" s="26" t="n">
        <f>316355107670</f>
        <v>3.1635510767E11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354370.0</v>
      </c>
      <c r="F16" s="18" t="n">
        <f>41298</f>
        <v>41298.0</v>
      </c>
      <c r="G16" s="17" t="n">
        <v>2.173973393042E12</v>
      </c>
      <c r="H16" s="18" t="n">
        <f>253336070542</f>
        <v>2.53336070542E11</v>
      </c>
    </row>
    <row r="17" spans="1:8" ht="24.9" customHeight="1">
      <c r="A17" s="51"/>
      <c r="B17" s="57"/>
      <c r="C17" s="39"/>
      <c r="D17" s="20" t="s">
        <v>16</v>
      </c>
      <c r="E17" s="21" t="n">
        <v>167010.0</v>
      </c>
      <c r="F17" s="22" t="n">
        <f>21720</f>
        <v>21720.0</v>
      </c>
      <c r="G17" s="21" t="n">
        <v>1.02092970801E12</v>
      </c>
      <c r="H17" s="22" t="n">
        <f>132745701010</f>
        <v>1.3274570101E11</v>
      </c>
    </row>
    <row r="18" spans="1:8" ht="24.9" customHeight="1">
      <c r="A18" s="51"/>
      <c r="B18" s="57"/>
      <c r="C18" s="39"/>
      <c r="D18" s="20" t="s">
        <v>17</v>
      </c>
      <c r="E18" s="21" t="n">
        <v>201230.0</v>
      </c>
      <c r="F18" s="22" t="n">
        <f>21483</f>
        <v>21483.0</v>
      </c>
      <c r="G18" s="21" t="n">
        <v>1.21943230573E12</v>
      </c>
      <c r="H18" s="22" t="n">
        <f>130151661730</f>
        <v>1.3015166173E11</v>
      </c>
    </row>
    <row r="19" spans="1:8" ht="24.9" customHeight="1">
      <c r="A19" s="51"/>
      <c r="B19" s="57"/>
      <c r="C19" s="39"/>
      <c r="D19" s="24" t="s">
        <v>18</v>
      </c>
      <c r="E19" s="25" t="n">
        <v>722610.0</v>
      </c>
      <c r="F19" s="26" t="n">
        <f>84501</f>
        <v>84501.0</v>
      </c>
      <c r="G19" s="25" t="n">
        <v>4.414335406782E12</v>
      </c>
      <c r="H19" s="26" t="n">
        <f>516233433282</f>
        <v>5.16233433282E11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465077.0</v>
      </c>
      <c r="F20" s="18" t="str">
        <f>"－"</f>
        <v>－</v>
      </c>
      <c r="G20" s="17" t="n">
        <v>2.8528509035E11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215112.0</v>
      </c>
      <c r="F21" s="22" t="str">
        <f>"－"</f>
        <v>－</v>
      </c>
      <c r="G21" s="21" t="n">
        <v>1.314752924E11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237113.0</v>
      </c>
      <c r="F22" s="22" t="str">
        <f>"－"</f>
        <v>－</v>
      </c>
      <c r="G22" s="21" t="n">
        <v>1.4367987055E11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917302.0</v>
      </c>
      <c r="F23" s="26" t="str">
        <f>"－"</f>
        <v>－</v>
      </c>
      <c r="G23" s="25" t="n">
        <v>5.604402533E11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21303.0</v>
      </c>
      <c r="F24" s="18" t="n">
        <f>44</f>
        <v>44.0</v>
      </c>
      <c r="G24" s="17" t="n">
        <v>8.21532201E11</v>
      </c>
      <c r="H24" s="18" t="n">
        <f>1693011000</f>
        <v>1.693011E9</v>
      </c>
    </row>
    <row r="25" spans="1:8" ht="24.9" customHeight="1">
      <c r="A25" s="51"/>
      <c r="B25" s="57"/>
      <c r="C25" s="39"/>
      <c r="D25" s="20" t="s">
        <v>16</v>
      </c>
      <c r="E25" s="21" t="n">
        <v>13766.0</v>
      </c>
      <c r="F25" s="22" t="n">
        <f>74</f>
        <v>74.0</v>
      </c>
      <c r="G25" s="21" t="n">
        <v>5.32090901E11</v>
      </c>
      <c r="H25" s="22" t="n">
        <f>2863506000</f>
        <v>2.863506E9</v>
      </c>
    </row>
    <row r="26" spans="1:8" ht="24.9" customHeight="1">
      <c r="A26" s="51"/>
      <c r="B26" s="57"/>
      <c r="C26" s="39"/>
      <c r="D26" s="20" t="s">
        <v>17</v>
      </c>
      <c r="E26" s="21" t="n">
        <v>25060.0</v>
      </c>
      <c r="F26" s="22" t="n">
        <f>4818</f>
        <v>4818.0</v>
      </c>
      <c r="G26" s="21" t="n">
        <v>9.651180835E11</v>
      </c>
      <c r="H26" s="22" t="n">
        <f>185712603500</f>
        <v>1.857126035E11</v>
      </c>
    </row>
    <row r="27" spans="1:8" ht="24.9" customHeight="1">
      <c r="A27" s="51"/>
      <c r="B27" s="57"/>
      <c r="C27" s="39"/>
      <c r="D27" s="24" t="s">
        <v>18</v>
      </c>
      <c r="E27" s="25" t="n">
        <v>60129.0</v>
      </c>
      <c r="F27" s="26" t="n">
        <f>4936</f>
        <v>4936.0</v>
      </c>
      <c r="G27" s="25" t="n">
        <v>2.3187411855E12</v>
      </c>
      <c r="H27" s="26" t="n">
        <f>190269120500</f>
        <v>1.902691205E11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6920.0</v>
      </c>
      <c r="F28" s="18" t="n">
        <f>335</f>
        <v>335.0</v>
      </c>
      <c r="G28" s="17" t="n">
        <v>2.66792353E10</v>
      </c>
      <c r="H28" s="18" t="n">
        <f>1291058800</f>
        <v>1.2910588E9</v>
      </c>
    </row>
    <row r="29" spans="1:8" ht="24.9" customHeight="1">
      <c r="A29" s="51"/>
      <c r="B29" s="57"/>
      <c r="C29" s="39"/>
      <c r="D29" s="20" t="s">
        <v>16</v>
      </c>
      <c r="E29" s="21" t="n">
        <v>6194.0</v>
      </c>
      <c r="F29" s="22" t="n">
        <f>224</f>
        <v>224.0</v>
      </c>
      <c r="G29" s="21" t="n">
        <v>2.3939573E10</v>
      </c>
      <c r="H29" s="22" t="n">
        <f>865419500</f>
        <v>8.654195E8</v>
      </c>
    </row>
    <row r="30" spans="1:8" ht="24.9" customHeight="1">
      <c r="A30" s="51"/>
      <c r="B30" s="57"/>
      <c r="C30" s="39"/>
      <c r="D30" s="20" t="s">
        <v>17</v>
      </c>
      <c r="E30" s="21" t="n">
        <v>7555.0</v>
      </c>
      <c r="F30" s="22" t="n">
        <f>197</f>
        <v>197.0</v>
      </c>
      <c r="G30" s="21" t="n">
        <v>2.908697585E10</v>
      </c>
      <c r="H30" s="22" t="n">
        <f>758524600</f>
        <v>7.585246E8</v>
      </c>
    </row>
    <row r="31" spans="1:8" ht="24.9" customHeight="1">
      <c r="A31" s="51"/>
      <c r="B31" s="57"/>
      <c r="C31" s="39"/>
      <c r="D31" s="24" t="s">
        <v>18</v>
      </c>
      <c r="E31" s="25" t="n">
        <v>20669.0</v>
      </c>
      <c r="F31" s="26" t="n">
        <f>756</f>
        <v>756.0</v>
      </c>
      <c r="G31" s="25" t="n">
        <v>7.970578415E10</v>
      </c>
      <c r="H31" s="26" t="n">
        <f>2915002900</f>
        <v>2.9150029E9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1373.0</v>
      </c>
      <c r="F36" s="18" t="n">
        <f>86</f>
        <v>86.0</v>
      </c>
      <c r="G36" s="17" t="n">
        <v>4.801457898E9</v>
      </c>
      <c r="H36" s="18" t="n">
        <f>298902398</f>
        <v>2.98902398E8</v>
      </c>
    </row>
    <row r="37" spans="1:8" ht="24.9" customHeight="1">
      <c r="A37" s="51"/>
      <c r="B37" s="57"/>
      <c r="C37" s="39"/>
      <c r="D37" s="20" t="s">
        <v>16</v>
      </c>
      <c r="E37" s="21" t="n">
        <v>1094.0</v>
      </c>
      <c r="F37" s="22" t="n">
        <f>1</f>
        <v>1.0</v>
      </c>
      <c r="G37" s="21" t="n">
        <v>3.827621E9</v>
      </c>
      <c r="H37" s="22" t="n">
        <f>3511000</f>
        <v>3511000.0</v>
      </c>
    </row>
    <row r="38" spans="1:8" ht="24.9" customHeight="1">
      <c r="A38" s="51"/>
      <c r="B38" s="57"/>
      <c r="C38" s="39"/>
      <c r="D38" s="20" t="s">
        <v>17</v>
      </c>
      <c r="E38" s="21" t="n">
        <v>1207.0</v>
      </c>
      <c r="F38" s="22" t="n">
        <f>109</f>
        <v>109.0</v>
      </c>
      <c r="G38" s="21" t="n">
        <v>4.208508E9</v>
      </c>
      <c r="H38" s="22" t="n">
        <f>379211000</f>
        <v>3.79211E8</v>
      </c>
    </row>
    <row r="39" spans="1:8" ht="24.9" customHeight="1">
      <c r="A39" s="51"/>
      <c r="B39" s="57"/>
      <c r="C39" s="39"/>
      <c r="D39" s="24" t="s">
        <v>18</v>
      </c>
      <c r="E39" s="25" t="n">
        <v>3674.0</v>
      </c>
      <c r="F39" s="26" t="n">
        <f>196</f>
        <v>196.0</v>
      </c>
      <c r="G39" s="25" t="n">
        <v>1.2837586898E10</v>
      </c>
      <c r="H39" s="26" t="n">
        <f>681624398</f>
        <v>6.81624398E8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160.0</v>
      </c>
      <c r="F46" s="22" t="n">
        <f>160</f>
        <v>160.0</v>
      </c>
      <c r="G46" s="21" t="n">
        <v>1.0248E9</v>
      </c>
      <c r="H46" s="22" t="n">
        <f>1024800000</f>
        <v>1.0248E9</v>
      </c>
    </row>
    <row r="47" spans="1:8" ht="24.9" customHeight="1">
      <c r="A47" s="51"/>
      <c r="B47" s="57"/>
      <c r="C47" s="39"/>
      <c r="D47" s="24" t="s">
        <v>18</v>
      </c>
      <c r="E47" s="25" t="n">
        <v>160.0</v>
      </c>
      <c r="F47" s="26" t="n">
        <f>160</f>
        <v>160.0</v>
      </c>
      <c r="G47" s="25" t="n">
        <v>1.0248E9</v>
      </c>
      <c r="H47" s="26" t="n">
        <f>1024800000</f>
        <v>1.0248E9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143.0</v>
      </c>
      <c r="F48" s="18" t="n">
        <f>143</f>
        <v>143.0</v>
      </c>
      <c r="G48" s="17" t="n">
        <v>2.586774E8</v>
      </c>
      <c r="H48" s="18" t="n">
        <f>258677400</f>
        <v>2.586774E8</v>
      </c>
    </row>
    <row r="49" spans="1:8" ht="24.9" customHeight="1">
      <c r="A49" s="51"/>
      <c r="B49" s="57"/>
      <c r="C49" s="39"/>
      <c r="D49" s="20" t="s">
        <v>16</v>
      </c>
      <c r="E49" s="21" t="n">
        <v>9.0</v>
      </c>
      <c r="F49" s="22" t="n">
        <f>0</f>
        <v>0.0</v>
      </c>
      <c r="G49" s="21" t="n">
        <v>1.63735E7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331.0</v>
      </c>
      <c r="F50" s="22" t="n">
        <f>308</f>
        <v>308.0</v>
      </c>
      <c r="G50" s="21" t="n">
        <v>6.0327744E8</v>
      </c>
      <c r="H50" s="22" t="n">
        <f>561378440</f>
        <v>5.6137844E8</v>
      </c>
    </row>
    <row r="51" spans="1:8" ht="24.9" customHeight="1">
      <c r="A51" s="51"/>
      <c r="B51" s="57"/>
      <c r="C51" s="39"/>
      <c r="D51" s="24" t="s">
        <v>18</v>
      </c>
      <c r="E51" s="25" t="n">
        <v>483.0</v>
      </c>
      <c r="F51" s="26" t="n">
        <f>451</f>
        <v>451.0</v>
      </c>
      <c r="G51" s="25" t="n">
        <v>8.7832834E8</v>
      </c>
      <c r="H51" s="26" t="n">
        <f>820055840</f>
        <v>8.2005584E8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1081.0</v>
      </c>
      <c r="F56" s="18" t="n">
        <f>14</f>
        <v>14.0</v>
      </c>
      <c r="G56" s="17" t="n">
        <v>8.571778E8</v>
      </c>
      <c r="H56" s="18" t="n">
        <f>11049800</f>
        <v>1.10498E7</v>
      </c>
    </row>
    <row r="57" spans="1:8" ht="24.9" customHeight="1">
      <c r="A57" s="51"/>
      <c r="B57" s="57"/>
      <c r="C57" s="39"/>
      <c r="D57" s="20" t="s">
        <v>16</v>
      </c>
      <c r="E57" s="21" t="n">
        <v>2283.0</v>
      </c>
      <c r="F57" s="22" t="n">
        <f>77</f>
        <v>77.0</v>
      </c>
      <c r="G57" s="21" t="n">
        <v>1.8505829E9</v>
      </c>
      <c r="H57" s="22" t="n">
        <f>62290900</f>
        <v>6.22909E7</v>
      </c>
    </row>
    <row r="58" spans="1:8" ht="24.9" customHeight="1">
      <c r="A58" s="51"/>
      <c r="B58" s="57"/>
      <c r="C58" s="39"/>
      <c r="D58" s="20" t="s">
        <v>17</v>
      </c>
      <c r="E58" s="21" t="n">
        <v>1635.0</v>
      </c>
      <c r="F58" s="22" t="n">
        <f>473</f>
        <v>473.0</v>
      </c>
      <c r="G58" s="21" t="n">
        <v>1.32708051E9</v>
      </c>
      <c r="H58" s="22" t="n">
        <f>387934510</f>
        <v>3.8793451E8</v>
      </c>
    </row>
    <row r="59" spans="1:8" ht="24.9" customHeight="1">
      <c r="A59" s="51"/>
      <c r="B59" s="57"/>
      <c r="C59" s="39"/>
      <c r="D59" s="24" t="s">
        <v>18</v>
      </c>
      <c r="E59" s="25" t="n">
        <v>4999.0</v>
      </c>
      <c r="F59" s="26" t="n">
        <f>564</f>
        <v>564.0</v>
      </c>
      <c r="G59" s="25" t="n">
        <v>4.03484121E9</v>
      </c>
      <c r="H59" s="26" t="n">
        <f>461275210</f>
        <v>4.6127521E8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220.0</v>
      </c>
      <c r="F60" s="18" t="n">
        <f>9</f>
        <v>9.0</v>
      </c>
      <c r="G60" s="17" t="n">
        <v>1.0912287E9</v>
      </c>
      <c r="H60" s="18" t="n">
        <f>44506100</f>
        <v>4.45061E7</v>
      </c>
    </row>
    <row r="61" spans="1:8" ht="24.9" customHeight="1">
      <c r="A61" s="51"/>
      <c r="B61" s="57"/>
      <c r="C61" s="39"/>
      <c r="D61" s="20" t="s">
        <v>16</v>
      </c>
      <c r="E61" s="21" t="n">
        <v>14.0</v>
      </c>
      <c r="F61" s="22" t="n">
        <f>3</f>
        <v>3.0</v>
      </c>
      <c r="G61" s="21" t="n">
        <v>6.96561E7</v>
      </c>
      <c r="H61" s="22" t="n">
        <f>14921400</f>
        <v>1.49214E7</v>
      </c>
    </row>
    <row r="62" spans="1:8" ht="24.9" customHeight="1">
      <c r="A62" s="51"/>
      <c r="B62" s="57"/>
      <c r="C62" s="39"/>
      <c r="D62" s="20" t="s">
        <v>17</v>
      </c>
      <c r="E62" s="21" t="n">
        <v>34.0</v>
      </c>
      <c r="F62" s="22" t="n">
        <f>10</f>
        <v>10.0</v>
      </c>
      <c r="G62" s="21" t="n">
        <v>1.691153E8</v>
      </c>
      <c r="H62" s="22" t="n">
        <f>49731500</f>
        <v>4.97315E7</v>
      </c>
    </row>
    <row r="63" spans="1:8" ht="24.9" customHeight="1">
      <c r="A63" s="51"/>
      <c r="B63" s="57"/>
      <c r="C63" s="39"/>
      <c r="D63" s="24" t="s">
        <v>18</v>
      </c>
      <c r="E63" s="25" t="n">
        <v>268.0</v>
      </c>
      <c r="F63" s="26" t="n">
        <f>22</f>
        <v>22.0</v>
      </c>
      <c r="G63" s="25" t="n">
        <v>1.3300001E9</v>
      </c>
      <c r="H63" s="26" t="n">
        <f>109159000</f>
        <v>1.09159E8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1039500.0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0.0</v>
      </c>
      <c r="F78" s="22" t="n">
        <f>0</f>
        <v>0.0</v>
      </c>
      <c r="G78" s="21" t="n">
        <v>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3.0</v>
      </c>
      <c r="F79" s="26" t="n">
        <f>0</f>
        <v>0.0</v>
      </c>
      <c r="G79" s="25" t="n">
        <v>1039500.0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169.0</v>
      </c>
      <c r="F92" s="18" t="n">
        <f>0</f>
        <v>0.0</v>
      </c>
      <c r="G92" s="17" t="n">
        <v>2.677673E8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3172400.0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200.0</v>
      </c>
      <c r="F94" s="22" t="n">
        <f>0</f>
        <v>0.0</v>
      </c>
      <c r="G94" s="21" t="n">
        <v>3.173E8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371.0</v>
      </c>
      <c r="F95" s="26" t="n">
        <f>0</f>
        <v>0.0</v>
      </c>
      <c r="G95" s="25" t="n">
        <v>5.882397E8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399.0</v>
      </c>
      <c r="F96" s="18" t="n">
        <f>0</f>
        <v>0.0</v>
      </c>
      <c r="G96" s="17" t="n">
        <v>9.315729E8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50.0</v>
      </c>
      <c r="F97" s="22" t="n">
        <f>0</f>
        <v>0.0</v>
      </c>
      <c r="G97" s="21" t="n">
        <v>1.1683E8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54.0</v>
      </c>
      <c r="F98" s="22" t="n">
        <f>0</f>
        <v>0.0</v>
      </c>
      <c r="G98" s="21" t="n">
        <v>1.262058E8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503.0</v>
      </c>
      <c r="F99" s="26" t="n">
        <f>0</f>
        <v>0.0</v>
      </c>
      <c r="G99" s="25" t="n">
        <v>1.1746087E9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130.0</v>
      </c>
      <c r="F100" s="18" t="n">
        <f>0</f>
        <v>0.0</v>
      </c>
      <c r="G100" s="17" t="n">
        <v>2.40131E8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9.2405E7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180.0</v>
      </c>
      <c r="F103" s="26" t="n">
        <f>0</f>
        <v>0.0</v>
      </c>
      <c r="G103" s="25" t="n">
        <v>3.32536E8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15254.0</v>
      </c>
      <c r="F108" s="18" t="n">
        <f>236</f>
        <v>236.0</v>
      </c>
      <c r="G108" s="17" t="n">
        <v>1.9542752E12</v>
      </c>
      <c r="H108" s="18" t="n">
        <f>30212010000</f>
        <v>3.021201E10</v>
      </c>
    </row>
    <row r="109" spans="1:8" ht="24.9" customHeight="1">
      <c r="A109" s="51"/>
      <c r="B109" s="57"/>
      <c r="C109" s="39"/>
      <c r="D109" s="20" t="s">
        <v>16</v>
      </c>
      <c r="E109" s="21" t="n">
        <v>15034.0</v>
      </c>
      <c r="F109" s="22" t="n">
        <f>1343</f>
        <v>1343.0</v>
      </c>
      <c r="G109" s="21" t="n">
        <v>1.92565098E12</v>
      </c>
      <c r="H109" s="22" t="n">
        <f>172037630000</f>
        <v>1.7203763E11</v>
      </c>
    </row>
    <row r="110" spans="1:8" ht="24.9" customHeight="1">
      <c r="A110" s="51"/>
      <c r="B110" s="57"/>
      <c r="C110" s="39"/>
      <c r="D110" s="20" t="s">
        <v>17</v>
      </c>
      <c r="E110" s="21" t="n">
        <v>19498.0</v>
      </c>
      <c r="F110" s="22" t="n">
        <f>3581</f>
        <v>3581.0</v>
      </c>
      <c r="G110" s="21" t="n">
        <v>2.490565945E12</v>
      </c>
      <c r="H110" s="22" t="n">
        <f>457194735000</f>
        <v>4.57194735E11</v>
      </c>
    </row>
    <row r="111" spans="1:8" ht="24.9" customHeight="1">
      <c r="A111" s="51"/>
      <c r="B111" s="57"/>
      <c r="C111" s="39"/>
      <c r="D111" s="24" t="s">
        <v>18</v>
      </c>
      <c r="E111" s="25" t="n">
        <v>49786.0</v>
      </c>
      <c r="F111" s="26" t="n">
        <f>5160</f>
        <v>5160.0</v>
      </c>
      <c r="G111" s="25" t="n">
        <v>6.370492125E12</v>
      </c>
      <c r="H111" s="26" t="n">
        <f>659444375000</f>
        <v>6.59444375E11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394.0</v>
      </c>
      <c r="F113" s="22" t="n">
        <f>0</f>
        <v>0.0</v>
      </c>
      <c r="G113" s="21" t="n">
        <v>5.047341E9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332.0</v>
      </c>
      <c r="F114" s="22" t="n">
        <f>0</f>
        <v>0.0</v>
      </c>
      <c r="G114" s="21" t="n">
        <v>4.242439E9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726.0</v>
      </c>
      <c r="F115" s="26" t="n">
        <f>0</f>
        <v>0.0</v>
      </c>
      <c r="G115" s="25" t="n">
        <v>9.28978E9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1.0</v>
      </c>
      <c r="F117" s="22" t="n">
        <f>0</f>
        <v>0.0</v>
      </c>
      <c r="G117" s="21" t="n">
        <v>9115000.0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1.0</v>
      </c>
      <c r="F119" s="26" t="n">
        <f>0</f>
        <v>0.0</v>
      </c>
      <c r="G119" s="25" t="n">
        <v>9115000.0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8063.0</v>
      </c>
      <c r="F120" s="18" t="n">
        <f>0</f>
        <v>0.0</v>
      </c>
      <c r="G120" s="17" t="n">
        <v>1.99897811875E11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1202.0</v>
      </c>
      <c r="F121" s="22" t="n">
        <f>0</f>
        <v>0.0</v>
      </c>
      <c r="G121" s="21" t="n">
        <v>2.9712148125E10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498.0</v>
      </c>
      <c r="F122" s="22" t="n">
        <f>0</f>
        <v>0.0</v>
      </c>
      <c r="G122" s="21" t="n">
        <v>1.2301295E10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9763.0</v>
      </c>
      <c r="F123" s="26" t="n">
        <f>0</f>
        <v>0.0</v>
      </c>
      <c r="G123" s="25" t="n">
        <v>2.41911255E11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8361.0</v>
      </c>
      <c r="F124" s="18" t="n">
        <f>0</f>
        <v>0.0</v>
      </c>
      <c r="G124" s="17" t="n">
        <v>2.00206099E11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2407.0</v>
      </c>
      <c r="F125" s="22" t="n">
        <f>0</f>
        <v>0.0</v>
      </c>
      <c r="G125" s="21" t="n">
        <v>5.7920881E10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5119.0</v>
      </c>
      <c r="F126" s="22" t="n">
        <f>0</f>
        <v>0.0</v>
      </c>
      <c r="G126" s="21" t="n">
        <v>1.22406595E11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15887.0</v>
      </c>
      <c r="F127" s="26" t="n">
        <f>0</f>
        <v>0.0</v>
      </c>
      <c r="G127" s="25" t="n">
        <v>3.80533575E11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12.0</v>
      </c>
      <c r="F128" s="18" t="n">
        <f>0</f>
        <v>0.0</v>
      </c>
      <c r="G128" s="17" t="n">
        <v>2.88355E7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68.0</v>
      </c>
      <c r="F129" s="22" t="n">
        <f>0</f>
        <v>0.0</v>
      </c>
      <c r="G129" s="21" t="n">
        <v>1.642972E8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269.0</v>
      </c>
      <c r="F130" s="22" t="n">
        <f>0</f>
        <v>0.0</v>
      </c>
      <c r="G130" s="21" t="n">
        <v>6.436111E8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349.0</v>
      </c>
      <c r="F131" s="26" t="n">
        <f>0</f>
        <v>0.0</v>
      </c>
      <c r="G131" s="25" t="n">
        <v>8.367438E8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4204.0</v>
      </c>
      <c r="F132" s="18" t="n">
        <f>0</f>
        <v>0.0</v>
      </c>
      <c r="G132" s="17" t="n">
        <v>1.011076285E10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2170.0</v>
      </c>
      <c r="F133" s="22" t="n">
        <f>0</f>
        <v>0.0</v>
      </c>
      <c r="G133" s="21" t="n">
        <v>5.2359213E9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2585.0</v>
      </c>
      <c r="F134" s="22" t="n">
        <f>0</f>
        <v>0.0</v>
      </c>
      <c r="G134" s="21" t="n">
        <v>6.20386455E9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8959.0</v>
      </c>
      <c r="F135" s="26" t="n">
        <f>0</f>
        <v>0.0</v>
      </c>
      <c r="G135" s="25" t="n">
        <v>2.15505487E10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46.0</v>
      </c>
      <c r="F136" s="18" t="n">
        <f>0</f>
        <v>0.0</v>
      </c>
      <c r="G136" s="17" t="n">
        <v>1.096732E8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17.0</v>
      </c>
      <c r="F137" s="22" t="n">
        <f>0</f>
        <v>0.0</v>
      </c>
      <c r="G137" s="21" t="n">
        <v>4.06742E7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46.0</v>
      </c>
      <c r="F138" s="22" t="n">
        <f>0</f>
        <v>0.0</v>
      </c>
      <c r="G138" s="21" t="n">
        <v>1.093069E8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109.0</v>
      </c>
      <c r="F139" s="26" t="n">
        <f>0</f>
        <v>0.0</v>
      </c>
      <c r="G139" s="25" t="n">
        <v>2.596543E8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13.0</v>
      </c>
      <c r="F142" s="22" t="n">
        <f>0</f>
        <v>0.0</v>
      </c>
      <c r="G142" s="21" t="n">
        <v>1.51503E8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13.0</v>
      </c>
      <c r="F143" s="26" t="n">
        <f>0</f>
        <v>0.0</v>
      </c>
      <c r="G143" s="25" t="n">
        <v>1.51503E8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1141.0</v>
      </c>
      <c r="F144" s="18" t="n">
        <f>0</f>
        <v>0.0</v>
      </c>
      <c r="G144" s="17" t="n">
        <v>5.6792075E9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986.0</v>
      </c>
      <c r="F145" s="22" t="n">
        <f>0</f>
        <v>0.0</v>
      </c>
      <c r="G145" s="21" t="n">
        <v>4.937124E9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749.0</v>
      </c>
      <c r="F146" s="22" t="n">
        <f>0</f>
        <v>0.0</v>
      </c>
      <c r="G146" s="21" t="n">
        <v>3.719896E9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2876.0</v>
      </c>
      <c r="F147" s="26" t="n">
        <f>0</f>
        <v>0.0</v>
      </c>
      <c r="G147" s="25" t="n">
        <v>1.43362275E10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10.0</v>
      </c>
      <c r="F148" s="18" t="n">
        <f>0</f>
        <v>0.0</v>
      </c>
      <c r="G148" s="17" t="n">
        <v>1.01034E7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147.0</v>
      </c>
      <c r="F149" s="22" t="n">
        <f>0</f>
        <v>0.0</v>
      </c>
      <c r="G149" s="21" t="n">
        <v>1.493629E8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118.0</v>
      </c>
      <c r="F150" s="22" t="n">
        <f>0</f>
        <v>0.0</v>
      </c>
      <c r="G150" s="21" t="n">
        <v>1.192536E8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275.0</v>
      </c>
      <c r="F151" s="26" t="n">
        <f>0</f>
        <v>0.0</v>
      </c>
      <c r="G151" s="25" t="n">
        <v>2.787199E8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247.0</v>
      </c>
      <c r="F152" s="18" t="n">
        <f>0</f>
        <v>0.0</v>
      </c>
      <c r="G152" s="17" t="n">
        <v>2.464678E8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110.0</v>
      </c>
      <c r="F153" s="22" t="n">
        <f>0</f>
        <v>0.0</v>
      </c>
      <c r="G153" s="21" t="n">
        <v>1.1059005E8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219.0</v>
      </c>
      <c r="F154" s="22" t="n">
        <f>0</f>
        <v>0.0</v>
      </c>
      <c r="G154" s="21" t="n">
        <v>2.188374E8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576.0</v>
      </c>
      <c r="F155" s="26" t="n">
        <f>0</f>
        <v>0.0</v>
      </c>
      <c r="G155" s="25" t="n">
        <v>5.7589525E8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434.0</v>
      </c>
      <c r="F156" s="18" t="n">
        <f>0</f>
        <v>0.0</v>
      </c>
      <c r="G156" s="17" t="n">
        <v>4.346998E8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521.0</v>
      </c>
      <c r="F157" s="22" t="n">
        <f>0</f>
        <v>0.0</v>
      </c>
      <c r="G157" s="21" t="n">
        <v>5.232836E8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1147.0</v>
      </c>
      <c r="F158" s="22" t="n">
        <f>0</f>
        <v>0.0</v>
      </c>
      <c r="G158" s="21" t="n">
        <v>1.141707E9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2102.0</v>
      </c>
      <c r="F159" s="26" t="n">
        <f>0</f>
        <v>0.0</v>
      </c>
      <c r="G159" s="25" t="n">
        <v>2.0996904E9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219.0</v>
      </c>
      <c r="F168" s="18" t="n">
        <f>140</f>
        <v>140.0</v>
      </c>
      <c r="G168" s="17" t="n">
        <v>4.46149E8</v>
      </c>
      <c r="H168" s="18" t="n">
        <f>282310000</f>
        <v>2.8231E8</v>
      </c>
    </row>
    <row r="169" spans="1:8" ht="24.9" customHeight="1">
      <c r="A169" s="51"/>
      <c r="B169" s="57"/>
      <c r="C169" s="39"/>
      <c r="D169" s="20" t="s">
        <v>16</v>
      </c>
      <c r="E169" s="21" t="n">
        <v>403.0</v>
      </c>
      <c r="F169" s="22" t="n">
        <f>0</f>
        <v>0.0</v>
      </c>
      <c r="G169" s="21" t="n">
        <v>8.35523E8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282.0</v>
      </c>
      <c r="F170" s="22" t="n">
        <f>0</f>
        <v>0.0</v>
      </c>
      <c r="G170" s="21" t="n">
        <v>5.800275E8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904.0</v>
      </c>
      <c r="F171" s="26" t="n">
        <f>140</f>
        <v>140.0</v>
      </c>
      <c r="G171" s="25" t="n">
        <v>1.8616995E9</v>
      </c>
      <c r="H171" s="26" t="n">
        <f>282310000</f>
        <v>2.8231E8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10.0</v>
      </c>
      <c r="F176" s="18" t="n">
        <f>0</f>
        <v>0.0</v>
      </c>
      <c r="G176" s="17" t="n">
        <v>1.7756E7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7146000.0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12.0</v>
      </c>
      <c r="F178" s="22" t="n">
        <f>0</f>
        <v>0.0</v>
      </c>
      <c r="G178" s="21" t="n">
        <v>2.1418E7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26.0</v>
      </c>
      <c r="F179" s="26" t="n">
        <f>0</f>
        <v>0.0</v>
      </c>
      <c r="G179" s="25" t="n">
        <v>4.632E7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800.0</v>
      </c>
      <c r="F204" s="18" t="n">
        <f>0</f>
        <v>0.0</v>
      </c>
      <c r="G204" s="17" t="n">
        <v>3.5799025E9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374.0</v>
      </c>
      <c r="F205" s="22" t="n">
        <f>0</f>
        <v>0.0</v>
      </c>
      <c r="G205" s="21" t="n">
        <v>1.6715235E9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1519.0</v>
      </c>
      <c r="F206" s="22" t="n">
        <f>0</f>
        <v>0.0</v>
      </c>
      <c r="G206" s="21" t="n">
        <v>6.820259E9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2693.0</v>
      </c>
      <c r="F207" s="26" t="n">
        <f>0</f>
        <v>0.0</v>
      </c>
      <c r="G207" s="25" t="n">
        <v>1.2071685E10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50.0</v>
      </c>
      <c r="F212" s="18" t="n">
        <f>50</f>
        <v>50.0</v>
      </c>
      <c r="G212" s="17" t="n">
        <v>7.3098E7</v>
      </c>
      <c r="H212" s="18" t="n">
        <f>73098000</f>
        <v>7.3098E7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50.0</v>
      </c>
      <c r="F215" s="26" t="n">
        <f>50</f>
        <v>50.0</v>
      </c>
      <c r="G215" s="25" t="n">
        <v>7.3098E7</v>
      </c>
      <c r="H215" s="26" t="n">
        <f>73098000</f>
        <v>7.3098E7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9.0</v>
      </c>
      <c r="F220" s="18" t="n">
        <f>9</f>
        <v>9.0</v>
      </c>
      <c r="G220" s="17" t="n">
        <v>7005240.0</v>
      </c>
      <c r="H220" s="18" t="n">
        <f>7005240</f>
        <v>7005240.0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9.0</v>
      </c>
      <c r="F223" s="26" t="n">
        <f>9</f>
        <v>9.0</v>
      </c>
      <c r="G223" s="25" t="n">
        <v>7005240.0</v>
      </c>
      <c r="H223" s="26" t="n">
        <f>7005240</f>
        <v>7005240.0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3222</f>
        <v>3222.0</v>
      </c>
      <c r="E12" s="35" t="n">
        <f>2145</f>
        <v>2145.0</v>
      </c>
      <c r="F12" s="17" t="n">
        <f>1932</f>
        <v>1932.0</v>
      </c>
      <c r="G12" s="35" t="n">
        <f>774</f>
        <v>774.0</v>
      </c>
      <c r="H12" s="17" t="n">
        <f>5154</f>
        <v>5154.0</v>
      </c>
      <c r="I12" s="35" t="n">
        <f>2919</f>
        <v>2919.0</v>
      </c>
      <c r="J12" s="17" t="n">
        <f>2928921369</f>
        <v>2.928921369E9</v>
      </c>
      <c r="K12" s="35" t="n">
        <f>2505661369</f>
        <v>2.505661369E9</v>
      </c>
      <c r="L12" s="17" t="n">
        <f>1237064140</f>
        <v>1.23706414E9</v>
      </c>
      <c r="M12" s="35" t="n">
        <f>773222140</f>
        <v>7.7322214E8</v>
      </c>
      <c r="N12" s="17" t="n">
        <f>4165985509</f>
        <v>4.165985509E9</v>
      </c>
      <c r="O12" s="35" t="n">
        <f>3278883509</f>
        <v>3.278883509E9</v>
      </c>
    </row>
    <row r="13" spans="1:15" ht="24.9" customHeight="1">
      <c r="A13" s="38"/>
      <c r="B13" s="62"/>
      <c r="C13" s="20" t="s">
        <v>16</v>
      </c>
      <c r="D13" s="21" t="n">
        <f>3073</f>
        <v>3073.0</v>
      </c>
      <c r="E13" s="36" t="n">
        <f>1574</f>
        <v>1574.0</v>
      </c>
      <c r="F13" s="21" t="n">
        <f>1668</f>
        <v>1668.0</v>
      </c>
      <c r="G13" s="36" t="n">
        <f>309</f>
        <v>309.0</v>
      </c>
      <c r="H13" s="21" t="n">
        <f>4741</f>
        <v>4741.0</v>
      </c>
      <c r="I13" s="36" t="n">
        <f>1883</f>
        <v>1883.0</v>
      </c>
      <c r="J13" s="21" t="n">
        <f>3308250980</f>
        <v>3.30825098E9</v>
      </c>
      <c r="K13" s="36" t="n">
        <f>2665044980</f>
        <v>2.66504498E9</v>
      </c>
      <c r="L13" s="21" t="n">
        <f>482580120</f>
        <v>4.8258012E8</v>
      </c>
      <c r="M13" s="36" t="n">
        <f>43458120</f>
        <v>4.345812E7</v>
      </c>
      <c r="N13" s="21" t="n">
        <f>3790831100</f>
        <v>3.7908311E9</v>
      </c>
      <c r="O13" s="36" t="n">
        <f>2708503100</f>
        <v>2.7085031E9</v>
      </c>
    </row>
    <row r="14" spans="1:15" ht="24.9" customHeight="1">
      <c r="A14" s="38"/>
      <c r="B14" s="62"/>
      <c r="C14" s="20" t="s">
        <v>17</v>
      </c>
      <c r="D14" s="21" t="n">
        <f>11625</f>
        <v>11625.0</v>
      </c>
      <c r="E14" s="36" t="n">
        <f>8156</f>
        <v>8156.0</v>
      </c>
      <c r="F14" s="21" t="n">
        <f>5027</f>
        <v>5027.0</v>
      </c>
      <c r="G14" s="36" t="n">
        <f>2774</f>
        <v>2774.0</v>
      </c>
      <c r="H14" s="21" t="n">
        <f>16652</f>
        <v>16652.0</v>
      </c>
      <c r="I14" s="36" t="n">
        <f>10930</f>
        <v>10930.0</v>
      </c>
      <c r="J14" s="21" t="n">
        <f>16493213760</f>
        <v>1.649321376E10</v>
      </c>
      <c r="K14" s="36" t="n">
        <f>13759554760</f>
        <v>1.375955476E10</v>
      </c>
      <c r="L14" s="21" t="n">
        <f>5178006290</f>
        <v>5.17800629E9</v>
      </c>
      <c r="M14" s="36" t="n">
        <f>4188228290</f>
        <v>4.18822829E9</v>
      </c>
      <c r="N14" s="21" t="n">
        <f>21671220050</f>
        <v>2.167122005E10</v>
      </c>
      <c r="O14" s="36" t="n">
        <f>17947783050</f>
        <v>1.794778305E10</v>
      </c>
    </row>
    <row r="15" spans="1:15" ht="24.9" customHeight="1">
      <c r="A15" s="38"/>
      <c r="B15" s="62"/>
      <c r="C15" s="24" t="s">
        <v>18</v>
      </c>
      <c r="D15" s="25" t="n">
        <f>17920</f>
        <v>17920.0</v>
      </c>
      <c r="E15" s="37" t="n">
        <f>11875</f>
        <v>11875.0</v>
      </c>
      <c r="F15" s="25" t="n">
        <f>8627</f>
        <v>8627.0</v>
      </c>
      <c r="G15" s="37" t="n">
        <f>3857</f>
        <v>3857.0</v>
      </c>
      <c r="H15" s="25" t="n">
        <f>26547</f>
        <v>26547.0</v>
      </c>
      <c r="I15" s="37" t="n">
        <f>15732</f>
        <v>15732.0</v>
      </c>
      <c r="J15" s="25" t="n">
        <f>22730386109</f>
        <v>2.2730386109E10</v>
      </c>
      <c r="K15" s="37" t="n">
        <f>18930261109</f>
        <v>1.8930261109E10</v>
      </c>
      <c r="L15" s="25" t="n">
        <f>6897650550</f>
        <v>6.89765055E9</v>
      </c>
      <c r="M15" s="37" t="n">
        <f>5004908550</f>
        <v>5.00490855E9</v>
      </c>
      <c r="N15" s="25" t="n">
        <f>29628036659</f>
        <v>2.9628036659E10</v>
      </c>
      <c r="O15" s="37" t="n">
        <f>23935169659</f>
        <v>2.3935169659E10</v>
      </c>
    </row>
    <row r="16" spans="1:15" ht="24.9" customHeight="1">
      <c r="A16" s="38"/>
      <c r="B16" s="61" t="s">
        <v>105</v>
      </c>
      <c r="C16" s="16" t="s">
        <v>15</v>
      </c>
      <c r="D16" s="17" t="n">
        <f>8944</f>
        <v>8944.0</v>
      </c>
      <c r="E16" s="35" t="n">
        <f>1530</f>
        <v>1530.0</v>
      </c>
      <c r="F16" s="17" t="n">
        <f>7227</f>
        <v>7227.0</v>
      </c>
      <c r="G16" s="35" t="n">
        <f>490</f>
        <v>490.0</v>
      </c>
      <c r="H16" s="17" t="n">
        <f>16171</f>
        <v>16171.0</v>
      </c>
      <c r="I16" s="35" t="n">
        <f>2020</f>
        <v>2020.0</v>
      </c>
      <c r="J16" s="17" t="n">
        <f>185395500</f>
        <v>1.853955E8</v>
      </c>
      <c r="K16" s="35" t="n">
        <f>6803200</f>
        <v>6803200.0</v>
      </c>
      <c r="L16" s="17" t="n">
        <f>173553940</f>
        <v>1.7355394E8</v>
      </c>
      <c r="M16" s="35" t="n">
        <f>4146740</f>
        <v>4146740.0</v>
      </c>
      <c r="N16" s="17" t="n">
        <f>358949440</f>
        <v>3.5894944E8</v>
      </c>
      <c r="O16" s="35" t="n">
        <f>10949940</f>
        <v>1.094994E7</v>
      </c>
    </row>
    <row r="17" spans="1:15" ht="24.9" customHeight="1">
      <c r="A17" s="38"/>
      <c r="B17" s="62"/>
      <c r="C17" s="20" t="s">
        <v>16</v>
      </c>
      <c r="D17" s="21" t="n">
        <f>5208</f>
        <v>5208.0</v>
      </c>
      <c r="E17" s="36" t="n">
        <f>260</f>
        <v>260.0</v>
      </c>
      <c r="F17" s="21" t="n">
        <f>5395</f>
        <v>5395.0</v>
      </c>
      <c r="G17" s="36" t="n">
        <f>460</f>
        <v>460.0</v>
      </c>
      <c r="H17" s="21" t="n">
        <f>10603</f>
        <v>10603.0</v>
      </c>
      <c r="I17" s="36" t="n">
        <f>720</f>
        <v>720.0</v>
      </c>
      <c r="J17" s="21" t="n">
        <f>116060790</f>
        <v>1.1606079E8</v>
      </c>
      <c r="K17" s="36" t="n">
        <f>1328390</f>
        <v>1328390.0</v>
      </c>
      <c r="L17" s="21" t="n">
        <f>133082820</f>
        <v>1.3308282E8</v>
      </c>
      <c r="M17" s="36" t="n">
        <f>2329920</f>
        <v>2329920.0</v>
      </c>
      <c r="N17" s="21" t="n">
        <f>249143610</f>
        <v>2.4914361E8</v>
      </c>
      <c r="O17" s="36" t="n">
        <f>3658310</f>
        <v>3658310.0</v>
      </c>
    </row>
    <row r="18" spans="1:15" ht="24.9" customHeight="1">
      <c r="A18" s="38"/>
      <c r="B18" s="62"/>
      <c r="C18" s="20" t="s">
        <v>17</v>
      </c>
      <c r="D18" s="21" t="n">
        <f>8341</f>
        <v>8341.0</v>
      </c>
      <c r="E18" s="36" t="n">
        <f>370</f>
        <v>370.0</v>
      </c>
      <c r="F18" s="21" t="n">
        <f>8774</f>
        <v>8774.0</v>
      </c>
      <c r="G18" s="36" t="n">
        <f>970</f>
        <v>970.0</v>
      </c>
      <c r="H18" s="21" t="n">
        <f>17115</f>
        <v>17115.0</v>
      </c>
      <c r="I18" s="36" t="n">
        <f>1340</f>
        <v>1340.0</v>
      </c>
      <c r="J18" s="21" t="n">
        <f>279931580</f>
        <v>2.7993158E8</v>
      </c>
      <c r="K18" s="36" t="n">
        <f>9681180</f>
        <v>9681180.0</v>
      </c>
      <c r="L18" s="21" t="n">
        <f>209562210</f>
        <v>2.0956221E8</v>
      </c>
      <c r="M18" s="36" t="n">
        <f>3073110</f>
        <v>3073110.0</v>
      </c>
      <c r="N18" s="21" t="n">
        <f>489493790</f>
        <v>4.8949379E8</v>
      </c>
      <c r="O18" s="36" t="n">
        <f>12754290</f>
        <v>1.275429E7</v>
      </c>
    </row>
    <row r="19" spans="1:15" ht="24.9" customHeight="1">
      <c r="A19" s="38"/>
      <c r="B19" s="62"/>
      <c r="C19" s="24" t="s">
        <v>18</v>
      </c>
      <c r="D19" s="25" t="n">
        <f>22493</f>
        <v>22493.0</v>
      </c>
      <c r="E19" s="37" t="n">
        <f>2160</f>
        <v>2160.0</v>
      </c>
      <c r="F19" s="25" t="n">
        <f>21396</f>
        <v>21396.0</v>
      </c>
      <c r="G19" s="37" t="n">
        <f>1920</f>
        <v>1920.0</v>
      </c>
      <c r="H19" s="25" t="n">
        <f>43889</f>
        <v>43889.0</v>
      </c>
      <c r="I19" s="37" t="n">
        <f>4080</f>
        <v>4080.0</v>
      </c>
      <c r="J19" s="25" t="n">
        <f>581387870</f>
        <v>5.8138787E8</v>
      </c>
      <c r="K19" s="37" t="n">
        <f>17812770</f>
        <v>1.781277E7</v>
      </c>
      <c r="L19" s="25" t="n">
        <f>516198970</f>
        <v>5.1619897E8</v>
      </c>
      <c r="M19" s="37" t="n">
        <f>9549770</f>
        <v>9549770.0</v>
      </c>
      <c r="N19" s="25" t="n">
        <f>1097586840</f>
        <v>1.09758684E9</v>
      </c>
      <c r="O19" s="37" t="n">
        <f>27362540</f>
        <v>2.736254E7</v>
      </c>
    </row>
    <row r="20" spans="1:15" ht="24.9" customHeight="1">
      <c r="A20" s="38"/>
      <c r="B20" s="61" t="s">
        <v>106</v>
      </c>
      <c r="C20" s="16" t="s">
        <v>15</v>
      </c>
      <c r="D20" s="17" t="n">
        <f>85</f>
        <v>85.0</v>
      </c>
      <c r="E20" s="35" t="n">
        <f>85</f>
        <v>85.0</v>
      </c>
      <c r="F20" s="17" t="n">
        <f>230</f>
        <v>230.0</v>
      </c>
      <c r="G20" s="35" t="n">
        <f>230</f>
        <v>230.0</v>
      </c>
      <c r="H20" s="17" t="n">
        <f>315</f>
        <v>315.0</v>
      </c>
      <c r="I20" s="35" t="n">
        <f>315</f>
        <v>315.0</v>
      </c>
      <c r="J20" s="17" t="n">
        <f>268015000</f>
        <v>2.68015E8</v>
      </c>
      <c r="K20" s="35" t="n">
        <f>268015000</f>
        <v>2.68015E8</v>
      </c>
      <c r="L20" s="17" t="n">
        <f>269289500</f>
        <v>2.692895E8</v>
      </c>
      <c r="M20" s="35" t="n">
        <f>269289500</f>
        <v>2.692895E8</v>
      </c>
      <c r="N20" s="17" t="n">
        <f>537304500</f>
        <v>5.373045E8</v>
      </c>
      <c r="O20" s="35" t="n">
        <f>537304500</f>
        <v>5.373045E8</v>
      </c>
    </row>
    <row r="21" spans="1:15" ht="24.9" customHeight="1">
      <c r="A21" s="38"/>
      <c r="B21" s="62"/>
      <c r="C21" s="20" t="s">
        <v>16</v>
      </c>
      <c r="D21" s="21" t="n">
        <f>370</f>
        <v>370.0</v>
      </c>
      <c r="E21" s="36" t="n">
        <f>370</f>
        <v>370.0</v>
      </c>
      <c r="F21" s="21" t="n">
        <f>0</f>
        <v>0.0</v>
      </c>
      <c r="G21" s="36" t="n">
        <f>0</f>
        <v>0.0</v>
      </c>
      <c r="H21" s="21" t="n">
        <f>370</f>
        <v>370.0</v>
      </c>
      <c r="I21" s="36" t="n">
        <f>370</f>
        <v>370.0</v>
      </c>
      <c r="J21" s="21" t="n">
        <f>367639603</f>
        <v>3.67639603E8</v>
      </c>
      <c r="K21" s="36" t="n">
        <f>367639603</f>
        <v>3.67639603E8</v>
      </c>
      <c r="L21" s="21" t="n">
        <f>0</f>
        <v>0.0</v>
      </c>
      <c r="M21" s="36" t="n">
        <f>0</f>
        <v>0.0</v>
      </c>
      <c r="N21" s="21" t="n">
        <f>367639603</f>
        <v>3.67639603E8</v>
      </c>
      <c r="O21" s="36" t="n">
        <f>367639603</f>
        <v>3.67639603E8</v>
      </c>
    </row>
    <row r="22" spans="1:15" ht="24.9" customHeight="1">
      <c r="A22" s="38"/>
      <c r="B22" s="62"/>
      <c r="C22" s="20" t="s">
        <v>17</v>
      </c>
      <c r="D22" s="21" t="n">
        <f>3572</f>
        <v>3572.0</v>
      </c>
      <c r="E22" s="36" t="n">
        <f>3572</f>
        <v>3572.0</v>
      </c>
      <c r="F22" s="21" t="n">
        <f>0</f>
        <v>0.0</v>
      </c>
      <c r="G22" s="36" t="n">
        <f>0</f>
        <v>0.0</v>
      </c>
      <c r="H22" s="21" t="n">
        <f>3572</f>
        <v>3572.0</v>
      </c>
      <c r="I22" s="36" t="n">
        <f>3572</f>
        <v>3572.0</v>
      </c>
      <c r="J22" s="21" t="n">
        <f>3469177480</f>
        <v>3.46917748E9</v>
      </c>
      <c r="K22" s="36" t="n">
        <f>3469177480</f>
        <v>3.46917748E9</v>
      </c>
      <c r="L22" s="21" t="n">
        <f>0</f>
        <v>0.0</v>
      </c>
      <c r="M22" s="36" t="n">
        <f>0</f>
        <v>0.0</v>
      </c>
      <c r="N22" s="21" t="n">
        <f>3469177480</f>
        <v>3.46917748E9</v>
      </c>
      <c r="O22" s="36" t="n">
        <f>3469177480</f>
        <v>3.46917748E9</v>
      </c>
    </row>
    <row r="23" spans="1:15" ht="24.9" customHeight="1">
      <c r="A23" s="38"/>
      <c r="B23" s="62"/>
      <c r="C23" s="24" t="s">
        <v>18</v>
      </c>
      <c r="D23" s="25" t="n">
        <f>4027</f>
        <v>4027.0</v>
      </c>
      <c r="E23" s="37" t="n">
        <f>4027</f>
        <v>4027.0</v>
      </c>
      <c r="F23" s="25" t="n">
        <f>230</f>
        <v>230.0</v>
      </c>
      <c r="G23" s="37" t="n">
        <f>230</f>
        <v>230.0</v>
      </c>
      <c r="H23" s="25" t="n">
        <f>4257</f>
        <v>4257.0</v>
      </c>
      <c r="I23" s="37" t="n">
        <f>4257</f>
        <v>4257.0</v>
      </c>
      <c r="J23" s="25" t="n">
        <f>4104832083</f>
        <v>4.104832083E9</v>
      </c>
      <c r="K23" s="37" t="n">
        <f>4104832083</f>
        <v>4.104832083E9</v>
      </c>
      <c r="L23" s="25" t="n">
        <f>269289500</f>
        <v>2.692895E8</v>
      </c>
      <c r="M23" s="37" t="n">
        <f>269289500</f>
        <v>2.692895E8</v>
      </c>
      <c r="N23" s="25" t="n">
        <f>4374121583</f>
        <v>4.374121583E9</v>
      </c>
      <c r="O23" s="37" t="n">
        <f>4374121583</f>
        <v>4.374121583E9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50</f>
        <v>50.0</v>
      </c>
      <c r="E36" s="18" t="n">
        <f>50</f>
        <v>50.0</v>
      </c>
      <c r="F36" s="17" t="n">
        <f>1</f>
        <v>1.0</v>
      </c>
      <c r="G36" s="18" t="n">
        <f>0</f>
        <v>0.0</v>
      </c>
      <c r="H36" s="17" t="n">
        <f>51</f>
        <v>51.0</v>
      </c>
      <c r="I36" s="18" t="n">
        <f>50</f>
        <v>50.0</v>
      </c>
      <c r="J36" s="17" t="n">
        <f>21500000</f>
        <v>2.15E7</v>
      </c>
      <c r="K36" s="18" t="n">
        <f>21500000</f>
        <v>2.15E7</v>
      </c>
      <c r="L36" s="17" t="n">
        <f>130000</f>
        <v>130000.0</v>
      </c>
      <c r="M36" s="18" t="n">
        <f>0</f>
        <v>0.0</v>
      </c>
      <c r="N36" s="17" t="n">
        <f>21630000</f>
        <v>2.163E7</v>
      </c>
      <c r="O36" s="18" t="n">
        <f>21500000</f>
        <v>2.15E7</v>
      </c>
    </row>
    <row r="37" spans="1:15" ht="24.9" customHeight="1">
      <c r="A37" s="38"/>
      <c r="B37" s="62"/>
      <c r="C37" s="20" t="s">
        <v>16</v>
      </c>
      <c r="D37" s="21" t="n">
        <f>1</f>
        <v>1.0</v>
      </c>
      <c r="E37" s="22" t="n">
        <f>0</f>
        <v>0.0</v>
      </c>
      <c r="F37" s="21" t="n">
        <f>13</f>
        <v>13.0</v>
      </c>
      <c r="G37" s="22" t="n">
        <f>0</f>
        <v>0.0</v>
      </c>
      <c r="H37" s="21" t="n">
        <f>14</f>
        <v>14.0</v>
      </c>
      <c r="I37" s="22" t="n">
        <f>0</f>
        <v>0.0</v>
      </c>
      <c r="J37" s="21" t="n">
        <f>110000</f>
        <v>110000.0</v>
      </c>
      <c r="K37" s="22" t="n">
        <f>0</f>
        <v>0.0</v>
      </c>
      <c r="L37" s="21" t="n">
        <f>430000</f>
        <v>430000.0</v>
      </c>
      <c r="M37" s="22" t="n">
        <f>0</f>
        <v>0.0</v>
      </c>
      <c r="N37" s="21" t="n">
        <f>540000</f>
        <v>540000.0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15</f>
        <v>15.0</v>
      </c>
      <c r="E38" s="36" t="n">
        <f>0</f>
        <v>0.0</v>
      </c>
      <c r="F38" s="21" t="n">
        <f>165</f>
        <v>165.0</v>
      </c>
      <c r="G38" s="36" t="n">
        <f>150</f>
        <v>150.0</v>
      </c>
      <c r="H38" s="21" t="n">
        <f>180</f>
        <v>180.0</v>
      </c>
      <c r="I38" s="36" t="n">
        <f>150</f>
        <v>150.0</v>
      </c>
      <c r="J38" s="21" t="n">
        <f>2850000</f>
        <v>2850000.0</v>
      </c>
      <c r="K38" s="36" t="n">
        <f>0</f>
        <v>0.0</v>
      </c>
      <c r="L38" s="21" t="n">
        <f>13250000</f>
        <v>1.325E7</v>
      </c>
      <c r="M38" s="36" t="n">
        <f>8000000</f>
        <v>8000000.0</v>
      </c>
      <c r="N38" s="21" t="n">
        <f>16100000</f>
        <v>1.61E7</v>
      </c>
      <c r="O38" s="36" t="n">
        <f>8000000</f>
        <v>8000000.0</v>
      </c>
    </row>
    <row r="39" spans="1:15" ht="24.9" customHeight="1">
      <c r="A39" s="38"/>
      <c r="B39" s="62"/>
      <c r="C39" s="24" t="s">
        <v>18</v>
      </c>
      <c r="D39" s="25" t="n">
        <f>66</f>
        <v>66.0</v>
      </c>
      <c r="E39" s="37" t="n">
        <f>50</f>
        <v>50.0</v>
      </c>
      <c r="F39" s="25" t="n">
        <f>179</f>
        <v>179.0</v>
      </c>
      <c r="G39" s="37" t="n">
        <f>150</f>
        <v>150.0</v>
      </c>
      <c r="H39" s="25" t="n">
        <f>245</f>
        <v>245.0</v>
      </c>
      <c r="I39" s="37" t="n">
        <f>200</f>
        <v>200.0</v>
      </c>
      <c r="J39" s="25" t="n">
        <f>24460000</f>
        <v>2.446E7</v>
      </c>
      <c r="K39" s="37" t="n">
        <f>21500000</f>
        <v>2.15E7</v>
      </c>
      <c r="L39" s="25" t="n">
        <f>13810000</f>
        <v>1.381E7</v>
      </c>
      <c r="M39" s="37" t="n">
        <f>8000000</f>
        <v>8000000.0</v>
      </c>
      <c r="N39" s="25" t="n">
        <f>38270000</f>
        <v>3.827E7</v>
      </c>
      <c r="O39" s="37" t="n">
        <f>29500000</f>
        <v>2.95E7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3755</f>
        <v>3755.0</v>
      </c>
      <c r="E41" s="36" t="n">
        <f>2340</f>
        <v>2340.0</v>
      </c>
      <c r="F41" s="21" t="n">
        <f>7813</f>
        <v>7813.0</v>
      </c>
      <c r="G41" s="36" t="n">
        <f>0</f>
        <v>0.0</v>
      </c>
      <c r="H41" s="21" t="n">
        <f>11568</f>
        <v>11568.0</v>
      </c>
      <c r="I41" s="36" t="n">
        <f>2340</f>
        <v>2340.0</v>
      </c>
      <c r="J41" s="21" t="n">
        <f>299772071</f>
        <v>2.99772071E8</v>
      </c>
      <c r="K41" s="36" t="n">
        <f>268750000</f>
        <v>2.6875E8</v>
      </c>
      <c r="L41" s="21" t="n">
        <f>34291251</f>
        <v>3.4291251E7</v>
      </c>
      <c r="M41" s="36" t="n">
        <f>0</f>
        <v>0.0</v>
      </c>
      <c r="N41" s="21" t="n">
        <f>334063322</f>
        <v>3.34063322E8</v>
      </c>
      <c r="O41" s="36" t="n">
        <f>268750000</f>
        <v>2.6875E8</v>
      </c>
    </row>
    <row r="42" spans="1:15" ht="24.9" customHeight="1">
      <c r="A42" s="38"/>
      <c r="B42" s="62"/>
      <c r="C42" s="20" t="s">
        <v>17</v>
      </c>
      <c r="D42" s="21" t="n">
        <f>47080</f>
        <v>47080.0</v>
      </c>
      <c r="E42" s="36" t="n">
        <f>41559</f>
        <v>41559.0</v>
      </c>
      <c r="F42" s="21" t="n">
        <f>43039</f>
        <v>43039.0</v>
      </c>
      <c r="G42" s="36" t="n">
        <f>41559</f>
        <v>41559.0</v>
      </c>
      <c r="H42" s="21" t="n">
        <f>90119</f>
        <v>90119.0</v>
      </c>
      <c r="I42" s="36" t="n">
        <f>83118</f>
        <v>83118.0</v>
      </c>
      <c r="J42" s="21" t="n">
        <f>1255253098</f>
        <v>1.255253098E9</v>
      </c>
      <c r="K42" s="36" t="n">
        <f>1242301560</f>
        <v>1.24230156E9</v>
      </c>
      <c r="L42" s="21" t="n">
        <f>1894192349</f>
        <v>1.894192349E9</v>
      </c>
      <c r="M42" s="36" t="n">
        <f>1883067390</f>
        <v>1.88306739E9</v>
      </c>
      <c r="N42" s="21" t="n">
        <f>3149445447</f>
        <v>3.149445447E9</v>
      </c>
      <c r="O42" s="36" t="n">
        <f>3125368950</f>
        <v>3.12536895E9</v>
      </c>
    </row>
    <row r="43" spans="1:15" ht="24.9" customHeight="1">
      <c r="A43" s="38"/>
      <c r="B43" s="62"/>
      <c r="C43" s="24" t="s">
        <v>18</v>
      </c>
      <c r="D43" s="25" t="n">
        <f>50835</f>
        <v>50835.0</v>
      </c>
      <c r="E43" s="37" t="n">
        <f>43899</f>
        <v>43899.0</v>
      </c>
      <c r="F43" s="25" t="n">
        <f>50852</f>
        <v>50852.0</v>
      </c>
      <c r="G43" s="37" t="n">
        <f>41559</f>
        <v>41559.0</v>
      </c>
      <c r="H43" s="25" t="n">
        <f>101687</f>
        <v>101687.0</v>
      </c>
      <c r="I43" s="37" t="n">
        <f>85458</f>
        <v>85458.0</v>
      </c>
      <c r="J43" s="25" t="n">
        <f>1555025169</f>
        <v>1.555025169E9</v>
      </c>
      <c r="K43" s="37" t="n">
        <f>1511051560</f>
        <v>1.51105156E9</v>
      </c>
      <c r="L43" s="25" t="n">
        <f>1928483600</f>
        <v>1.9284836E9</v>
      </c>
      <c r="M43" s="37" t="n">
        <f>1883067390</f>
        <v>1.88306739E9</v>
      </c>
      <c r="N43" s="25" t="n">
        <f>3483508769</f>
        <v>3.483508769E9</v>
      </c>
      <c r="O43" s="37" t="n">
        <f>3394118950</f>
        <v>3.39411895E9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