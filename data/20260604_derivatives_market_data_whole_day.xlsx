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<sst xmlns="http://schemas.openxmlformats.org/spreadsheetml/2006/main" count="528" uniqueCount="129">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</sst>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DATE(2026,06,04)</f>
        <v>46177.0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DATE(2026,06,04)</f>
        <v>46177.0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712396.0</f>
        <v>712396.0</v>
      </c>
      <c r="E12" s="18" t="n">
        <f>39961.0</f>
        <v>39961.0</v>
      </c>
      <c r="F12" s="19" t="n">
        <f>1.0</f>
        <v>1.0</v>
      </c>
      <c r="G12" s="17" t="n">
        <f>6305765447550.0</f>
        <v>6.30576544755E12</v>
      </c>
      <c r="H12" s="18" t="n">
        <f>375462295150.0</f>
        <v>3.7546229515E11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477707.0</f>
        <v>477707.0</v>
      </c>
      <c r="E13" s="22" t="n">
        <f>24318.0</f>
        <v>24318.0</v>
      </c>
      <c r="F13" s="23" t="n">
        <f>1.0</f>
        <v>1.0</v>
      </c>
      <c r="G13" s="21" t="n">
        <f>5451327271470.0</f>
        <v>5.45132727147E12</v>
      </c>
      <c r="H13" s="22" t="n">
        <f>310728256420.0</f>
        <v>3.1072825642E11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449238.0</f>
        <v>449238.0</v>
      </c>
      <c r="E14" s="22" t="n">
        <f>34619.0</f>
        <v>34619.0</v>
      </c>
      <c r="F14" s="23" t="n">
        <f>1.0</f>
        <v>1.0</v>
      </c>
      <c r="G14" s="21" t="n">
        <f>6469282687209.0</f>
        <v>6.469282687209E12</v>
      </c>
      <c r="H14" s="22" t="n">
        <f>774435649959.0</f>
        <v>7.74435649959E11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1639341.0</f>
        <v>1639341.0</v>
      </c>
      <c r="E15" s="26" t="n">
        <f>98898.0</f>
        <v>98898.0</v>
      </c>
      <c r="F15" s="27" t="n">
        <f>1.0</f>
        <v>1.0</v>
      </c>
      <c r="G15" s="25" t="n">
        <f>18226375406229.0</f>
        <v>1.8226375406229E13</v>
      </c>
      <c r="H15" s="26" t="n">
        <f>1460626201529.0</f>
        <v>1.460626201529E12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27575.0</f>
        <v>27575.0</v>
      </c>
      <c r="E16" s="18" t="n">
        <f>502.0</f>
        <v>502.0</v>
      </c>
      <c r="F16" s="19" t="n">
        <f>0.039</f>
        <v>0.039</v>
      </c>
      <c r="G16" s="17" t="n">
        <f>2366798741250.0</f>
        <v>2.36679874125E12</v>
      </c>
      <c r="H16" s="18" t="n">
        <f>64653350000.0</f>
        <v>6.465335E10</v>
      </c>
      <c r="I16" s="19" t="n">
        <f>0.375</f>
        <v>0.375</v>
      </c>
    </row>
    <row r="17" spans="1:9" ht="24.9" customHeight="1">
      <c r="A17" s="41"/>
      <c r="B17" s="39"/>
      <c r="C17" s="20" t="s">
        <v>16</v>
      </c>
      <c r="D17" s="21" t="n">
        <f>16807.0</f>
        <v>16807.0</v>
      </c>
      <c r="E17" s="22" t="n">
        <f>247.0</f>
        <v>247.0</v>
      </c>
      <c r="F17" s="23" t="n">
        <f>0.035</f>
        <v>0.035</v>
      </c>
      <c r="G17" s="21" t="n">
        <f>1910360899750.0</f>
        <v>1.91036089975E12</v>
      </c>
      <c r="H17" s="22" t="n">
        <f>31848320000.0</f>
        <v>3.184832E10</v>
      </c>
      <c r="I17" s="23" t="n">
        <f>0.35</f>
        <v>0.35</v>
      </c>
    </row>
    <row r="18" spans="1:9" ht="24.9" customHeight="1">
      <c r="A18" s="41"/>
      <c r="B18" s="39"/>
      <c r="C18" s="20" t="s">
        <v>17</v>
      </c>
      <c r="D18" s="21" t="n">
        <f>23071.0</f>
        <v>23071.0</v>
      </c>
      <c r="E18" s="22" t="n">
        <f>1609.0</f>
        <v>1609.0</v>
      </c>
      <c r="F18" s="23" t="n">
        <f>0.051</f>
        <v>0.051</v>
      </c>
      <c r="G18" s="21" t="n">
        <f>2577496171250.0</f>
        <v>2.57749617125E12</v>
      </c>
      <c r="H18" s="22" t="n">
        <f>207023755000.0</f>
        <v>2.07023755E11</v>
      </c>
      <c r="I18" s="23" t="n">
        <f>0.398</f>
        <v>0.398</v>
      </c>
    </row>
    <row r="19" spans="1:9" ht="24.9" customHeight="1">
      <c r="A19" s="41"/>
      <c r="B19" s="39"/>
      <c r="C19" s="24" t="s">
        <v>18</v>
      </c>
      <c r="D19" s="25" t="n">
        <f>67453.0</f>
        <v>67453.0</v>
      </c>
      <c r="E19" s="26" t="n">
        <f>2358.0</f>
        <v>2358.0</v>
      </c>
      <c r="F19" s="27" t="n">
        <f>0.041</f>
        <v>0.041</v>
      </c>
      <c r="G19" s="25" t="n">
        <f>6854655812250.0</f>
        <v>6.85465581225E12</v>
      </c>
      <c r="H19" s="26" t="n">
        <f>303525425000.0</f>
        <v>3.03525425E11</v>
      </c>
      <c r="I19" s="27" t="n">
        <f>0.376</f>
        <v>0.376</v>
      </c>
    </row>
    <row r="20" spans="1:9" ht="24.9" customHeight="1">
      <c r="A20" s="41"/>
      <c r="B20" s="39" t="s">
        <v>21</v>
      </c>
      <c r="C20" s="16" t="s">
        <v>15</v>
      </c>
      <c r="D20" s="17" t="n">
        <f>671023.0</f>
        <v>671023.0</v>
      </c>
      <c r="E20" s="18" t="n">
        <f>39459.0</f>
        <v>39459.0</v>
      </c>
      <c r="F20" s="19" t="n">
        <f>0.942</f>
        <v>0.942</v>
      </c>
      <c r="G20" s="17" t="n">
        <f>3802928542950.0</f>
        <v>3.80292854295E12</v>
      </c>
      <c r="H20" s="18" t="n">
        <f>310808945150.0</f>
        <v>3.1080894515E11</v>
      </c>
      <c r="I20" s="19" t="n">
        <f>0.603</f>
        <v>0.603</v>
      </c>
    </row>
    <row r="21" spans="1:9" ht="24.9" customHeight="1">
      <c r="A21" s="41"/>
      <c r="B21" s="39"/>
      <c r="C21" s="20" t="s">
        <v>16</v>
      </c>
      <c r="D21" s="21" t="n">
        <f>452744.0</f>
        <v>452744.0</v>
      </c>
      <c r="E21" s="22" t="n">
        <f>24071.0</f>
        <v>24071.0</v>
      </c>
      <c r="F21" s="23" t="n">
        <f>0.948</f>
        <v>0.948</v>
      </c>
      <c r="G21" s="21" t="n">
        <f>3461774054470.0</f>
        <v>3.46177405447E12</v>
      </c>
      <c r="H21" s="22" t="n">
        <f>278879936420.0</f>
        <v>2.7887993642E11</v>
      </c>
      <c r="I21" s="23" t="n">
        <f>0.635</f>
        <v>0.635</v>
      </c>
    </row>
    <row r="22" spans="1:9" ht="24.9" customHeight="1">
      <c r="A22" s="41"/>
      <c r="B22" s="39"/>
      <c r="C22" s="20" t="s">
        <v>17</v>
      </c>
      <c r="D22" s="21" t="n">
        <f>417248.0</f>
        <v>417248.0</v>
      </c>
      <c r="E22" s="22" t="n">
        <f>33008.0</f>
        <v>33008.0</v>
      </c>
      <c r="F22" s="23" t="n">
        <f>0.929</f>
        <v>0.929</v>
      </c>
      <c r="G22" s="21" t="n">
        <f>3809662356659.0</f>
        <v>3.809662356659E12</v>
      </c>
      <c r="H22" s="22" t="n">
        <f>567402836959.0</f>
        <v>5.67402836959E11</v>
      </c>
      <c r="I22" s="23" t="n">
        <f>0.589</f>
        <v>0.589</v>
      </c>
    </row>
    <row r="23" spans="1:9" ht="24.9" customHeight="1">
      <c r="A23" s="41"/>
      <c r="B23" s="39"/>
      <c r="C23" s="24" t="s">
        <v>18</v>
      </c>
      <c r="D23" s="25" t="n">
        <f>1541015.0</f>
        <v>1541015.0</v>
      </c>
      <c r="E23" s="26" t="n">
        <f>96538.0</f>
        <v>96538.0</v>
      </c>
      <c r="F23" s="27" t="n">
        <f>0.94</f>
        <v>0.94</v>
      </c>
      <c r="G23" s="25" t="n">
        <f>11074364954079.0</f>
        <v>1.1074364954079E13</v>
      </c>
      <c r="H23" s="26" t="n">
        <f>1157091718529.0</f>
        <v>1.157091718529E12</v>
      </c>
      <c r="I23" s="27" t="n">
        <f>0.608</f>
        <v>0.608</v>
      </c>
    </row>
    <row r="24" spans="1:9" ht="24.9" customHeight="1">
      <c r="A24" s="41"/>
      <c r="B24" s="39" t="s">
        <v>22</v>
      </c>
      <c r="C24" s="16" t="s">
        <v>15</v>
      </c>
      <c r="D24" s="17" t="n">
        <f>13034.0</f>
        <v>13034.0</v>
      </c>
      <c r="E24" s="18" t="n">
        <f>0.0</f>
        <v>0.0</v>
      </c>
      <c r="F24" s="19" t="n">
        <f>0.018</f>
        <v>0.018</v>
      </c>
      <c r="G24" s="17" t="n">
        <f>132778415850.0</f>
        <v>1.3277841585E11</v>
      </c>
      <c r="H24" s="18" t="n">
        <f>0.0</f>
        <v>0.0</v>
      </c>
      <c r="I24" s="19" t="n">
        <f>0.021</f>
        <v>0.021</v>
      </c>
    </row>
    <row r="25" spans="1:9" ht="24.9" customHeight="1">
      <c r="A25" s="41"/>
      <c r="B25" s="39"/>
      <c r="C25" s="20" t="s">
        <v>16</v>
      </c>
      <c r="D25" s="21" t="n">
        <f>7929.0</f>
        <v>7929.0</v>
      </c>
      <c r="E25" s="22" t="n">
        <f>0.0</f>
        <v>0.0</v>
      </c>
      <c r="F25" s="23" t="n">
        <f>0.017</f>
        <v>0.017</v>
      </c>
      <c r="G25" s="21" t="n">
        <f>78235967750.0</f>
        <v>7.823596775E10</v>
      </c>
      <c r="H25" s="22" t="n">
        <f>0.0</f>
        <v>0.0</v>
      </c>
      <c r="I25" s="23" t="n">
        <f>0.014</f>
        <v>0.014</v>
      </c>
    </row>
    <row r="26" spans="1:9" ht="24.9" customHeight="1">
      <c r="A26" s="41"/>
      <c r="B26" s="39"/>
      <c r="C26" s="20" t="s">
        <v>17</v>
      </c>
      <c r="D26" s="21" t="n">
        <f>7665.0</f>
        <v>7665.0</v>
      </c>
      <c r="E26" s="22" t="n">
        <f>0.0</f>
        <v>0.0</v>
      </c>
      <c r="F26" s="23" t="n">
        <f>0.017</f>
        <v>0.017</v>
      </c>
      <c r="G26" s="21" t="n">
        <f>76838680800.0</f>
        <v>7.68386808E10</v>
      </c>
      <c r="H26" s="22" t="n">
        <f>0.0</f>
        <v>0.0</v>
      </c>
      <c r="I26" s="23" t="n">
        <f>0.012</f>
        <v>0.012</v>
      </c>
    </row>
    <row r="27" spans="1:9" ht="24.9" customHeight="1">
      <c r="A27" s="42"/>
      <c r="B27" s="39"/>
      <c r="C27" s="24" t="s">
        <v>18</v>
      </c>
      <c r="D27" s="25" t="n">
        <f>28628.0</f>
        <v>28628.0</v>
      </c>
      <c r="E27" s="26" t="n">
        <f>0.0</f>
        <v>0.0</v>
      </c>
      <c r="F27" s="27" t="n">
        <f>0.017</f>
        <v>0.017</v>
      </c>
      <c r="G27" s="25" t="n">
        <f>287853064400.0</f>
        <v>2.878530644E11</v>
      </c>
      <c r="H27" s="26" t="n">
        <f>0.0</f>
        <v>0.0</v>
      </c>
      <c r="I27" s="27" t="n">
        <f>0.016</f>
        <v>0.016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764.0</f>
        <v>764.0</v>
      </c>
      <c r="E28" s="18" t="n">
        <f>0.0</f>
        <v>0.0</v>
      </c>
      <c r="F28" s="19" t="n">
        <f>0.001</f>
        <v>0.001</v>
      </c>
      <c r="G28" s="17" t="n">
        <f>3259747500.0</f>
        <v>3.2597475E9</v>
      </c>
      <c r="H28" s="18" t="n">
        <f>0.0</f>
        <v>0.0</v>
      </c>
      <c r="I28" s="19" t="n">
        <f>0.001</f>
        <v>0.001</v>
      </c>
    </row>
    <row r="29" spans="1:9" ht="24.9" customHeight="1">
      <c r="A29" s="38"/>
      <c r="B29" s="39"/>
      <c r="C29" s="20" t="s">
        <v>16</v>
      </c>
      <c r="D29" s="21" t="n">
        <f>227.0</f>
        <v>227.0</v>
      </c>
      <c r="E29" s="22" t="n">
        <f>0.0</f>
        <v>0.0</v>
      </c>
      <c r="F29" s="23" t="n">
        <f>0.0</f>
        <v>0.0</v>
      </c>
      <c r="G29" s="21" t="n">
        <f>956349500.0</f>
        <v>9.563495E8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1254.0</f>
        <v>1254.0</v>
      </c>
      <c r="E30" s="22" t="n">
        <f>2.0</f>
        <v>2.0</v>
      </c>
      <c r="F30" s="23" t="n">
        <f>0.003</f>
        <v>0.003</v>
      </c>
      <c r="G30" s="21" t="n">
        <f>5285478500.0</f>
        <v>5.2854785E9</v>
      </c>
      <c r="H30" s="22" t="n">
        <f>9058000.0</f>
        <v>9058000.0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2245.0</f>
        <v>2245.0</v>
      </c>
      <c r="E31" s="26" t="n">
        <f>2.0</f>
        <v>2.0</v>
      </c>
      <c r="F31" s="27" t="n">
        <f>0.001</f>
        <v>0.001</v>
      </c>
      <c r="G31" s="25" t="n">
        <f>9501575500.0</f>
        <v>9.5015755E9</v>
      </c>
      <c r="H31" s="26" t="n">
        <f>9058000.0</f>
        <v>9058000.0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46177.0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46177.0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27440</f>
        <v>27440.0</v>
      </c>
      <c r="E11" s="18" t="n">
        <f>8840</f>
        <v>8840.0</v>
      </c>
      <c r="F11" s="19" t="n">
        <f>1</f>
        <v>1.0</v>
      </c>
      <c r="G11" s="17" t="n">
        <f>9499508830</f>
        <v>9.49950883E9</v>
      </c>
      <c r="H11" s="18" t="n">
        <f>7356300030</f>
        <v>7.35630003E9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34406</f>
        <v>34406.0</v>
      </c>
      <c r="E12" s="22" t="n">
        <f>4650</f>
        <v>4650.0</v>
      </c>
      <c r="F12" s="23" t="n">
        <f>1</f>
        <v>1.0</v>
      </c>
      <c r="G12" s="21" t="n">
        <f>4609959762</f>
        <v>4.609959762E9</v>
      </c>
      <c r="H12" s="22" t="n">
        <f>2440249800</f>
        <v>2.4402498E9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49504</f>
        <v>49504.0</v>
      </c>
      <c r="E13" s="22" t="n">
        <f>15478</f>
        <v>15478.0</v>
      </c>
      <c r="F13" s="23" t="n">
        <f>1</f>
        <v>1.0</v>
      </c>
      <c r="G13" s="21" t="n">
        <f>54332463473</f>
        <v>5.4332463473E10</v>
      </c>
      <c r="H13" s="22" t="n">
        <f>51252422363</f>
        <v>5.1252422363E10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111350</f>
        <v>111350.0</v>
      </c>
      <c r="E14" s="26" t="n">
        <f>28968</f>
        <v>28968.0</v>
      </c>
      <c r="F14" s="27" t="n">
        <f>1</f>
        <v>1.0</v>
      </c>
      <c r="G14" s="25" t="n">
        <f>68441932065</f>
        <v>6.8441932065E10</v>
      </c>
      <c r="H14" s="26" t="n">
        <f>61048972193</f>
        <v>6.1048972193E10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48</f>
        <v>48.0</v>
      </c>
      <c r="E16" s="22" t="n">
        <f>0</f>
        <v>0.0</v>
      </c>
      <c r="F16" s="23" t="n">
        <f>0.001</f>
        <v>0.001</v>
      </c>
      <c r="G16" s="21" t="n">
        <f>9310000</f>
        <v>9310000.0</v>
      </c>
      <c r="H16" s="22" t="n">
        <f>0</f>
        <v>0.0</v>
      </c>
      <c r="I16" s="23" t="n">
        <f>0.002</f>
        <v>0.002</v>
      </c>
    </row>
    <row r="17" spans="1:9" ht="24.9" customHeight="1">
      <c r="A17" s="41"/>
      <c r="B17" s="39"/>
      <c r="C17" s="20" t="s">
        <v>17</v>
      </c>
      <c r="D17" s="21" t="n">
        <f>91</f>
        <v>91.0</v>
      </c>
      <c r="E17" s="22" t="n">
        <f>0</f>
        <v>0.0</v>
      </c>
      <c r="F17" s="23" t="n">
        <f>0.002</f>
        <v>0.002</v>
      </c>
      <c r="G17" s="21" t="n">
        <f>19090000</f>
        <v>1.909E7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139</f>
        <v>139.0</v>
      </c>
      <c r="E18" s="26" t="n">
        <f>0</f>
        <v>0.0</v>
      </c>
      <c r="F18" s="27" t="n">
        <f>0.001</f>
        <v>0.001</v>
      </c>
      <c r="G18" s="25" t="n">
        <f>28400000</f>
        <v>2.84E7</v>
      </c>
      <c r="H18" s="26" t="n">
        <f>0</f>
        <v>0.0</v>
      </c>
      <c r="I18" s="27" t="n">
        <f>0</f>
        <v>0.0</v>
      </c>
    </row>
    <row r="19" spans="1:9" ht="24.9" customHeight="1">
      <c r="A19" s="41"/>
      <c r="B19" s="39" t="s">
        <v>31</v>
      </c>
      <c r="C19" s="16" t="s">
        <v>15</v>
      </c>
      <c r="D19" s="17" t="n">
        <f>27440</f>
        <v>27440.0</v>
      </c>
      <c r="E19" s="18" t="n">
        <f>8840</f>
        <v>8840.0</v>
      </c>
      <c r="F19" s="19" t="n">
        <f>1</f>
        <v>1.0</v>
      </c>
      <c r="G19" s="17" t="n">
        <f>9499508830</f>
        <v>9.49950883E9</v>
      </c>
      <c r="H19" s="18" t="n">
        <f>7356300030</f>
        <v>7.35630003E9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29084</f>
        <v>29084.0</v>
      </c>
      <c r="E20" s="22" t="n">
        <f>4600</f>
        <v>4600.0</v>
      </c>
      <c r="F20" s="23" t="n">
        <f>0.845</f>
        <v>0.845</v>
      </c>
      <c r="G20" s="21" t="n">
        <f>4563847600</f>
        <v>4.5638476E9</v>
      </c>
      <c r="H20" s="22" t="n">
        <f>2429049800</f>
        <v>2.4290498E9</v>
      </c>
      <c r="I20" s="23" t="n">
        <f>0.99</f>
        <v>0.99</v>
      </c>
    </row>
    <row r="21" spans="1:9" ht="24.9" customHeight="1">
      <c r="A21" s="41"/>
      <c r="B21" s="39"/>
      <c r="C21" s="20" t="s">
        <v>17</v>
      </c>
      <c r="D21" s="21" t="n">
        <f>44641</f>
        <v>44641.0</v>
      </c>
      <c r="E21" s="22" t="n">
        <f>15378</f>
        <v>15378.0</v>
      </c>
      <c r="F21" s="23" t="n">
        <f>0.902</f>
        <v>0.902</v>
      </c>
      <c r="G21" s="21" t="n">
        <f>54253881463</f>
        <v>5.4253881463E10</v>
      </c>
      <c r="H21" s="22" t="n">
        <f>51250427363</f>
        <v>5.1250427363E10</v>
      </c>
      <c r="I21" s="23" t="n">
        <f>0.999</f>
        <v>0.999</v>
      </c>
    </row>
    <row r="22" spans="1:9" ht="24.9" customHeight="1">
      <c r="A22" s="41"/>
      <c r="B22" s="39"/>
      <c r="C22" s="24" t="s">
        <v>18</v>
      </c>
      <c r="D22" s="25" t="n">
        <f>101165</f>
        <v>101165.0</v>
      </c>
      <c r="E22" s="26" t="n">
        <f>28818</f>
        <v>28818.0</v>
      </c>
      <c r="F22" s="27" t="n">
        <f>0.909</f>
        <v>0.909</v>
      </c>
      <c r="G22" s="25" t="n">
        <f>68317237893</f>
        <v>6.8317237893E10</v>
      </c>
      <c r="H22" s="26" t="n">
        <f>61035777193</f>
        <v>6.1035777193E10</v>
      </c>
      <c r="I22" s="27" t="n">
        <f>0.998</f>
        <v>0.998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5274</f>
        <v>5274.0</v>
      </c>
      <c r="E24" s="22" t="n">
        <f>50</f>
        <v>50.0</v>
      </c>
      <c r="F24" s="23" t="n">
        <f>0.153</f>
        <v>0.153</v>
      </c>
      <c r="G24" s="21" t="n">
        <f>36802162</f>
        <v>3.6802162E7</v>
      </c>
      <c r="H24" s="22" t="n">
        <f>11200000</f>
        <v>1.12E7</v>
      </c>
      <c r="I24" s="23" t="n">
        <f>0.008</f>
        <v>0.008</v>
      </c>
    </row>
    <row r="25" spans="1:9" ht="24.9" customHeight="1">
      <c r="A25" s="41"/>
      <c r="B25" s="39"/>
      <c r="C25" s="20" t="s">
        <v>17</v>
      </c>
      <c r="D25" s="21" t="n">
        <f>4772</f>
        <v>4772.0</v>
      </c>
      <c r="E25" s="22" t="n">
        <f>100</f>
        <v>100.0</v>
      </c>
      <c r="F25" s="23" t="n">
        <f>0.096</f>
        <v>0.096</v>
      </c>
      <c r="G25" s="21" t="n">
        <f>59492010</f>
        <v>5.949201E7</v>
      </c>
      <c r="H25" s="22" t="n">
        <f>1995000</f>
        <v>1995000.0</v>
      </c>
      <c r="I25" s="23" t="n">
        <f>0.001</f>
        <v>0.001</v>
      </c>
    </row>
    <row r="26" spans="1:9" ht="24.9" customHeight="1">
      <c r="A26" s="41"/>
      <c r="B26" s="39"/>
      <c r="C26" s="24" t="s">
        <v>18</v>
      </c>
      <c r="D26" s="25" t="n">
        <f>10046</f>
        <v>10046.0</v>
      </c>
      <c r="E26" s="26" t="n">
        <f>150</f>
        <v>150.0</v>
      </c>
      <c r="F26" s="27" t="n">
        <f>0.09</f>
        <v>0.09</v>
      </c>
      <c r="G26" s="25" t="n">
        <f>96294172</f>
        <v>9.6294172E7</v>
      </c>
      <c r="H26" s="26" t="n">
        <f>13195000</f>
        <v>1.3195E7</v>
      </c>
      <c r="I26" s="27" t="n">
        <f>0.001</f>
        <v>0.001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46177.0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46177.0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11531.0</v>
      </c>
      <c r="F12" s="18" t="n">
        <f>785</f>
        <v>785.0</v>
      </c>
      <c r="G12" s="17" t="n">
        <v>7.883662932E11</v>
      </c>
      <c r="H12" s="18" t="n">
        <f>53704576200</f>
        <v>5.37045762E10</v>
      </c>
    </row>
    <row r="13" spans="1:8" ht="24.9" customHeight="1">
      <c r="A13" s="51"/>
      <c r="B13" s="57"/>
      <c r="C13" s="39"/>
      <c r="D13" s="20" t="s">
        <v>16</v>
      </c>
      <c r="E13" s="21" t="n">
        <v>16517.0</v>
      </c>
      <c r="F13" s="22" t="n">
        <f>1873</f>
        <v>1873.0</v>
      </c>
      <c r="G13" s="21" t="n">
        <v>1.1146459944E12</v>
      </c>
      <c r="H13" s="22" t="n">
        <f>126396512400</f>
        <v>1.263965124E11</v>
      </c>
    </row>
    <row r="14" spans="1:8" ht="24.9" customHeight="1">
      <c r="A14" s="51"/>
      <c r="B14" s="57"/>
      <c r="C14" s="39"/>
      <c r="D14" s="20" t="s">
        <v>17</v>
      </c>
      <c r="E14" s="21" t="n">
        <v>19355.0</v>
      </c>
      <c r="F14" s="22" t="n">
        <f>2882</f>
        <v>2882.0</v>
      </c>
      <c r="G14" s="21" t="n">
        <v>1.30425256735E12</v>
      </c>
      <c r="H14" s="22" t="n">
        <f>194300936350</f>
        <v>1.9430093635E11</v>
      </c>
    </row>
    <row r="15" spans="1:8" ht="24.9" customHeight="1">
      <c r="A15" s="51"/>
      <c r="B15" s="57"/>
      <c r="C15" s="39"/>
      <c r="D15" s="24" t="s">
        <v>18</v>
      </c>
      <c r="E15" s="25" t="n">
        <v>47403.0</v>
      </c>
      <c r="F15" s="26" t="n">
        <f>5540</f>
        <v>5540.0</v>
      </c>
      <c r="G15" s="25" t="n">
        <v>3.20726485495E12</v>
      </c>
      <c r="H15" s="26" t="n">
        <f>374402024950</f>
        <v>3.7440202495E11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283743.0</v>
      </c>
      <c r="F16" s="18" t="n">
        <f>37090</f>
        <v>37090.0</v>
      </c>
      <c r="G16" s="17" t="n">
        <v>1.93896540225E12</v>
      </c>
      <c r="H16" s="18" t="n">
        <f>253566072750</f>
        <v>2.5356607275E11</v>
      </c>
    </row>
    <row r="17" spans="1:8" ht="24.9" customHeight="1">
      <c r="A17" s="51"/>
      <c r="B17" s="57"/>
      <c r="C17" s="39"/>
      <c r="D17" s="20" t="s">
        <v>16</v>
      </c>
      <c r="E17" s="21" t="n">
        <v>196945.0</v>
      </c>
      <c r="F17" s="22" t="n">
        <f>21134</f>
        <v>21134.0</v>
      </c>
      <c r="G17" s="21" t="n">
        <v>1.32896679375E12</v>
      </c>
      <c r="H17" s="22" t="n">
        <f>142556640950</f>
        <v>1.4255664095E11</v>
      </c>
    </row>
    <row r="18" spans="1:8" ht="24.9" customHeight="1">
      <c r="A18" s="51"/>
      <c r="B18" s="57"/>
      <c r="C18" s="39"/>
      <c r="D18" s="20" t="s">
        <v>17</v>
      </c>
      <c r="E18" s="21" t="n">
        <v>164967.0</v>
      </c>
      <c r="F18" s="22" t="n">
        <f>19416</f>
        <v>19416.0</v>
      </c>
      <c r="G18" s="21" t="n">
        <v>1.110944594633E12</v>
      </c>
      <c r="H18" s="22" t="n">
        <f>130695619633</f>
        <v>1.30695619633E11</v>
      </c>
    </row>
    <row r="19" spans="1:8" ht="24.9" customHeight="1">
      <c r="A19" s="51"/>
      <c r="B19" s="57"/>
      <c r="C19" s="39"/>
      <c r="D19" s="24" t="s">
        <v>18</v>
      </c>
      <c r="E19" s="25" t="n">
        <v>645655.0</v>
      </c>
      <c r="F19" s="26" t="n">
        <f>77640</f>
        <v>77640.0</v>
      </c>
      <c r="G19" s="25" t="n">
        <v>4.378876790633E12</v>
      </c>
      <c r="H19" s="26" t="n">
        <f>526818333333</f>
        <v>5.26818333333E11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346213.0</v>
      </c>
      <c r="F20" s="18" t="str">
        <f>"－"</f>
        <v>－</v>
      </c>
      <c r="G20" s="17" t="n">
        <v>2.3665135595E11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206963.0</v>
      </c>
      <c r="F21" s="22" t="str">
        <f>"－"</f>
        <v>－</v>
      </c>
      <c r="G21" s="21" t="n">
        <v>1.396754702E11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185593.0</v>
      </c>
      <c r="F22" s="22" t="str">
        <f>"－"</f>
        <v>－</v>
      </c>
      <c r="G22" s="21" t="n">
        <v>1.249965217E11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738769.0</v>
      </c>
      <c r="F23" s="26" t="str">
        <f>"－"</f>
        <v>－</v>
      </c>
      <c r="G23" s="25" t="n">
        <v>5.0132334785E11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20308.0</v>
      </c>
      <c r="F24" s="18" t="n">
        <f>17</f>
        <v>17.0</v>
      </c>
      <c r="G24" s="17" t="n">
        <v>8.08631096E11</v>
      </c>
      <c r="H24" s="18" t="n">
        <f>677898000</f>
        <v>6.77898E8</v>
      </c>
    </row>
    <row r="25" spans="1:8" ht="24.9" customHeight="1">
      <c r="A25" s="51"/>
      <c r="B25" s="57"/>
      <c r="C25" s="39"/>
      <c r="D25" s="20" t="s">
        <v>16</v>
      </c>
      <c r="E25" s="21" t="n">
        <v>21311.0</v>
      </c>
      <c r="F25" s="22" t="n">
        <f>200</f>
        <v>200.0</v>
      </c>
      <c r="G25" s="21" t="n">
        <v>8.43025124E11</v>
      </c>
      <c r="H25" s="22" t="n">
        <f>7886878000</f>
        <v>7.886878E9</v>
      </c>
    </row>
    <row r="26" spans="1:8" ht="24.9" customHeight="1">
      <c r="A26" s="51"/>
      <c r="B26" s="57"/>
      <c r="C26" s="39"/>
      <c r="D26" s="20" t="s">
        <v>17</v>
      </c>
      <c r="E26" s="21" t="n">
        <v>30914.0</v>
      </c>
      <c r="F26" s="22" t="n">
        <f>5857</f>
        <v>5857.0</v>
      </c>
      <c r="G26" s="21" t="n">
        <v>1.2215473483E12</v>
      </c>
      <c r="H26" s="22" t="n">
        <f>231363334300</f>
        <v>2.313633343E11</v>
      </c>
    </row>
    <row r="27" spans="1:8" ht="24.9" customHeight="1">
      <c r="A27" s="51"/>
      <c r="B27" s="57"/>
      <c r="C27" s="39"/>
      <c r="D27" s="24" t="s">
        <v>18</v>
      </c>
      <c r="E27" s="25" t="n">
        <v>72533.0</v>
      </c>
      <c r="F27" s="26" t="n">
        <f>6074</f>
        <v>6074.0</v>
      </c>
      <c r="G27" s="25" t="n">
        <v>2.8732035683E12</v>
      </c>
      <c r="H27" s="26" t="n">
        <f>239928110300</f>
        <v>2.399281103E11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6249.0</v>
      </c>
      <c r="F28" s="18" t="n">
        <f>390</f>
        <v>390.0</v>
      </c>
      <c r="G28" s="17" t="n">
        <v>2.487639645E10</v>
      </c>
      <c r="H28" s="18" t="n">
        <f>1552287200</f>
        <v>1.5522872E9</v>
      </c>
    </row>
    <row r="29" spans="1:8" ht="24.9" customHeight="1">
      <c r="A29" s="51"/>
      <c r="B29" s="57"/>
      <c r="C29" s="39"/>
      <c r="D29" s="20" t="s">
        <v>16</v>
      </c>
      <c r="E29" s="21" t="n">
        <v>7608.0</v>
      </c>
      <c r="F29" s="22" t="n">
        <f>261</f>
        <v>261.0</v>
      </c>
      <c r="G29" s="21" t="n">
        <v>3.0090154E10</v>
      </c>
      <c r="H29" s="22" t="n">
        <f>1032444250</f>
        <v>1.03244425E9</v>
      </c>
    </row>
    <row r="30" spans="1:8" ht="24.9" customHeight="1">
      <c r="A30" s="51"/>
      <c r="B30" s="57"/>
      <c r="C30" s="39"/>
      <c r="D30" s="20" t="s">
        <v>17</v>
      </c>
      <c r="E30" s="21" t="n">
        <v>8284.0</v>
      </c>
      <c r="F30" s="22" t="n">
        <f>265</f>
        <v>265.0</v>
      </c>
      <c r="G30" s="21" t="n">
        <v>3.27211976E10</v>
      </c>
      <c r="H30" s="22" t="n">
        <f>1046832600</f>
        <v>1.0468326E9</v>
      </c>
    </row>
    <row r="31" spans="1:8" ht="24.9" customHeight="1">
      <c r="A31" s="51"/>
      <c r="B31" s="57"/>
      <c r="C31" s="39"/>
      <c r="D31" s="24" t="s">
        <v>18</v>
      </c>
      <c r="E31" s="25" t="n">
        <v>22141.0</v>
      </c>
      <c r="F31" s="26" t="n">
        <f>916</f>
        <v>916.0</v>
      </c>
      <c r="G31" s="25" t="n">
        <v>8.768774805E10</v>
      </c>
      <c r="H31" s="26" t="n">
        <f>3631564050</f>
        <v>3.63156405E9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518.0</v>
      </c>
      <c r="F36" s="18" t="n">
        <f>3</f>
        <v>3.0</v>
      </c>
      <c r="G36" s="17" t="n">
        <v>1.874907E9</v>
      </c>
      <c r="H36" s="18" t="n">
        <f>10858000</f>
        <v>1.0858E7</v>
      </c>
    </row>
    <row r="37" spans="1:8" ht="24.9" customHeight="1">
      <c r="A37" s="51"/>
      <c r="B37" s="57"/>
      <c r="C37" s="39"/>
      <c r="D37" s="20" t="s">
        <v>16</v>
      </c>
      <c r="E37" s="21" t="n">
        <v>743.0</v>
      </c>
      <c r="F37" s="22" t="n">
        <f>4</f>
        <v>4.0</v>
      </c>
      <c r="G37" s="21" t="n">
        <v>2.67083169E9</v>
      </c>
      <c r="H37" s="22" t="n">
        <f>14499190</f>
        <v>1.449919E7</v>
      </c>
    </row>
    <row r="38" spans="1:8" ht="24.9" customHeight="1">
      <c r="A38" s="51"/>
      <c r="B38" s="57"/>
      <c r="C38" s="39"/>
      <c r="D38" s="20" t="s">
        <v>17</v>
      </c>
      <c r="E38" s="21" t="n">
        <v>1753.0</v>
      </c>
      <c r="F38" s="22" t="n">
        <f>1087</f>
        <v>1087.0</v>
      </c>
      <c r="G38" s="21" t="n">
        <v>6.284829216E9</v>
      </c>
      <c r="H38" s="22" t="n">
        <f>3898428716</f>
        <v>3.898428716E9</v>
      </c>
    </row>
    <row r="39" spans="1:8" ht="24.9" customHeight="1">
      <c r="A39" s="51"/>
      <c r="B39" s="57"/>
      <c r="C39" s="39"/>
      <c r="D39" s="24" t="s">
        <v>18</v>
      </c>
      <c r="E39" s="25" t="n">
        <v>3014.0</v>
      </c>
      <c r="F39" s="26" t="n">
        <f>1094</f>
        <v>1094.0</v>
      </c>
      <c r="G39" s="25" t="n">
        <v>1.0830567906E10</v>
      </c>
      <c r="H39" s="26" t="n">
        <f>3923785906</f>
        <v>3.923785906E9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22.0</v>
      </c>
      <c r="F46" s="22" t="n">
        <f>12</f>
        <v>12.0</v>
      </c>
      <c r="G46" s="21" t="n">
        <v>1.46454E8</v>
      </c>
      <c r="H46" s="22" t="n">
        <f>79824000</f>
        <v>7.9824E7</v>
      </c>
    </row>
    <row r="47" spans="1:8" ht="24.9" customHeight="1">
      <c r="A47" s="51"/>
      <c r="B47" s="57"/>
      <c r="C47" s="39"/>
      <c r="D47" s="24" t="s">
        <v>18</v>
      </c>
      <c r="E47" s="25" t="n">
        <v>22.0</v>
      </c>
      <c r="F47" s="26" t="n">
        <f>12</f>
        <v>12.0</v>
      </c>
      <c r="G47" s="25" t="n">
        <v>1.46454E8</v>
      </c>
      <c r="H47" s="26" t="n">
        <f>79824000</f>
        <v>7.9824E7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6.0</v>
      </c>
      <c r="F48" s="18" t="n">
        <f>6</f>
        <v>6.0</v>
      </c>
      <c r="G48" s="17" t="n">
        <v>1.068E7</v>
      </c>
      <c r="H48" s="18" t="n">
        <f>10680000</f>
        <v>1.068E7</v>
      </c>
    </row>
    <row r="49" spans="1:8" ht="24.9" customHeight="1">
      <c r="A49" s="51"/>
      <c r="B49" s="57"/>
      <c r="C49" s="39"/>
      <c r="D49" s="20" t="s">
        <v>16</v>
      </c>
      <c r="E49" s="21" t="n">
        <v>640.0</v>
      </c>
      <c r="F49" s="22" t="n">
        <f>529</f>
        <v>529.0</v>
      </c>
      <c r="G49" s="21" t="n">
        <v>1.12751793E9</v>
      </c>
      <c r="H49" s="22" t="n">
        <f>931923430</f>
        <v>9.3192343E8</v>
      </c>
    </row>
    <row r="50" spans="1:8" ht="24.9" customHeight="1">
      <c r="A50" s="51"/>
      <c r="B50" s="57"/>
      <c r="C50" s="39"/>
      <c r="D50" s="20" t="s">
        <v>17</v>
      </c>
      <c r="E50" s="21" t="n">
        <v>3904.0</v>
      </c>
      <c r="F50" s="22" t="n">
        <f>3396</f>
        <v>3396.0</v>
      </c>
      <c r="G50" s="21" t="n">
        <v>6.84209762E9</v>
      </c>
      <c r="H50" s="22" t="n">
        <f>5948877120</f>
        <v>5.94887712E9</v>
      </c>
    </row>
    <row r="51" spans="1:8" ht="24.9" customHeight="1">
      <c r="A51" s="51"/>
      <c r="B51" s="57"/>
      <c r="C51" s="39"/>
      <c r="D51" s="24" t="s">
        <v>18</v>
      </c>
      <c r="E51" s="25" t="n">
        <v>4550.0</v>
      </c>
      <c r="F51" s="26" t="n">
        <f>3931</f>
        <v>3931.0</v>
      </c>
      <c r="G51" s="25" t="n">
        <v>7.98029555E9</v>
      </c>
      <c r="H51" s="26" t="n">
        <f>6891480550</f>
        <v>6.89148055E9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413.0</v>
      </c>
      <c r="F56" s="18" t="n">
        <f>15</f>
        <v>15.0</v>
      </c>
      <c r="G56" s="17" t="n">
        <v>3.138661E8</v>
      </c>
      <c r="H56" s="18" t="n">
        <f>11412100</f>
        <v>1.14121E7</v>
      </c>
    </row>
    <row r="57" spans="1:8" ht="24.9" customHeight="1">
      <c r="A57" s="51"/>
      <c r="B57" s="57"/>
      <c r="C57" s="39"/>
      <c r="D57" s="20" t="s">
        <v>16</v>
      </c>
      <c r="E57" s="21" t="n">
        <v>1998.0</v>
      </c>
      <c r="F57" s="22" t="n">
        <f>68</f>
        <v>68.0</v>
      </c>
      <c r="G57" s="21" t="n">
        <v>1.4929335E9</v>
      </c>
      <c r="H57" s="22" t="n">
        <f>50873500</f>
        <v>5.08735E7</v>
      </c>
    </row>
    <row r="58" spans="1:8" ht="24.9" customHeight="1">
      <c r="A58" s="51"/>
      <c r="B58" s="57"/>
      <c r="C58" s="39"/>
      <c r="D58" s="20" t="s">
        <v>17</v>
      </c>
      <c r="E58" s="21" t="n">
        <v>2391.0</v>
      </c>
      <c r="F58" s="22" t="n">
        <f>93</f>
        <v>93.0</v>
      </c>
      <c r="G58" s="21" t="n">
        <v>1.77247624E9</v>
      </c>
      <c r="H58" s="22" t="n">
        <f>68984240</f>
        <v>6.898424E7</v>
      </c>
    </row>
    <row r="59" spans="1:8" ht="24.9" customHeight="1">
      <c r="A59" s="51"/>
      <c r="B59" s="57"/>
      <c r="C59" s="39"/>
      <c r="D59" s="24" t="s">
        <v>18</v>
      </c>
      <c r="E59" s="25" t="n">
        <v>4802.0</v>
      </c>
      <c r="F59" s="26" t="n">
        <f>176</f>
        <v>176.0</v>
      </c>
      <c r="G59" s="25" t="n">
        <v>3.57927584E9</v>
      </c>
      <c r="H59" s="26" t="n">
        <f>131269840</f>
        <v>1.3126984E8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114.0</v>
      </c>
      <c r="F60" s="18" t="n">
        <f>6</f>
        <v>6.0</v>
      </c>
      <c r="G60" s="17" t="n">
        <v>5.821546E8</v>
      </c>
      <c r="H60" s="18" t="n">
        <f>30665900</f>
        <v>3.06659E7</v>
      </c>
    </row>
    <row r="61" spans="1:8" ht="24.9" customHeight="1">
      <c r="A61" s="51"/>
      <c r="B61" s="57"/>
      <c r="C61" s="39"/>
      <c r="D61" s="20" t="s">
        <v>16</v>
      </c>
      <c r="E61" s="21" t="n">
        <v>14.0</v>
      </c>
      <c r="F61" s="22" t="n">
        <f>2</f>
        <v>2.0</v>
      </c>
      <c r="G61" s="21" t="n">
        <v>7.12465E7</v>
      </c>
      <c r="H61" s="22" t="n">
        <f>10164700</f>
        <v>1.01647E7</v>
      </c>
    </row>
    <row r="62" spans="1:8" ht="24.9" customHeight="1">
      <c r="A62" s="51"/>
      <c r="B62" s="57"/>
      <c r="C62" s="39"/>
      <c r="D62" s="20" t="s">
        <v>17</v>
      </c>
      <c r="E62" s="21" t="n">
        <v>13.0</v>
      </c>
      <c r="F62" s="22" t="n">
        <f>0</f>
        <v>0.0</v>
      </c>
      <c r="G62" s="21" t="n">
        <v>6.60357E7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141.0</v>
      </c>
      <c r="F63" s="26" t="n">
        <f>8</f>
        <v>8.0</v>
      </c>
      <c r="G63" s="25" t="n">
        <v>7.194368E8</v>
      </c>
      <c r="H63" s="26" t="n">
        <f>40830600</f>
        <v>4.08306E7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1147.0</v>
      </c>
      <c r="F72" s="18" t="n">
        <f>1147</f>
        <v>1147.0</v>
      </c>
      <c r="G72" s="17" t="n">
        <v>1.244495E9</v>
      </c>
      <c r="H72" s="18" t="n">
        <f>1244495000</f>
        <v>1.244495E9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1147.0</v>
      </c>
      <c r="F75" s="26" t="n">
        <f>1147</f>
        <v>1147.0</v>
      </c>
      <c r="G75" s="25" t="n">
        <v>1.244495E9</v>
      </c>
      <c r="H75" s="26" t="n">
        <f>1244495000</f>
        <v>1.244495E9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0.0</v>
      </c>
      <c r="F77" s="22" t="n">
        <f>0</f>
        <v>0.0</v>
      </c>
      <c r="G77" s="21" t="n">
        <v>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4.0</v>
      </c>
      <c r="F78" s="22" t="n">
        <f>0</f>
        <v>0.0</v>
      </c>
      <c r="G78" s="21" t="n">
        <v>1384000.0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4.0</v>
      </c>
      <c r="F79" s="26" t="n">
        <f>0</f>
        <v>0.0</v>
      </c>
      <c r="G79" s="25" t="n">
        <v>1384000.0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217.0</v>
      </c>
      <c r="F92" s="18" t="n">
        <f>0</f>
        <v>0.0</v>
      </c>
      <c r="G92" s="17" t="n">
        <v>3.461168E8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5.0</v>
      </c>
      <c r="F93" s="22" t="n">
        <f>0</f>
        <v>0.0</v>
      </c>
      <c r="G93" s="21" t="n">
        <v>7988500.0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28.0</v>
      </c>
      <c r="F94" s="22" t="n">
        <f>0</f>
        <v>0.0</v>
      </c>
      <c r="G94" s="21" t="n">
        <v>4.47044E7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250.0</v>
      </c>
      <c r="F95" s="26" t="n">
        <f>0</f>
        <v>0.0</v>
      </c>
      <c r="G95" s="25" t="n">
        <v>3.988097E8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40.0</v>
      </c>
      <c r="F96" s="18" t="n">
        <f>0</f>
        <v>0.0</v>
      </c>
      <c r="G96" s="17" t="n">
        <v>9.43114E7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10.0</v>
      </c>
      <c r="F98" s="22" t="n">
        <f>0</f>
        <v>0.0</v>
      </c>
      <c r="G98" s="21" t="n">
        <v>2.35889E7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50.0</v>
      </c>
      <c r="F99" s="26" t="n">
        <f>0</f>
        <v>0.0</v>
      </c>
      <c r="G99" s="25" t="n">
        <v>1.179003E8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524.0</v>
      </c>
      <c r="F100" s="18" t="n">
        <f>0</f>
        <v>0.0</v>
      </c>
      <c r="G100" s="17" t="n">
        <v>9.714682E8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10.0</v>
      </c>
      <c r="F102" s="22" t="n">
        <f>0</f>
        <v>0.0</v>
      </c>
      <c r="G102" s="21" t="n">
        <v>1.8557E7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534.0</v>
      </c>
      <c r="F103" s="26" t="n">
        <f>0</f>
        <v>0.0</v>
      </c>
      <c r="G103" s="25" t="n">
        <v>9.900252E8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16177.0</v>
      </c>
      <c r="F108" s="18" t="n">
        <f>502</f>
        <v>502.0</v>
      </c>
      <c r="G108" s="17" t="n">
        <v>2.08490456E12</v>
      </c>
      <c r="H108" s="18" t="n">
        <f>64653350000</f>
        <v>6.465335E10</v>
      </c>
    </row>
    <row r="109" spans="1:8" ht="24.9" customHeight="1">
      <c r="A109" s="51"/>
      <c r="B109" s="57"/>
      <c r="C109" s="39"/>
      <c r="D109" s="20" t="s">
        <v>16</v>
      </c>
      <c r="E109" s="21" t="n">
        <v>14394.0</v>
      </c>
      <c r="F109" s="22" t="n">
        <f>247</f>
        <v>247.0</v>
      </c>
      <c r="G109" s="21" t="n">
        <v>1.85554093E12</v>
      </c>
      <c r="H109" s="22" t="n">
        <f>31848320000</f>
        <v>3.184832E10</v>
      </c>
    </row>
    <row r="110" spans="1:8" ht="24.9" customHeight="1">
      <c r="A110" s="51"/>
      <c r="B110" s="57"/>
      <c r="C110" s="39"/>
      <c r="D110" s="20" t="s">
        <v>17</v>
      </c>
      <c r="E110" s="21" t="n">
        <v>19363.0</v>
      </c>
      <c r="F110" s="22" t="n">
        <f>1609</f>
        <v>1609.0</v>
      </c>
      <c r="G110" s="21" t="n">
        <v>2.492463235E12</v>
      </c>
      <c r="H110" s="22" t="n">
        <f>207023755000</f>
        <v>2.07023755E11</v>
      </c>
    </row>
    <row r="111" spans="1:8" ht="24.9" customHeight="1">
      <c r="A111" s="51"/>
      <c r="B111" s="57"/>
      <c r="C111" s="39"/>
      <c r="D111" s="24" t="s">
        <v>18</v>
      </c>
      <c r="E111" s="25" t="n">
        <v>49934.0</v>
      </c>
      <c r="F111" s="26" t="n">
        <f>2358</f>
        <v>2358.0</v>
      </c>
      <c r="G111" s="25" t="n">
        <v>6.432908725E12</v>
      </c>
      <c r="H111" s="26" t="n">
        <f>303525425000</f>
        <v>3.03525425E11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330.0</v>
      </c>
      <c r="F113" s="22" t="n">
        <f>0</f>
        <v>0.0</v>
      </c>
      <c r="G113" s="21" t="n">
        <v>4.25418E9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570.0</v>
      </c>
      <c r="F114" s="22" t="n">
        <f>0</f>
        <v>0.0</v>
      </c>
      <c r="G114" s="21" t="n">
        <v>7.3425E9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900.0</v>
      </c>
      <c r="F115" s="26" t="n">
        <f>0</f>
        <v>0.0</v>
      </c>
      <c r="G115" s="25" t="n">
        <v>1.159668E10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62.0</v>
      </c>
      <c r="F117" s="22" t="n">
        <f>0</f>
        <v>0.0</v>
      </c>
      <c r="G117" s="21" t="n">
        <v>5.74221E8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0.0</v>
      </c>
      <c r="F118" s="22" t="n">
        <f>0</f>
        <v>0.0</v>
      </c>
      <c r="G118" s="21" t="n">
        <v>0.0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62.0</v>
      </c>
      <c r="F119" s="26" t="n">
        <f>0</f>
        <v>0.0</v>
      </c>
      <c r="G119" s="25" t="n">
        <v>5.74221E8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11398.0</v>
      </c>
      <c r="F120" s="18" t="n">
        <f>0</f>
        <v>0.0</v>
      </c>
      <c r="G120" s="17" t="n">
        <v>2.8189418125E11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2021.0</v>
      </c>
      <c r="F121" s="22" t="n">
        <f>0</f>
        <v>0.0</v>
      </c>
      <c r="G121" s="21" t="n">
        <v>4.999156875E10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3138.0</v>
      </c>
      <c r="F122" s="22" t="n">
        <f>0</f>
        <v>0.0</v>
      </c>
      <c r="G122" s="21" t="n">
        <v>7.769043625E10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16557.0</v>
      </c>
      <c r="F123" s="26" t="n">
        <f>0</f>
        <v>0.0</v>
      </c>
      <c r="G123" s="25" t="n">
        <v>4.0957618625E11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4632.0</v>
      </c>
      <c r="F124" s="18" t="n">
        <f>0</f>
        <v>0.0</v>
      </c>
      <c r="G124" s="17" t="n">
        <v>1.08843863E11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2746.0</v>
      </c>
      <c r="F125" s="22" t="n">
        <f>0</f>
        <v>0.0</v>
      </c>
      <c r="G125" s="21" t="n">
        <v>6.4283382E10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2671.0</v>
      </c>
      <c r="F126" s="22" t="n">
        <f>0</f>
        <v>0.0</v>
      </c>
      <c r="G126" s="21" t="n">
        <v>6.3066963E10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10049.0</v>
      </c>
      <c r="F127" s="26" t="n">
        <f>0</f>
        <v>0.0</v>
      </c>
      <c r="G127" s="25" t="n">
        <v>2.36194208E11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45.0</v>
      </c>
      <c r="F128" s="18" t="n">
        <f>0</f>
        <v>0.0</v>
      </c>
      <c r="G128" s="17" t="n">
        <v>1.059451E8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225.0</v>
      </c>
      <c r="F129" s="22" t="n">
        <f>0</f>
        <v>0.0</v>
      </c>
      <c r="G129" s="21" t="n">
        <v>5.303613E8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57.0</v>
      </c>
      <c r="F130" s="22" t="n">
        <f>0</f>
        <v>0.0</v>
      </c>
      <c r="G130" s="21" t="n">
        <v>1.348192E8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327.0</v>
      </c>
      <c r="F131" s="26" t="n">
        <f>0</f>
        <v>0.0</v>
      </c>
      <c r="G131" s="25" t="n">
        <v>7.711256E8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5399.0</v>
      </c>
      <c r="F132" s="18" t="n">
        <f>0</f>
        <v>0.0</v>
      </c>
      <c r="G132" s="17" t="n">
        <v>1.270804675E10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2223.0</v>
      </c>
      <c r="F133" s="22" t="n">
        <f>0</f>
        <v>0.0</v>
      </c>
      <c r="G133" s="21" t="n">
        <v>5.242684E9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1755.0</v>
      </c>
      <c r="F134" s="22" t="n">
        <f>0</f>
        <v>0.0</v>
      </c>
      <c r="G134" s="21" t="n">
        <v>4.1516142E9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9377.0</v>
      </c>
      <c r="F135" s="26" t="n">
        <f>0</f>
        <v>0.0</v>
      </c>
      <c r="G135" s="25" t="n">
        <v>2.210234495E10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56.0</v>
      </c>
      <c r="F136" s="18" t="n">
        <f>0</f>
        <v>0.0</v>
      </c>
      <c r="G136" s="17" t="n">
        <v>1.306059E8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29.0</v>
      </c>
      <c r="F137" s="22" t="n">
        <f>0</f>
        <v>0.0</v>
      </c>
      <c r="G137" s="21" t="n">
        <v>6.80306E7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26.0</v>
      </c>
      <c r="F138" s="22" t="n">
        <f>0</f>
        <v>0.0</v>
      </c>
      <c r="G138" s="21" t="n">
        <v>6.11744E7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111.0</v>
      </c>
      <c r="F139" s="26" t="n">
        <f>0</f>
        <v>0.0</v>
      </c>
      <c r="G139" s="25" t="n">
        <v>2.598109E8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2115.0</v>
      </c>
      <c r="F144" s="18" t="n">
        <f>0</f>
        <v>0.0</v>
      </c>
      <c r="G144" s="17" t="n">
        <v>1.01709745E10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1328.0</v>
      </c>
      <c r="F145" s="22" t="n">
        <f>0</f>
        <v>0.0</v>
      </c>
      <c r="G145" s="21" t="n">
        <v>6.298332E9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1481.0</v>
      </c>
      <c r="F146" s="22" t="n">
        <f>0</f>
        <v>0.0</v>
      </c>
      <c r="G146" s="21" t="n">
        <v>7.064982E9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4924.0</v>
      </c>
      <c r="F147" s="26" t="n">
        <f>0</f>
        <v>0.0</v>
      </c>
      <c r="G147" s="25" t="n">
        <v>2.35342885E10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225.0</v>
      </c>
      <c r="F148" s="18" t="n">
        <f>0</f>
        <v>0.0</v>
      </c>
      <c r="G148" s="17" t="n">
        <v>2.212098E8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199.0</v>
      </c>
      <c r="F149" s="22" t="n">
        <f>0</f>
        <v>0.0</v>
      </c>
      <c r="G149" s="21" t="n">
        <v>1.938096E8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195.0</v>
      </c>
      <c r="F150" s="22" t="n">
        <f>0</f>
        <v>0.0</v>
      </c>
      <c r="G150" s="21" t="n">
        <v>1.902049E8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619.0</v>
      </c>
      <c r="F151" s="26" t="n">
        <f>0</f>
        <v>0.0</v>
      </c>
      <c r="G151" s="25" t="n">
        <v>6.052243E8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273.0</v>
      </c>
      <c r="F152" s="18" t="n">
        <f>0</f>
        <v>0.0</v>
      </c>
      <c r="G152" s="17" t="n">
        <v>2.652083E8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231.0</v>
      </c>
      <c r="F153" s="22" t="n">
        <f>0</f>
        <v>0.0</v>
      </c>
      <c r="G153" s="21" t="n">
        <v>2.2057115E8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154.0</v>
      </c>
      <c r="F154" s="22" t="n">
        <f>0</f>
        <v>0.0</v>
      </c>
      <c r="G154" s="21" t="n">
        <v>1.475726E8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658.0</v>
      </c>
      <c r="F155" s="26" t="n">
        <f>0</f>
        <v>0.0</v>
      </c>
      <c r="G155" s="25" t="n">
        <v>6.3335205E8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249.0</v>
      </c>
      <c r="F156" s="18" t="n">
        <f>0</f>
        <v>0.0</v>
      </c>
      <c r="G156" s="17" t="n">
        <v>2.456945E8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541.0</v>
      </c>
      <c r="F157" s="22" t="n">
        <f>0</f>
        <v>0.0</v>
      </c>
      <c r="G157" s="21" t="n">
        <v>5.266686E8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704.0</v>
      </c>
      <c r="F158" s="22" t="n">
        <f>0</f>
        <v>0.0</v>
      </c>
      <c r="G158" s="21" t="n">
        <v>6.913395E8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1494.0</v>
      </c>
      <c r="F159" s="26" t="n">
        <f>0</f>
        <v>0.0</v>
      </c>
      <c r="G159" s="25" t="n">
        <v>1.4637026E9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40.0</v>
      </c>
      <c r="F168" s="18" t="n">
        <f>0</f>
        <v>0.0</v>
      </c>
      <c r="G168" s="17" t="n">
        <v>8.6868E7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407.0</v>
      </c>
      <c r="F169" s="22" t="n">
        <f>0</f>
        <v>0.0</v>
      </c>
      <c r="G169" s="21" t="n">
        <v>8.721285E8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621.0</v>
      </c>
      <c r="F170" s="22" t="n">
        <f>0</f>
        <v>0.0</v>
      </c>
      <c r="G170" s="21" t="n">
        <v>1.328213E9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1068.0</v>
      </c>
      <c r="F171" s="26" t="n">
        <f>0</f>
        <v>0.0</v>
      </c>
      <c r="G171" s="25" t="n">
        <v>2.2872095E9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1.0</v>
      </c>
      <c r="F178" s="22" t="n">
        <f>0</f>
        <v>0.0</v>
      </c>
      <c r="G178" s="21" t="n">
        <v>1798000.0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1.0</v>
      </c>
      <c r="F179" s="26" t="n">
        <f>0</f>
        <v>0.0</v>
      </c>
      <c r="G179" s="25" t="n">
        <v>1798000.0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764.0</v>
      </c>
      <c r="F204" s="18" t="n">
        <f>0</f>
        <v>0.0</v>
      </c>
      <c r="G204" s="17" t="n">
        <v>3.2597475E9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227.0</v>
      </c>
      <c r="F205" s="22" t="n">
        <f>0</f>
        <v>0.0</v>
      </c>
      <c r="G205" s="21" t="n">
        <v>9.563495E8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1254.0</v>
      </c>
      <c r="F206" s="22" t="n">
        <f>2</f>
        <v>2.0</v>
      </c>
      <c r="G206" s="21" t="n">
        <v>5.2854785E9</v>
      </c>
      <c r="H206" s="22" t="n">
        <f>9058000</f>
        <v>9058000.0</v>
      </c>
    </row>
    <row r="207" spans="1:8" ht="24.9" customHeight="1">
      <c r="A207" s="57"/>
      <c r="B207" s="59"/>
      <c r="C207" s="39"/>
      <c r="D207" s="24" t="s">
        <v>18</v>
      </c>
      <c r="E207" s="25" t="n">
        <v>2245.0</v>
      </c>
      <c r="F207" s="26" t="n">
        <f>2</f>
        <v>2.0</v>
      </c>
      <c r="G207" s="25" t="n">
        <v>9.5015755E9</v>
      </c>
      <c r="H207" s="26" t="n">
        <f>9058000</f>
        <v>9058000.0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46177.0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46177.0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5017</f>
        <v>5017.0</v>
      </c>
      <c r="E12" s="35" t="n">
        <f>3092</f>
        <v>3092.0</v>
      </c>
      <c r="F12" s="17" t="n">
        <f>3364</f>
        <v>3364.0</v>
      </c>
      <c r="G12" s="35" t="n">
        <f>1317</f>
        <v>1317.0</v>
      </c>
      <c r="H12" s="17" t="n">
        <f>8381</f>
        <v>8381.0</v>
      </c>
      <c r="I12" s="35" t="n">
        <f>4409</f>
        <v>4409.0</v>
      </c>
      <c r="J12" s="17" t="n">
        <f>2575567600</f>
        <v>2.5755676E9</v>
      </c>
      <c r="K12" s="35" t="n">
        <f>1937072600</f>
        <v>1.9370726E9</v>
      </c>
      <c r="L12" s="17" t="n">
        <f>3711483250</f>
        <v>3.71148325E9</v>
      </c>
      <c r="M12" s="35" t="n">
        <f>2781978250</f>
        <v>2.78197825E9</v>
      </c>
      <c r="N12" s="17" t="n">
        <f>6287050850</f>
        <v>6.28705085E9</v>
      </c>
      <c r="O12" s="35" t="n">
        <f>4719050850</f>
        <v>4.71905085E9</v>
      </c>
    </row>
    <row r="13" spans="1:15" ht="24.9" customHeight="1">
      <c r="A13" s="38"/>
      <c r="B13" s="62"/>
      <c r="C13" s="20" t="s">
        <v>16</v>
      </c>
      <c r="D13" s="21" t="n">
        <f>4967</f>
        <v>4967.0</v>
      </c>
      <c r="E13" s="36" t="n">
        <f>807</f>
        <v>807.0</v>
      </c>
      <c r="F13" s="21" t="n">
        <f>5685</f>
        <v>5685.0</v>
      </c>
      <c r="G13" s="36" t="n">
        <f>2133</f>
        <v>2133.0</v>
      </c>
      <c r="H13" s="21" t="n">
        <f>10652</f>
        <v>10652.0</v>
      </c>
      <c r="I13" s="36" t="n">
        <f>2940</f>
        <v>2940.0</v>
      </c>
      <c r="J13" s="21" t="n">
        <f>1099746490</f>
        <v>1.09974649E9</v>
      </c>
      <c r="K13" s="36" t="n">
        <f>164571490</f>
        <v>1.6457149E8</v>
      </c>
      <c r="L13" s="21" t="n">
        <f>2866010800</f>
        <v>2.8660108E9</v>
      </c>
      <c r="M13" s="36" t="n">
        <f>2013063800</f>
        <v>2.0130638E9</v>
      </c>
      <c r="N13" s="21" t="n">
        <f>3965757290</f>
        <v>3.96575729E9</v>
      </c>
      <c r="O13" s="36" t="n">
        <f>2177635290</f>
        <v>2.17763529E9</v>
      </c>
    </row>
    <row r="14" spans="1:15" ht="24.9" customHeight="1">
      <c r="A14" s="38"/>
      <c r="B14" s="62"/>
      <c r="C14" s="20" t="s">
        <v>17</v>
      </c>
      <c r="D14" s="21" t="n">
        <f>13725</f>
        <v>13725.0</v>
      </c>
      <c r="E14" s="36" t="n">
        <f>9961</f>
        <v>9961.0</v>
      </c>
      <c r="F14" s="21" t="n">
        <f>7579</f>
        <v>7579.0</v>
      </c>
      <c r="G14" s="36" t="n">
        <f>3727</f>
        <v>3727.0</v>
      </c>
      <c r="H14" s="21" t="n">
        <f>21304</f>
        <v>21304.0</v>
      </c>
      <c r="I14" s="36" t="n">
        <f>13688</f>
        <v>13688.0</v>
      </c>
      <c r="J14" s="21" t="n">
        <f>8156516135</f>
        <v>8.156516135E9</v>
      </c>
      <c r="K14" s="36" t="n">
        <f>6833100135</f>
        <v>6.833100135E9</v>
      </c>
      <c r="L14" s="21" t="n">
        <f>45287106188</f>
        <v>4.5287106188E10</v>
      </c>
      <c r="M14" s="36" t="n">
        <f>44086091188</f>
        <v>4.4086091188E10</v>
      </c>
      <c r="N14" s="21" t="n">
        <f>53443622323</f>
        <v>5.3443622323E10</v>
      </c>
      <c r="O14" s="36" t="n">
        <f>50919191323</f>
        <v>5.0919191323E10</v>
      </c>
    </row>
    <row r="15" spans="1:15" ht="24.9" customHeight="1">
      <c r="A15" s="38"/>
      <c r="B15" s="62"/>
      <c r="C15" s="24" t="s">
        <v>18</v>
      </c>
      <c r="D15" s="25" t="n">
        <f>23709</f>
        <v>23709.0</v>
      </c>
      <c r="E15" s="37" t="n">
        <f>13860</f>
        <v>13860.0</v>
      </c>
      <c r="F15" s="25" t="n">
        <f>16628</f>
        <v>16628.0</v>
      </c>
      <c r="G15" s="37" t="n">
        <f>7177</f>
        <v>7177.0</v>
      </c>
      <c r="H15" s="25" t="n">
        <f>40337</f>
        <v>40337.0</v>
      </c>
      <c r="I15" s="37" t="n">
        <f>21037</f>
        <v>21037.0</v>
      </c>
      <c r="J15" s="25" t="n">
        <f>11831830225</f>
        <v>1.1831830225E10</v>
      </c>
      <c r="K15" s="37" t="n">
        <f>8934744225</f>
        <v>8.934744225E9</v>
      </c>
      <c r="L15" s="25" t="n">
        <f>51864600238</f>
        <v>5.1864600238E10</v>
      </c>
      <c r="M15" s="37" t="n">
        <f>48881133238</f>
        <v>4.8881133238E10</v>
      </c>
      <c r="N15" s="25" t="n">
        <f>63696430463</f>
        <v>6.3696430463E10</v>
      </c>
      <c r="O15" s="37" t="n">
        <f>57815877463</f>
        <v>5.7815877463E10</v>
      </c>
    </row>
    <row r="16" spans="1:15" ht="24.9" customHeight="1">
      <c r="A16" s="38"/>
      <c r="B16" s="61" t="s">
        <v>105</v>
      </c>
      <c r="C16" s="16" t="s">
        <v>15</v>
      </c>
      <c r="D16" s="17" t="n">
        <f>12089</f>
        <v>12089.0</v>
      </c>
      <c r="E16" s="35" t="n">
        <f>1700</f>
        <v>1700.0</v>
      </c>
      <c r="F16" s="17" t="n">
        <f>4729</f>
        <v>4729.0</v>
      </c>
      <c r="G16" s="35" t="n">
        <f>490</f>
        <v>490.0</v>
      </c>
      <c r="H16" s="17" t="n">
        <f>16818</f>
        <v>16818.0</v>
      </c>
      <c r="I16" s="35" t="n">
        <f>2190</f>
        <v>2190.0</v>
      </c>
      <c r="J16" s="17" t="n">
        <f>240044010</f>
        <v>2.4004401E8</v>
      </c>
      <c r="K16" s="35" t="n">
        <f>11002710</f>
        <v>1.100271E7</v>
      </c>
      <c r="L16" s="17" t="n">
        <f>354330970</f>
        <v>3.5433097E8</v>
      </c>
      <c r="M16" s="35" t="n">
        <f>8163470</f>
        <v>8163470.0</v>
      </c>
      <c r="N16" s="17" t="n">
        <f>594374980</f>
        <v>5.9437498E8</v>
      </c>
      <c r="O16" s="35" t="n">
        <f>19166180</f>
        <v>1.916618E7</v>
      </c>
    </row>
    <row r="17" spans="1:15" ht="24.9" customHeight="1">
      <c r="A17" s="38"/>
      <c r="B17" s="62"/>
      <c r="C17" s="20" t="s">
        <v>16</v>
      </c>
      <c r="D17" s="21" t="n">
        <f>11536</f>
        <v>11536.0</v>
      </c>
      <c r="E17" s="36" t="n">
        <f>940</f>
        <v>940.0</v>
      </c>
      <c r="F17" s="21" t="n">
        <f>6496</f>
        <v>6496.0</v>
      </c>
      <c r="G17" s="36" t="n">
        <f>320</f>
        <v>320.0</v>
      </c>
      <c r="H17" s="21" t="n">
        <f>18032</f>
        <v>18032.0</v>
      </c>
      <c r="I17" s="36" t="n">
        <f>1260</f>
        <v>1260.0</v>
      </c>
      <c r="J17" s="21" t="n">
        <f>174106210</f>
        <v>1.7410621E8</v>
      </c>
      <c r="K17" s="36" t="n">
        <f>6941810</f>
        <v>6941810.0</v>
      </c>
      <c r="L17" s="21" t="n">
        <f>183584100</f>
        <v>1.835841E8</v>
      </c>
      <c r="M17" s="36" t="n">
        <f>4072700</f>
        <v>4072700.0</v>
      </c>
      <c r="N17" s="21" t="n">
        <f>357690310</f>
        <v>3.5769031E8</v>
      </c>
      <c r="O17" s="36" t="n">
        <f>11014510</f>
        <v>1.101451E7</v>
      </c>
    </row>
    <row r="18" spans="1:15" ht="24.9" customHeight="1">
      <c r="A18" s="38"/>
      <c r="B18" s="62"/>
      <c r="C18" s="20" t="s">
        <v>17</v>
      </c>
      <c r="D18" s="21" t="n">
        <f>14836</f>
        <v>14836.0</v>
      </c>
      <c r="E18" s="36" t="n">
        <f>910</f>
        <v>910.0</v>
      </c>
      <c r="F18" s="21" t="n">
        <f>8341</f>
        <v>8341.0</v>
      </c>
      <c r="G18" s="36" t="n">
        <f>620</f>
        <v>620.0</v>
      </c>
      <c r="H18" s="21" t="n">
        <f>23177</f>
        <v>23177.0</v>
      </c>
      <c r="I18" s="36" t="n">
        <f>1530</f>
        <v>1530.0</v>
      </c>
      <c r="J18" s="21" t="n">
        <f>246951100</f>
        <v>2.469511E8</v>
      </c>
      <c r="K18" s="36" t="n">
        <f>4737700</f>
        <v>4737700.0</v>
      </c>
      <c r="L18" s="21" t="n">
        <f>242508040</f>
        <v>2.4250804E8</v>
      </c>
      <c r="M18" s="36" t="n">
        <f>5698340</f>
        <v>5698340.0</v>
      </c>
      <c r="N18" s="21" t="n">
        <f>489459140</f>
        <v>4.8945914E8</v>
      </c>
      <c r="O18" s="36" t="n">
        <f>10436040</f>
        <v>1.043604E7</v>
      </c>
    </row>
    <row r="19" spans="1:15" ht="24.9" customHeight="1">
      <c r="A19" s="38"/>
      <c r="B19" s="62"/>
      <c r="C19" s="24" t="s">
        <v>18</v>
      </c>
      <c r="D19" s="25" t="n">
        <f>38461</f>
        <v>38461.0</v>
      </c>
      <c r="E19" s="37" t="n">
        <f>3550</f>
        <v>3550.0</v>
      </c>
      <c r="F19" s="25" t="n">
        <f>19566</f>
        <v>19566.0</v>
      </c>
      <c r="G19" s="37" t="n">
        <f>1430</f>
        <v>1430.0</v>
      </c>
      <c r="H19" s="25" t="n">
        <f>58027</f>
        <v>58027.0</v>
      </c>
      <c r="I19" s="37" t="n">
        <f>4980</f>
        <v>4980.0</v>
      </c>
      <c r="J19" s="25" t="n">
        <f>661101320</f>
        <v>6.6110132E8</v>
      </c>
      <c r="K19" s="37" t="n">
        <f>22682220</f>
        <v>2.268222E7</v>
      </c>
      <c r="L19" s="25" t="n">
        <f>780423110</f>
        <v>7.8042311E8</v>
      </c>
      <c r="M19" s="37" t="n">
        <f>17934510</f>
        <v>1.793451E7</v>
      </c>
      <c r="N19" s="25" t="n">
        <f>1441524430</f>
        <v>1.44152443E9</v>
      </c>
      <c r="O19" s="37" t="n">
        <f>40616730</f>
        <v>4.061673E7</v>
      </c>
    </row>
    <row r="20" spans="1:15" ht="24.9" customHeight="1">
      <c r="A20" s="38"/>
      <c r="B20" s="61" t="s">
        <v>106</v>
      </c>
      <c r="C20" s="16" t="s">
        <v>15</v>
      </c>
      <c r="D20" s="17" t="n">
        <f>2241</f>
        <v>2241.0</v>
      </c>
      <c r="E20" s="35" t="n">
        <f>2241</f>
        <v>2241.0</v>
      </c>
      <c r="F20" s="17" t="n">
        <f>0</f>
        <v>0.0</v>
      </c>
      <c r="G20" s="35" t="n">
        <f>0</f>
        <v>0.0</v>
      </c>
      <c r="H20" s="17" t="n">
        <f>2241</f>
        <v>2241.0</v>
      </c>
      <c r="I20" s="35" t="n">
        <f>2241</f>
        <v>2241.0</v>
      </c>
      <c r="J20" s="17" t="n">
        <f>2618083000</f>
        <v>2.618083E9</v>
      </c>
      <c r="K20" s="35" t="n">
        <f>2618083000</f>
        <v>2.618083E9</v>
      </c>
      <c r="L20" s="17" t="n">
        <f>0</f>
        <v>0.0</v>
      </c>
      <c r="M20" s="35" t="n">
        <f>0</f>
        <v>0.0</v>
      </c>
      <c r="N20" s="17" t="n">
        <f>2618083000</f>
        <v>2.618083E9</v>
      </c>
      <c r="O20" s="35" t="n">
        <f>2618083000</f>
        <v>2.618083E9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400</f>
        <v>400.0</v>
      </c>
      <c r="G21" s="36" t="n">
        <f>400</f>
        <v>400.0</v>
      </c>
      <c r="H21" s="21" t="n">
        <f>400</f>
        <v>400.0</v>
      </c>
      <c r="I21" s="36" t="n">
        <f>400</f>
        <v>400.0</v>
      </c>
      <c r="J21" s="21" t="n">
        <f>0</f>
        <v>0.0</v>
      </c>
      <c r="K21" s="36" t="n">
        <f>0</f>
        <v>0.0</v>
      </c>
      <c r="L21" s="21" t="n">
        <f>240400000</f>
        <v>2.404E8</v>
      </c>
      <c r="M21" s="36" t="n">
        <f>240400000</f>
        <v>2.404E8</v>
      </c>
      <c r="N21" s="21" t="n">
        <f>240400000</f>
        <v>2.404E8</v>
      </c>
      <c r="O21" s="36" t="n">
        <f>240400000</f>
        <v>2.404E8</v>
      </c>
    </row>
    <row r="22" spans="1:15" ht="24.9" customHeight="1">
      <c r="A22" s="38"/>
      <c r="B22" s="62"/>
      <c r="C22" s="20" t="s">
        <v>17</v>
      </c>
      <c r="D22" s="21" t="n">
        <f>80</f>
        <v>80.0</v>
      </c>
      <c r="E22" s="36" t="n">
        <f>80</f>
        <v>80.0</v>
      </c>
      <c r="F22" s="21" t="n">
        <f>80</f>
        <v>80.0</v>
      </c>
      <c r="G22" s="36" t="n">
        <f>80</f>
        <v>80.0</v>
      </c>
      <c r="H22" s="21" t="n">
        <f>160</f>
        <v>160.0</v>
      </c>
      <c r="I22" s="36" t="n">
        <f>160</f>
        <v>160.0</v>
      </c>
      <c r="J22" s="21" t="n">
        <f>182400000</f>
        <v>1.824E8</v>
      </c>
      <c r="K22" s="36" t="n">
        <f>182400000</f>
        <v>1.824E8</v>
      </c>
      <c r="L22" s="21" t="n">
        <f>138400000</f>
        <v>1.384E8</v>
      </c>
      <c r="M22" s="36" t="n">
        <f>138400000</f>
        <v>1.384E8</v>
      </c>
      <c r="N22" s="21" t="n">
        <f>320800000</f>
        <v>3.208E8</v>
      </c>
      <c r="O22" s="36" t="n">
        <f>320800000</f>
        <v>3.208E8</v>
      </c>
    </row>
    <row r="23" spans="1:15" ht="24.9" customHeight="1">
      <c r="A23" s="38"/>
      <c r="B23" s="62"/>
      <c r="C23" s="24" t="s">
        <v>18</v>
      </c>
      <c r="D23" s="25" t="n">
        <f>2321</f>
        <v>2321.0</v>
      </c>
      <c r="E23" s="37" t="n">
        <f>2321</f>
        <v>2321.0</v>
      </c>
      <c r="F23" s="25" t="n">
        <f>480</f>
        <v>480.0</v>
      </c>
      <c r="G23" s="37" t="n">
        <f>480</f>
        <v>480.0</v>
      </c>
      <c r="H23" s="25" t="n">
        <f>2801</f>
        <v>2801.0</v>
      </c>
      <c r="I23" s="37" t="n">
        <f>2801</f>
        <v>2801.0</v>
      </c>
      <c r="J23" s="25" t="n">
        <f>2800483000</f>
        <v>2.800483E9</v>
      </c>
      <c r="K23" s="37" t="n">
        <f>2800483000</f>
        <v>2.800483E9</v>
      </c>
      <c r="L23" s="25" t="n">
        <f>378800000</f>
        <v>3.788E8</v>
      </c>
      <c r="M23" s="37" t="n">
        <f>378800000</f>
        <v>3.788E8</v>
      </c>
      <c r="N23" s="25" t="n">
        <f>3179283000</f>
        <v>3.179283E9</v>
      </c>
      <c r="O23" s="37" t="n">
        <f>3179283000</f>
        <v>3.179283E9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15</f>
        <v>15.0</v>
      </c>
      <c r="E37" s="22" t="n">
        <f>0</f>
        <v>0.0</v>
      </c>
      <c r="F37" s="21" t="n">
        <f>33</f>
        <v>33.0</v>
      </c>
      <c r="G37" s="22" t="n">
        <f>0</f>
        <v>0.0</v>
      </c>
      <c r="H37" s="21" t="n">
        <f>48</f>
        <v>48.0</v>
      </c>
      <c r="I37" s="22" t="n">
        <f>0</f>
        <v>0.0</v>
      </c>
      <c r="J37" s="21" t="n">
        <f>7450000</f>
        <v>7450000.0</v>
      </c>
      <c r="K37" s="22" t="n">
        <f>0</f>
        <v>0.0</v>
      </c>
      <c r="L37" s="21" t="n">
        <f>1860000</f>
        <v>1860000.0</v>
      </c>
      <c r="M37" s="22" t="n">
        <f>0</f>
        <v>0.0</v>
      </c>
      <c r="N37" s="21" t="n">
        <f>9310000</f>
        <v>9310000.0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89</f>
        <v>89.0</v>
      </c>
      <c r="E38" s="36" t="n">
        <f>0</f>
        <v>0.0</v>
      </c>
      <c r="F38" s="21" t="n">
        <f>2</f>
        <v>2.0</v>
      </c>
      <c r="G38" s="36" t="n">
        <f>0</f>
        <v>0.0</v>
      </c>
      <c r="H38" s="21" t="n">
        <f>91</f>
        <v>91.0</v>
      </c>
      <c r="I38" s="36" t="n">
        <f>0</f>
        <v>0.0</v>
      </c>
      <c r="J38" s="21" t="n">
        <f>18310000</f>
        <v>1.831E7</v>
      </c>
      <c r="K38" s="36" t="n">
        <f>0</f>
        <v>0.0</v>
      </c>
      <c r="L38" s="21" t="n">
        <f>780000</f>
        <v>780000.0</v>
      </c>
      <c r="M38" s="36" t="n">
        <f>0</f>
        <v>0.0</v>
      </c>
      <c r="N38" s="21" t="n">
        <f>19090000</f>
        <v>1.909E7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104</f>
        <v>104.0</v>
      </c>
      <c r="E39" s="37" t="n">
        <f>0</f>
        <v>0.0</v>
      </c>
      <c r="F39" s="25" t="n">
        <f>35</f>
        <v>35.0</v>
      </c>
      <c r="G39" s="37" t="n">
        <f>0</f>
        <v>0.0</v>
      </c>
      <c r="H39" s="25" t="n">
        <f>139</f>
        <v>139.0</v>
      </c>
      <c r="I39" s="37" t="n">
        <f>0</f>
        <v>0.0</v>
      </c>
      <c r="J39" s="25" t="n">
        <f>25760000</f>
        <v>2.576E7</v>
      </c>
      <c r="K39" s="37" t="n">
        <f>0</f>
        <v>0.0</v>
      </c>
      <c r="L39" s="25" t="n">
        <f>2640000</f>
        <v>2640000.0</v>
      </c>
      <c r="M39" s="37" t="n">
        <f>0</f>
        <v>0.0</v>
      </c>
      <c r="N39" s="25" t="n">
        <f>28400000</f>
        <v>2.84E7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630</f>
        <v>630.0</v>
      </c>
      <c r="E41" s="36" t="n">
        <f>0</f>
        <v>0.0</v>
      </c>
      <c r="F41" s="21" t="n">
        <f>4644</f>
        <v>4644.0</v>
      </c>
      <c r="G41" s="36" t="n">
        <f>50</f>
        <v>50.0</v>
      </c>
      <c r="H41" s="21" t="n">
        <f>5274</f>
        <v>5274.0</v>
      </c>
      <c r="I41" s="36" t="n">
        <f>50</f>
        <v>50.0</v>
      </c>
      <c r="J41" s="21" t="n">
        <f>15411678</f>
        <v>1.5411678E7</v>
      </c>
      <c r="K41" s="36" t="n">
        <f>0</f>
        <v>0.0</v>
      </c>
      <c r="L41" s="21" t="n">
        <f>21390484</f>
        <v>2.1390484E7</v>
      </c>
      <c r="M41" s="36" t="n">
        <f>11200000</f>
        <v>1.12E7</v>
      </c>
      <c r="N41" s="21" t="n">
        <f>36802162</f>
        <v>3.6802162E7</v>
      </c>
      <c r="O41" s="36" t="n">
        <f>11200000</f>
        <v>1.12E7</v>
      </c>
    </row>
    <row r="42" spans="1:15" ht="24.9" customHeight="1">
      <c r="A42" s="38"/>
      <c r="B42" s="62"/>
      <c r="C42" s="20" t="s">
        <v>17</v>
      </c>
      <c r="D42" s="21" t="n">
        <f>1210</f>
        <v>1210.0</v>
      </c>
      <c r="E42" s="36" t="n">
        <f>0</f>
        <v>0.0</v>
      </c>
      <c r="F42" s="21" t="n">
        <f>3562</f>
        <v>3562.0</v>
      </c>
      <c r="G42" s="36" t="n">
        <f>100</f>
        <v>100.0</v>
      </c>
      <c r="H42" s="21" t="n">
        <f>4772</f>
        <v>4772.0</v>
      </c>
      <c r="I42" s="36" t="n">
        <f>100</f>
        <v>100.0</v>
      </c>
      <c r="J42" s="21" t="n">
        <f>13206010</f>
        <v>1.320601E7</v>
      </c>
      <c r="K42" s="36" t="n">
        <f>0</f>
        <v>0.0</v>
      </c>
      <c r="L42" s="21" t="n">
        <f>46286000</f>
        <v>4.6286E7</v>
      </c>
      <c r="M42" s="36" t="n">
        <f>1995000</f>
        <v>1995000.0</v>
      </c>
      <c r="N42" s="21" t="n">
        <f>59492010</f>
        <v>5.949201E7</v>
      </c>
      <c r="O42" s="36" t="n">
        <f>1995000</f>
        <v>1995000.0</v>
      </c>
    </row>
    <row r="43" spans="1:15" ht="24.9" customHeight="1">
      <c r="A43" s="38"/>
      <c r="B43" s="62"/>
      <c r="C43" s="24" t="s">
        <v>18</v>
      </c>
      <c r="D43" s="25" t="n">
        <f>1840</f>
        <v>1840.0</v>
      </c>
      <c r="E43" s="37" t="n">
        <f>0</f>
        <v>0.0</v>
      </c>
      <c r="F43" s="25" t="n">
        <f>8206</f>
        <v>8206.0</v>
      </c>
      <c r="G43" s="37" t="n">
        <f>150</f>
        <v>150.0</v>
      </c>
      <c r="H43" s="25" t="n">
        <f>10046</f>
        <v>10046.0</v>
      </c>
      <c r="I43" s="37" t="n">
        <f>150</f>
        <v>150.0</v>
      </c>
      <c r="J43" s="25" t="n">
        <f>28617688</f>
        <v>2.8617688E7</v>
      </c>
      <c r="K43" s="37" t="n">
        <f>0</f>
        <v>0.0</v>
      </c>
      <c r="L43" s="25" t="n">
        <f>67676484</f>
        <v>6.7676484E7</v>
      </c>
      <c r="M43" s="37" t="n">
        <f>13195000</f>
        <v>1.3195E7</v>
      </c>
      <c r="N43" s="25" t="n">
        <f>96294172</f>
        <v>9.6294172E7</v>
      </c>
      <c r="O43" s="37" t="n">
        <f>13195000</f>
        <v>1.3195E7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