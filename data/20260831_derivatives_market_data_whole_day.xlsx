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<sst xmlns="http://schemas.openxmlformats.org/spreadsheetml/2006/main" count="528" uniqueCount="129">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</sst>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DATE(2026,08,31)</f>
        <v>46265.0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DATE(2026,08,31)</f>
        <v>46265.0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713207.0</f>
        <v>713207.0</v>
      </c>
      <c r="E12" s="18" t="n">
        <f>37360.0</f>
        <v>37360.0</v>
      </c>
      <c r="F12" s="19" t="n">
        <f>1.0</f>
        <v>1.0</v>
      </c>
      <c r="G12" s="17" t="n">
        <f>5201886193375.0</f>
        <v>5.201886193375E12</v>
      </c>
      <c r="H12" s="18" t="n">
        <f>340693696900.0</f>
        <v>3.406936969E11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480138.0</f>
        <v>480138.0</v>
      </c>
      <c r="E13" s="22" t="n">
        <f>22358.0</f>
        <v>22358.0</v>
      </c>
      <c r="F13" s="23" t="n">
        <f>1.0</f>
        <v>1.0</v>
      </c>
      <c r="G13" s="21" t="n">
        <f>4754270557770.0</f>
        <v>4.75427055777E12</v>
      </c>
      <c r="H13" s="22" t="n">
        <f>443841273020.0</f>
        <v>4.4384127302E11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477605.0</f>
        <v>477605.0</v>
      </c>
      <c r="E14" s="22" t="n">
        <f>39889.0</f>
        <v>39889.0</v>
      </c>
      <c r="F14" s="23" t="n">
        <f>1.0</f>
        <v>1.0</v>
      </c>
      <c r="G14" s="21" t="n">
        <f>6808544960891.0</f>
        <v>6.808544960891E12</v>
      </c>
      <c r="H14" s="22" t="n">
        <f>1162287791266.0</f>
        <v>1.162287791266E12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1670950.0</f>
        <v>1670950.0</v>
      </c>
      <c r="E15" s="26" t="n">
        <f>99607.0</f>
        <v>99607.0</v>
      </c>
      <c r="F15" s="27" t="n">
        <f>1.0</f>
        <v>1.0</v>
      </c>
      <c r="G15" s="25" t="n">
        <f>16764701712036.0</f>
        <v>1.6764701712036E13</v>
      </c>
      <c r="H15" s="26" t="n">
        <f>1946822761186.0</f>
        <v>1.946822761186E12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23248.0</f>
        <v>23248.0</v>
      </c>
      <c r="E16" s="18" t="n">
        <f>422.0</f>
        <v>422.0</v>
      </c>
      <c r="F16" s="19" t="n">
        <f>0.033</f>
        <v>0.033</v>
      </c>
      <c r="G16" s="17" t="n">
        <f>1991920228125.0</f>
        <v>1.991920228125E12</v>
      </c>
      <c r="H16" s="18" t="n">
        <f>53216150000.0</f>
        <v>5.321615E10</v>
      </c>
      <c r="I16" s="19" t="n">
        <f>0.383</f>
        <v>0.383</v>
      </c>
    </row>
    <row r="17" spans="1:9" ht="24.9" customHeight="1">
      <c r="A17" s="41"/>
      <c r="B17" s="39"/>
      <c r="C17" s="20" t="s">
        <v>16</v>
      </c>
      <c r="D17" s="21" t="n">
        <f>14170.0</f>
        <v>14170.0</v>
      </c>
      <c r="E17" s="22" t="n">
        <f>1957.0</f>
        <v>1957.0</v>
      </c>
      <c r="F17" s="23" t="n">
        <f>0.03</f>
        <v>0.03</v>
      </c>
      <c r="G17" s="21" t="n">
        <f>1730574371250.0</f>
        <v>1.73057437125E12</v>
      </c>
      <c r="H17" s="22" t="n">
        <f>246592680000.0</f>
        <v>2.4659268E11</v>
      </c>
      <c r="I17" s="23" t="n">
        <f>0.364</f>
        <v>0.364</v>
      </c>
    </row>
    <row r="18" spans="1:9" ht="24.9" customHeight="1">
      <c r="A18" s="41"/>
      <c r="B18" s="39"/>
      <c r="C18" s="20" t="s">
        <v>17</v>
      </c>
      <c r="D18" s="21" t="n">
        <f>26998.0</f>
        <v>26998.0</v>
      </c>
      <c r="E18" s="22" t="n">
        <f>2560.0</f>
        <v>2560.0</v>
      </c>
      <c r="F18" s="23" t="n">
        <f>0.057</f>
        <v>0.057</v>
      </c>
      <c r="G18" s="21" t="n">
        <f>2432789593125.0</f>
        <v>2.432789593125E12</v>
      </c>
      <c r="H18" s="22" t="n">
        <f>322297570000.0</f>
        <v>3.2229757E11</v>
      </c>
      <c r="I18" s="23" t="n">
        <f>0.357</f>
        <v>0.357</v>
      </c>
    </row>
    <row r="19" spans="1:9" ht="24.9" customHeight="1">
      <c r="A19" s="41"/>
      <c r="B19" s="39"/>
      <c r="C19" s="24" t="s">
        <v>18</v>
      </c>
      <c r="D19" s="25" t="n">
        <f>64416.0</f>
        <v>64416.0</v>
      </c>
      <c r="E19" s="26" t="n">
        <f>4939.0</f>
        <v>4939.0</v>
      </c>
      <c r="F19" s="27" t="n">
        <f>0.039</f>
        <v>0.039</v>
      </c>
      <c r="G19" s="25" t="n">
        <f>6155284192500.0</f>
        <v>6.1552841925E12</v>
      </c>
      <c r="H19" s="26" t="n">
        <f>622106400000.0</f>
        <v>6.221064E11</v>
      </c>
      <c r="I19" s="27" t="n">
        <f>0.367</f>
        <v>0.367</v>
      </c>
    </row>
    <row r="20" spans="1:9" ht="24.9" customHeight="1">
      <c r="A20" s="41"/>
      <c r="B20" s="39" t="s">
        <v>21</v>
      </c>
      <c r="C20" s="16" t="s">
        <v>15</v>
      </c>
      <c r="D20" s="17" t="n">
        <f>662918.0</f>
        <v>662918.0</v>
      </c>
      <c r="E20" s="18" t="n">
        <f>36758.0</f>
        <v>36758.0</v>
      </c>
      <c r="F20" s="19" t="n">
        <f>0.929</f>
        <v>0.929</v>
      </c>
      <c r="G20" s="17" t="n">
        <f>2865867798250.0</f>
        <v>2.86586779825E12</v>
      </c>
      <c r="H20" s="18" t="n">
        <f>287221759700.0</f>
        <v>2.872217597E11</v>
      </c>
      <c r="I20" s="19" t="n">
        <f>0.551</f>
        <v>0.551</v>
      </c>
    </row>
    <row r="21" spans="1:9" ht="24.9" customHeight="1">
      <c r="A21" s="41"/>
      <c r="B21" s="39"/>
      <c r="C21" s="20" t="s">
        <v>16</v>
      </c>
      <c r="D21" s="21" t="n">
        <f>453609.0</f>
        <v>453609.0</v>
      </c>
      <c r="E21" s="22" t="n">
        <f>20391.0</f>
        <v>20391.0</v>
      </c>
      <c r="F21" s="23" t="n">
        <f>0.945</f>
        <v>0.945</v>
      </c>
      <c r="G21" s="21" t="n">
        <f>2867912920170.0</f>
        <v>2.86791292017E12</v>
      </c>
      <c r="H21" s="22" t="n">
        <f>197231406620.0</f>
        <v>1.9723140662E11</v>
      </c>
      <c r="I21" s="23" t="n">
        <f>0.603</f>
        <v>0.603</v>
      </c>
    </row>
    <row r="22" spans="1:9" ht="24.9" customHeight="1">
      <c r="A22" s="41"/>
      <c r="B22" s="39"/>
      <c r="C22" s="20" t="s">
        <v>17</v>
      </c>
      <c r="D22" s="21" t="n">
        <f>434448.0</f>
        <v>434448.0</v>
      </c>
      <c r="E22" s="22" t="n">
        <f>37319.0</f>
        <v>37319.0</v>
      </c>
      <c r="F22" s="23" t="n">
        <f>0.91</f>
        <v>0.91</v>
      </c>
      <c r="G22" s="21" t="n">
        <f>4219878652766.0</f>
        <v>4.219878652766E12</v>
      </c>
      <c r="H22" s="22" t="n">
        <f>839951321266.0</f>
        <v>8.39951321266E11</v>
      </c>
      <c r="I22" s="23" t="n">
        <f>0.62</f>
        <v>0.62</v>
      </c>
    </row>
    <row r="23" spans="1:9" ht="24.9" customHeight="1">
      <c r="A23" s="41"/>
      <c r="B23" s="39"/>
      <c r="C23" s="24" t="s">
        <v>18</v>
      </c>
      <c r="D23" s="25" t="n">
        <f>1550975.0</f>
        <v>1550975.0</v>
      </c>
      <c r="E23" s="26" t="n">
        <f>94468.0</f>
        <v>94468.0</v>
      </c>
      <c r="F23" s="27" t="n">
        <f>0.928</f>
        <v>0.928</v>
      </c>
      <c r="G23" s="25" t="n">
        <f>9953659371186.0</f>
        <v>9.953659371186E12</v>
      </c>
      <c r="H23" s="26" t="n">
        <f>1324404487586.0</f>
        <v>1.324404487586E12</v>
      </c>
      <c r="I23" s="27" t="n">
        <f>0.594</f>
        <v>0.594</v>
      </c>
    </row>
    <row r="24" spans="1:9" ht="24.9" customHeight="1">
      <c r="A24" s="41"/>
      <c r="B24" s="39" t="s">
        <v>22</v>
      </c>
      <c r="C24" s="16" t="s">
        <v>15</v>
      </c>
      <c r="D24" s="17" t="n">
        <f>26685.0</f>
        <v>26685.0</v>
      </c>
      <c r="E24" s="18" t="n">
        <f>0.0</f>
        <v>0.0</v>
      </c>
      <c r="F24" s="19" t="n">
        <f>0.037</f>
        <v>0.037</v>
      </c>
      <c r="G24" s="17" t="n">
        <f>343166804300.0</f>
        <v>3.431668043E11</v>
      </c>
      <c r="H24" s="18" t="n">
        <f>0.0</f>
        <v>0.0</v>
      </c>
      <c r="I24" s="19" t="n">
        <f>0.066</f>
        <v>0.066</v>
      </c>
    </row>
    <row r="25" spans="1:9" ht="24.9" customHeight="1">
      <c r="A25" s="41"/>
      <c r="B25" s="39"/>
      <c r="C25" s="20" t="s">
        <v>16</v>
      </c>
      <c r="D25" s="21" t="n">
        <f>12232.0</f>
        <v>12232.0</v>
      </c>
      <c r="E25" s="22" t="n">
        <f>0.0</f>
        <v>0.0</v>
      </c>
      <c r="F25" s="23" t="n">
        <f>0.025</f>
        <v>0.025</v>
      </c>
      <c r="G25" s="21" t="n">
        <f>155314492950.0</f>
        <v>1.5531449295E11</v>
      </c>
      <c r="H25" s="22" t="n">
        <f>0.0</f>
        <v>0.0</v>
      </c>
      <c r="I25" s="23" t="n">
        <f>0.033</f>
        <v>0.033</v>
      </c>
    </row>
    <row r="26" spans="1:9" ht="24.9" customHeight="1">
      <c r="A26" s="41"/>
      <c r="B26" s="39"/>
      <c r="C26" s="20" t="s">
        <v>17</v>
      </c>
      <c r="D26" s="21" t="n">
        <f>14809.0</f>
        <v>14809.0</v>
      </c>
      <c r="E26" s="22" t="n">
        <f>0.0</f>
        <v>0.0</v>
      </c>
      <c r="F26" s="23" t="n">
        <f>0.031</f>
        <v>0.031</v>
      </c>
      <c r="G26" s="21" t="n">
        <f>150581075000.0</f>
        <v>1.50581075E11</v>
      </c>
      <c r="H26" s="22" t="n">
        <f>0.0</f>
        <v>0.0</v>
      </c>
      <c r="I26" s="23" t="n">
        <f>0.022</f>
        <v>0.022</v>
      </c>
    </row>
    <row r="27" spans="1:9" ht="24.9" customHeight="1">
      <c r="A27" s="42"/>
      <c r="B27" s="39"/>
      <c r="C27" s="24" t="s">
        <v>18</v>
      </c>
      <c r="D27" s="25" t="n">
        <f>53726.0</f>
        <v>53726.0</v>
      </c>
      <c r="E27" s="26" t="n">
        <f>0.0</f>
        <v>0.0</v>
      </c>
      <c r="F27" s="27" t="n">
        <f>0.032</f>
        <v>0.032</v>
      </c>
      <c r="G27" s="25" t="n">
        <f>649062372250.0</f>
        <v>6.4906237225E11</v>
      </c>
      <c r="H27" s="26" t="n">
        <f>0.0</f>
        <v>0.0</v>
      </c>
      <c r="I27" s="27" t="n">
        <f>0.039</f>
        <v>0.039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356.0</f>
        <v>356.0</v>
      </c>
      <c r="E28" s="18" t="n">
        <f>180.0</f>
        <v>180.0</v>
      </c>
      <c r="F28" s="19" t="n">
        <f>0.0</f>
        <v>0.0</v>
      </c>
      <c r="G28" s="17" t="n">
        <f>931362700.0</f>
        <v>9.313627E8</v>
      </c>
      <c r="H28" s="18" t="n">
        <f>255787200.0</f>
        <v>2.557872E8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127.0</f>
        <v>127.0</v>
      </c>
      <c r="E29" s="22" t="n">
        <f>10.0</f>
        <v>10.0</v>
      </c>
      <c r="F29" s="23" t="n">
        <f>0.0</f>
        <v>0.0</v>
      </c>
      <c r="G29" s="21" t="n">
        <f>468773400.0</f>
        <v>4.687734E8</v>
      </c>
      <c r="H29" s="22" t="n">
        <f>17186400.0</f>
        <v>1.71864E7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1350.0</f>
        <v>1350.0</v>
      </c>
      <c r="E30" s="22" t="n">
        <f>10.0</f>
        <v>10.0</v>
      </c>
      <c r="F30" s="23" t="n">
        <f>0.003</f>
        <v>0.003</v>
      </c>
      <c r="G30" s="21" t="n">
        <f>5295640000.0</f>
        <v>5.29564E9</v>
      </c>
      <c r="H30" s="22" t="n">
        <f>38900000.0</f>
        <v>3.89E7</v>
      </c>
      <c r="I30" s="23" t="n">
        <f>0.001</f>
        <v>0.001</v>
      </c>
    </row>
    <row r="31" spans="1:9" ht="24.9" customHeight="1">
      <c r="A31" s="38"/>
      <c r="B31" s="39"/>
      <c r="C31" s="24" t="s">
        <v>18</v>
      </c>
      <c r="D31" s="25" t="n">
        <f>1833.0</f>
        <v>1833.0</v>
      </c>
      <c r="E31" s="26" t="n">
        <f>200.0</f>
        <v>200.0</v>
      </c>
      <c r="F31" s="27" t="n">
        <f>0.001</f>
        <v>0.001</v>
      </c>
      <c r="G31" s="25" t="n">
        <f>6695776100.0</f>
        <v>6.6957761E9</v>
      </c>
      <c r="H31" s="26" t="n">
        <f>311873600.0</f>
        <v>3.118736E8</v>
      </c>
      <c r="I31" s="27" t="n">
        <f>0.0</f>
        <v>0.0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46265.0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46265.0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17559</f>
        <v>17559.0</v>
      </c>
      <c r="E11" s="18" t="n">
        <f>3502</f>
        <v>3502.0</v>
      </c>
      <c r="F11" s="19" t="n">
        <f>1</f>
        <v>1.0</v>
      </c>
      <c r="G11" s="17" t="n">
        <f>3843266730</f>
        <v>3.84326673E9</v>
      </c>
      <c r="H11" s="18" t="n">
        <f>2866171330</f>
        <v>2.86617133E9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40853</f>
        <v>40853.0</v>
      </c>
      <c r="E12" s="22" t="n">
        <f>5440</f>
        <v>5440.0</v>
      </c>
      <c r="F12" s="23" t="n">
        <f>1</f>
        <v>1.0</v>
      </c>
      <c r="G12" s="21" t="n">
        <f>3675751651</f>
        <v>3.675751651E9</v>
      </c>
      <c r="H12" s="22" t="n">
        <f>1385324966</f>
        <v>1.385324966E9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60555</f>
        <v>60555.0</v>
      </c>
      <c r="E13" s="22" t="n">
        <f>17892</f>
        <v>17892.0</v>
      </c>
      <c r="F13" s="23" t="n">
        <f>1</f>
        <v>1.0</v>
      </c>
      <c r="G13" s="21" t="n">
        <f>14694574105</f>
        <v>1.4694574105E10</v>
      </c>
      <c r="H13" s="22" t="n">
        <f>12084839570</f>
        <v>1.208483957E10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118967</f>
        <v>118967.0</v>
      </c>
      <c r="E14" s="26" t="n">
        <f>26834</f>
        <v>26834.0</v>
      </c>
      <c r="F14" s="27" t="n">
        <f>1</f>
        <v>1.0</v>
      </c>
      <c r="G14" s="25" t="n">
        <f>22213592486</f>
        <v>2.2213592486E10</v>
      </c>
      <c r="H14" s="26" t="n">
        <f>16336335866</f>
        <v>1.6336335866E10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6</f>
        <v>6.0</v>
      </c>
      <c r="E15" s="18" t="n">
        <f>0</f>
        <v>0.0</v>
      </c>
      <c r="F15" s="19" t="n">
        <f>0</f>
        <v>0.0</v>
      </c>
      <c r="G15" s="17" t="n">
        <f>250000</f>
        <v>250000.0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92</f>
        <v>92.0</v>
      </c>
      <c r="E16" s="22" t="n">
        <f>4</f>
        <v>4.0</v>
      </c>
      <c r="F16" s="23" t="n">
        <f>0.002</f>
        <v>0.002</v>
      </c>
      <c r="G16" s="21" t="n">
        <f>10230000</f>
        <v>1.023E7</v>
      </c>
      <c r="H16" s="22" t="n">
        <f>40000</f>
        <v>40000.0</v>
      </c>
      <c r="I16" s="23" t="n">
        <f>0.003</f>
        <v>0.003</v>
      </c>
    </row>
    <row r="17" spans="1:9" ht="24.9" customHeight="1">
      <c r="A17" s="41"/>
      <c r="B17" s="39"/>
      <c r="C17" s="20" t="s">
        <v>17</v>
      </c>
      <c r="D17" s="21" t="n">
        <f>327</f>
        <v>327.0</v>
      </c>
      <c r="E17" s="22" t="n">
        <f>275</f>
        <v>275.0</v>
      </c>
      <c r="F17" s="23" t="n">
        <f>0.005</f>
        <v>0.005</v>
      </c>
      <c r="G17" s="21" t="n">
        <f>38180000</f>
        <v>3.818E7</v>
      </c>
      <c r="H17" s="22" t="n">
        <f>27830000</f>
        <v>2.783E7</v>
      </c>
      <c r="I17" s="23" t="n">
        <f>0.003</f>
        <v>0.003</v>
      </c>
    </row>
    <row r="18" spans="1:9" ht="24.9" customHeight="1">
      <c r="A18" s="41"/>
      <c r="B18" s="39"/>
      <c r="C18" s="24" t="s">
        <v>18</v>
      </c>
      <c r="D18" s="25" t="n">
        <f>425</f>
        <v>425.0</v>
      </c>
      <c r="E18" s="26" t="n">
        <f>279</f>
        <v>279.0</v>
      </c>
      <c r="F18" s="27" t="n">
        <f>0.004</f>
        <v>0.004</v>
      </c>
      <c r="G18" s="25" t="n">
        <f>48660000</f>
        <v>4.866E7</v>
      </c>
      <c r="H18" s="26" t="n">
        <f>27870000</f>
        <v>2.787E7</v>
      </c>
      <c r="I18" s="27" t="n">
        <f>0.002</f>
        <v>0.002</v>
      </c>
    </row>
    <row r="19" spans="1:9" ht="24.9" customHeight="1">
      <c r="A19" s="41"/>
      <c r="B19" s="39" t="s">
        <v>31</v>
      </c>
      <c r="C19" s="16" t="s">
        <v>15</v>
      </c>
      <c r="D19" s="17" t="n">
        <f>17553</f>
        <v>17553.0</v>
      </c>
      <c r="E19" s="18" t="n">
        <f>3502</f>
        <v>3502.0</v>
      </c>
      <c r="F19" s="19" t="n">
        <f>1</f>
        <v>1.0</v>
      </c>
      <c r="G19" s="17" t="n">
        <f>3843016730</f>
        <v>3.84301673E9</v>
      </c>
      <c r="H19" s="18" t="n">
        <f>2866171330</f>
        <v>2.86617133E9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26473</f>
        <v>26473.0</v>
      </c>
      <c r="E20" s="22" t="n">
        <f>5436</f>
        <v>5436.0</v>
      </c>
      <c r="F20" s="23" t="n">
        <f>0.648</f>
        <v>0.648</v>
      </c>
      <c r="G20" s="21" t="n">
        <f>3644050466</f>
        <v>3.644050466E9</v>
      </c>
      <c r="H20" s="22" t="n">
        <f>1385284966</f>
        <v>1.385284966E9</v>
      </c>
      <c r="I20" s="23" t="n">
        <f>0.991</f>
        <v>0.991</v>
      </c>
    </row>
    <row r="21" spans="1:9" ht="24.9" customHeight="1">
      <c r="A21" s="41"/>
      <c r="B21" s="39"/>
      <c r="C21" s="20" t="s">
        <v>17</v>
      </c>
      <c r="D21" s="21" t="n">
        <f>41644</f>
        <v>41644.0</v>
      </c>
      <c r="E21" s="22" t="n">
        <f>17617</f>
        <v>17617.0</v>
      </c>
      <c r="F21" s="23" t="n">
        <f>0.688</f>
        <v>0.688</v>
      </c>
      <c r="G21" s="21" t="n">
        <f>14628805470</f>
        <v>1.462880547E10</v>
      </c>
      <c r="H21" s="22" t="n">
        <f>12057009570</f>
        <v>1.205700957E10</v>
      </c>
      <c r="I21" s="23" t="n">
        <f>0.996</f>
        <v>0.996</v>
      </c>
    </row>
    <row r="22" spans="1:9" ht="24.9" customHeight="1">
      <c r="A22" s="41"/>
      <c r="B22" s="39"/>
      <c r="C22" s="24" t="s">
        <v>18</v>
      </c>
      <c r="D22" s="25" t="n">
        <f>85670</f>
        <v>85670.0</v>
      </c>
      <c r="E22" s="26" t="n">
        <f>26555</f>
        <v>26555.0</v>
      </c>
      <c r="F22" s="27" t="n">
        <f>0.72</f>
        <v>0.72</v>
      </c>
      <c r="G22" s="25" t="n">
        <f>22115872666</f>
        <v>2.2115872666E10</v>
      </c>
      <c r="H22" s="26" t="n">
        <f>16308465866</f>
        <v>1.6308465866E10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14288</f>
        <v>14288.0</v>
      </c>
      <c r="E24" s="22" t="n">
        <f>0</f>
        <v>0.0</v>
      </c>
      <c r="F24" s="23" t="n">
        <f>0.35</f>
        <v>0.35</v>
      </c>
      <c r="G24" s="21" t="n">
        <f>21471185</f>
        <v>2.1471185E7</v>
      </c>
      <c r="H24" s="22" t="n">
        <f>0</f>
        <v>0.0</v>
      </c>
      <c r="I24" s="23" t="n">
        <f>0.006</f>
        <v>0.006</v>
      </c>
    </row>
    <row r="25" spans="1:9" ht="24.9" customHeight="1">
      <c r="A25" s="41"/>
      <c r="B25" s="39"/>
      <c r="C25" s="20" t="s">
        <v>17</v>
      </c>
      <c r="D25" s="21" t="n">
        <f>18584</f>
        <v>18584.0</v>
      </c>
      <c r="E25" s="22" t="n">
        <f>0</f>
        <v>0.0</v>
      </c>
      <c r="F25" s="23" t="n">
        <f>0.307</f>
        <v>0.307</v>
      </c>
      <c r="G25" s="21" t="n">
        <f>27588635</f>
        <v>2.7588635E7</v>
      </c>
      <c r="H25" s="22" t="n">
        <f>0</f>
        <v>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32872</f>
        <v>32872.0</v>
      </c>
      <c r="E26" s="26" t="n">
        <f>0</f>
        <v>0.0</v>
      </c>
      <c r="F26" s="27" t="n">
        <f>0.276</f>
        <v>0.276</v>
      </c>
      <c r="G26" s="25" t="n">
        <f>49059820</f>
        <v>4.905982E7</v>
      </c>
      <c r="H26" s="26" t="n">
        <f>0</f>
        <v>0.0</v>
      </c>
      <c r="I26" s="27" t="n">
        <f>0.002</f>
        <v>0.002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46265.0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46265.0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7267.0</v>
      </c>
      <c r="F12" s="18" t="n">
        <f>607</f>
        <v>607.0</v>
      </c>
      <c r="G12" s="17" t="n">
        <v>4.822195436E11</v>
      </c>
      <c r="H12" s="18" t="n">
        <f>40302621600</f>
        <v>4.03026216E10</v>
      </c>
    </row>
    <row r="13" spans="1:8" ht="24.9" customHeight="1">
      <c r="A13" s="51"/>
      <c r="B13" s="57"/>
      <c r="C13" s="39"/>
      <c r="D13" s="20" t="s">
        <v>16</v>
      </c>
      <c r="E13" s="21" t="n">
        <v>11675.0</v>
      </c>
      <c r="F13" s="22" t="n">
        <f>1050</f>
        <v>1050.0</v>
      </c>
      <c r="G13" s="21" t="n">
        <v>7.602385129E11</v>
      </c>
      <c r="H13" s="22" t="n">
        <f>68540769900</f>
        <v>6.85407699E10</v>
      </c>
    </row>
    <row r="14" spans="1:8" ht="24.9" customHeight="1">
      <c r="A14" s="51"/>
      <c r="B14" s="57"/>
      <c r="C14" s="39"/>
      <c r="D14" s="20" t="s">
        <v>17</v>
      </c>
      <c r="E14" s="21" t="n">
        <v>17016.0</v>
      </c>
      <c r="F14" s="22" t="n">
        <f>4325</f>
        <v>4325.0</v>
      </c>
      <c r="G14" s="21" t="n">
        <v>1.12200873749E12</v>
      </c>
      <c r="H14" s="22" t="n">
        <f>284878567490</f>
        <v>2.8487856749E11</v>
      </c>
    </row>
    <row r="15" spans="1:8" ht="24.9" customHeight="1">
      <c r="A15" s="51"/>
      <c r="B15" s="57"/>
      <c r="C15" s="39"/>
      <c r="D15" s="24" t="s">
        <v>18</v>
      </c>
      <c r="E15" s="25" t="n">
        <v>35958.0</v>
      </c>
      <c r="F15" s="26" t="n">
        <f>5982</f>
        <v>5982.0</v>
      </c>
      <c r="G15" s="25" t="n">
        <v>2.36446679399E12</v>
      </c>
      <c r="H15" s="26" t="n">
        <f>393721958990</f>
        <v>3.9372195899E11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251136.0</v>
      </c>
      <c r="F16" s="18" t="n">
        <f>35599</f>
        <v>35599.0</v>
      </c>
      <c r="G16" s="17" t="n">
        <v>1.66525544036E12</v>
      </c>
      <c r="H16" s="18" t="n">
        <f>236163596860</f>
        <v>2.3616359686E11</v>
      </c>
    </row>
    <row r="17" spans="1:8" ht="24.9" customHeight="1">
      <c r="A17" s="51"/>
      <c r="B17" s="57"/>
      <c r="C17" s="39"/>
      <c r="D17" s="20" t="s">
        <v>16</v>
      </c>
      <c r="E17" s="21" t="n">
        <v>188440.0</v>
      </c>
      <c r="F17" s="22" t="n">
        <f>18048</f>
        <v>18048.0</v>
      </c>
      <c r="G17" s="21" t="n">
        <v>1.22707553636E12</v>
      </c>
      <c r="H17" s="22" t="n">
        <f>117549132360</f>
        <v>1.1754913236E11</v>
      </c>
    </row>
    <row r="18" spans="1:8" ht="24.9" customHeight="1">
      <c r="A18" s="51"/>
      <c r="B18" s="57"/>
      <c r="C18" s="39"/>
      <c r="D18" s="20" t="s">
        <v>17</v>
      </c>
      <c r="E18" s="21" t="n">
        <v>172594.0</v>
      </c>
      <c r="F18" s="22" t="n">
        <f>21013</f>
        <v>21013.0</v>
      </c>
      <c r="G18" s="21" t="n">
        <v>1.137059702302E12</v>
      </c>
      <c r="H18" s="22" t="n">
        <f>138336195602</f>
        <v>1.38336195602E11</v>
      </c>
    </row>
    <row r="19" spans="1:8" ht="24.9" customHeight="1">
      <c r="A19" s="51"/>
      <c r="B19" s="57"/>
      <c r="C19" s="39"/>
      <c r="D19" s="24" t="s">
        <v>18</v>
      </c>
      <c r="E19" s="25" t="n">
        <v>612170.0</v>
      </c>
      <c r="F19" s="26" t="n">
        <f>74660</f>
        <v>74660.0</v>
      </c>
      <c r="G19" s="25" t="n">
        <v>4.029390679022E12</v>
      </c>
      <c r="H19" s="26" t="n">
        <f>492048924822</f>
        <v>4.92048924822E11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388475.0</v>
      </c>
      <c r="F20" s="18" t="str">
        <f>"－"</f>
        <v>－</v>
      </c>
      <c r="G20" s="17" t="n">
        <v>2.5762075595E11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224540.0</v>
      </c>
      <c r="F21" s="22" t="str">
        <f>"－"</f>
        <v>－</v>
      </c>
      <c r="G21" s="21" t="n">
        <v>1.462331242E11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187887.0</v>
      </c>
      <c r="F22" s="22" t="str">
        <f>"－"</f>
        <v>－</v>
      </c>
      <c r="G22" s="21" t="n">
        <v>1.2369341765E11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800902.0</v>
      </c>
      <c r="F23" s="26" t="str">
        <f>"－"</f>
        <v>－</v>
      </c>
      <c r="G23" s="25" t="n">
        <v>5.275472978E11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10613.0</v>
      </c>
      <c r="F24" s="18" t="n">
        <f>232</f>
        <v>232.0</v>
      </c>
      <c r="G24" s="17" t="n">
        <v>4.40844437E11</v>
      </c>
      <c r="H24" s="18" t="n">
        <f>9624627000</f>
        <v>9.624627E9</v>
      </c>
    </row>
    <row r="25" spans="1:8" ht="24.9" customHeight="1">
      <c r="A25" s="51"/>
      <c r="B25" s="57"/>
      <c r="C25" s="39"/>
      <c r="D25" s="20" t="s">
        <v>16</v>
      </c>
      <c r="E25" s="21" t="n">
        <v>16861.0</v>
      </c>
      <c r="F25" s="22" t="n">
        <f>209</f>
        <v>209.0</v>
      </c>
      <c r="G25" s="21" t="n">
        <v>6.93604263E11</v>
      </c>
      <c r="H25" s="22" t="n">
        <f>8590252000</f>
        <v>8.590252E9</v>
      </c>
    </row>
    <row r="26" spans="1:8" ht="24.9" customHeight="1">
      <c r="A26" s="51"/>
      <c r="B26" s="57"/>
      <c r="C26" s="39"/>
      <c r="D26" s="20" t="s">
        <v>17</v>
      </c>
      <c r="E26" s="21" t="n">
        <v>43033.0</v>
      </c>
      <c r="F26" s="22" t="n">
        <f>9887</f>
        <v>9887.0</v>
      </c>
      <c r="G26" s="21" t="n">
        <v>1.785651514589E12</v>
      </c>
      <c r="H26" s="22" t="n">
        <f>410096902589</f>
        <v>4.10096902589E11</v>
      </c>
    </row>
    <row r="27" spans="1:8" ht="24.9" customHeight="1">
      <c r="A27" s="51"/>
      <c r="B27" s="57"/>
      <c r="C27" s="39"/>
      <c r="D27" s="24" t="s">
        <v>18</v>
      </c>
      <c r="E27" s="25" t="n">
        <v>70507.0</v>
      </c>
      <c r="F27" s="26" t="n">
        <f>10328</f>
        <v>10328.0</v>
      </c>
      <c r="G27" s="25" t="n">
        <v>2.920100214589E12</v>
      </c>
      <c r="H27" s="26" t="n">
        <f>428311781589</f>
        <v>4.28311781589E11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4172.0</v>
      </c>
      <c r="F28" s="18" t="n">
        <f>255</f>
        <v>255.0</v>
      </c>
      <c r="G28" s="17" t="n">
        <v>1.733054835E10</v>
      </c>
      <c r="H28" s="18" t="n">
        <f>1057819350</f>
        <v>1.05781935E9</v>
      </c>
    </row>
    <row r="29" spans="1:8" ht="24.9" customHeight="1">
      <c r="A29" s="51"/>
      <c r="B29" s="57"/>
      <c r="C29" s="39"/>
      <c r="D29" s="20" t="s">
        <v>16</v>
      </c>
      <c r="E29" s="21" t="n">
        <v>7532.0</v>
      </c>
      <c r="F29" s="22" t="n">
        <f>279</f>
        <v>279.0</v>
      </c>
      <c r="G29" s="21" t="n">
        <v>3.0972573E10</v>
      </c>
      <c r="H29" s="22" t="n">
        <f>1148887750</f>
        <v>1.14888775E9</v>
      </c>
    </row>
    <row r="30" spans="1:8" ht="24.9" customHeight="1">
      <c r="A30" s="51"/>
      <c r="B30" s="57"/>
      <c r="C30" s="39"/>
      <c r="D30" s="20" t="s">
        <v>17</v>
      </c>
      <c r="E30" s="21" t="n">
        <v>9538.0</v>
      </c>
      <c r="F30" s="22" t="n">
        <f>309</f>
        <v>309.0</v>
      </c>
      <c r="G30" s="21" t="n">
        <v>3.9581513825E10</v>
      </c>
      <c r="H30" s="22" t="n">
        <f>1281547575</f>
        <v>1.281547575E9</v>
      </c>
    </row>
    <row r="31" spans="1:8" ht="24.9" customHeight="1">
      <c r="A31" s="51"/>
      <c r="B31" s="57"/>
      <c r="C31" s="39"/>
      <c r="D31" s="24" t="s">
        <v>18</v>
      </c>
      <c r="E31" s="25" t="n">
        <v>21242.0</v>
      </c>
      <c r="F31" s="26" t="n">
        <f>843</f>
        <v>843.0</v>
      </c>
      <c r="G31" s="25" t="n">
        <v>8.7884635175E10</v>
      </c>
      <c r="H31" s="26" t="n">
        <f>3488254675</f>
        <v>3.488254675E9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351.0</v>
      </c>
      <c r="F36" s="18" t="n">
        <f>0</f>
        <v>0.0</v>
      </c>
      <c r="G36" s="17" t="n">
        <v>1.314737E9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1717.0</v>
      </c>
      <c r="F37" s="22" t="n">
        <f>4</f>
        <v>4.0</v>
      </c>
      <c r="G37" s="21" t="n">
        <v>6.36591601E9</v>
      </c>
      <c r="H37" s="22" t="n">
        <f>14825510</f>
        <v>1.482551E7</v>
      </c>
    </row>
    <row r="38" spans="1:8" ht="24.9" customHeight="1">
      <c r="A38" s="51"/>
      <c r="B38" s="57"/>
      <c r="C38" s="39"/>
      <c r="D38" s="20" t="s">
        <v>17</v>
      </c>
      <c r="E38" s="21" t="n">
        <v>2762.0</v>
      </c>
      <c r="F38" s="22" t="n">
        <f>1284</f>
        <v>1284.0</v>
      </c>
      <c r="G38" s="21" t="n">
        <v>1.032405471E10</v>
      </c>
      <c r="H38" s="22" t="n">
        <f>4803411210</f>
        <v>4.80341121E9</v>
      </c>
    </row>
    <row r="39" spans="1:8" ht="24.9" customHeight="1">
      <c r="A39" s="51"/>
      <c r="B39" s="57"/>
      <c r="C39" s="39"/>
      <c r="D39" s="24" t="s">
        <v>18</v>
      </c>
      <c r="E39" s="25" t="n">
        <v>4830.0</v>
      </c>
      <c r="F39" s="26" t="n">
        <f>1288</f>
        <v>1288.0</v>
      </c>
      <c r="G39" s="25" t="n">
        <v>1.800470772E10</v>
      </c>
      <c r="H39" s="26" t="n">
        <f>4818236720</f>
        <v>4.81823672E9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2.0</v>
      </c>
      <c r="F48" s="18" t="n">
        <f>2</f>
        <v>2.0</v>
      </c>
      <c r="G48" s="17" t="n">
        <v>3592000.0</v>
      </c>
      <c r="H48" s="18" t="n">
        <f>3592000</f>
        <v>3592000.0</v>
      </c>
    </row>
    <row r="49" spans="1:8" ht="24.9" customHeight="1">
      <c r="A49" s="51"/>
      <c r="B49" s="57"/>
      <c r="C49" s="39"/>
      <c r="D49" s="20" t="s">
        <v>16</v>
      </c>
      <c r="E49" s="21" t="n">
        <v>891.0</v>
      </c>
      <c r="F49" s="22" t="n">
        <f>750</f>
        <v>750.0</v>
      </c>
      <c r="G49" s="21" t="n">
        <v>1.598071E9</v>
      </c>
      <c r="H49" s="22" t="n">
        <f>1346175000</f>
        <v>1.346175E9</v>
      </c>
    </row>
    <row r="50" spans="1:8" ht="24.9" customHeight="1">
      <c r="A50" s="51"/>
      <c r="B50" s="57"/>
      <c r="C50" s="39"/>
      <c r="D50" s="20" t="s">
        <v>17</v>
      </c>
      <c r="E50" s="21" t="n">
        <v>219.0</v>
      </c>
      <c r="F50" s="22" t="n">
        <f>153</f>
        <v>153.0</v>
      </c>
      <c r="G50" s="21" t="n">
        <v>3.9088024E8</v>
      </c>
      <c r="H50" s="22" t="n">
        <f>272887740</f>
        <v>2.7288774E8</v>
      </c>
    </row>
    <row r="51" spans="1:8" ht="24.9" customHeight="1">
      <c r="A51" s="51"/>
      <c r="B51" s="57"/>
      <c r="C51" s="39"/>
      <c r="D51" s="24" t="s">
        <v>18</v>
      </c>
      <c r="E51" s="25" t="n">
        <v>1112.0</v>
      </c>
      <c r="F51" s="26" t="n">
        <f>905</f>
        <v>905.0</v>
      </c>
      <c r="G51" s="25" t="n">
        <v>1.99254324E9</v>
      </c>
      <c r="H51" s="26" t="n">
        <f>1622654740</f>
        <v>1.62265474E9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731.0</v>
      </c>
      <c r="F56" s="18" t="n">
        <f>59</f>
        <v>59.0</v>
      </c>
      <c r="G56" s="17" t="n">
        <v>5.949807E8</v>
      </c>
      <c r="H56" s="18" t="n">
        <f>48045700</f>
        <v>4.80457E7</v>
      </c>
    </row>
    <row r="57" spans="1:8" ht="24.9" customHeight="1">
      <c r="A57" s="51"/>
      <c r="B57" s="57"/>
      <c r="C57" s="39"/>
      <c r="D57" s="20" t="s">
        <v>16</v>
      </c>
      <c r="E57" s="21" t="n">
        <v>1878.0</v>
      </c>
      <c r="F57" s="22" t="n">
        <f>51</f>
        <v>51.0</v>
      </c>
      <c r="G57" s="21" t="n">
        <v>1.5204231E9</v>
      </c>
      <c r="H57" s="22" t="n">
        <f>41364100</f>
        <v>4.13641E7</v>
      </c>
    </row>
    <row r="58" spans="1:8" ht="24.9" customHeight="1">
      <c r="A58" s="51"/>
      <c r="B58" s="57"/>
      <c r="C58" s="39"/>
      <c r="D58" s="20" t="s">
        <v>17</v>
      </c>
      <c r="E58" s="21" t="n">
        <v>1367.0</v>
      </c>
      <c r="F58" s="22" t="n">
        <f>348</f>
        <v>348.0</v>
      </c>
      <c r="G58" s="21" t="n">
        <v>1.10759306E9</v>
      </c>
      <c r="H58" s="22" t="n">
        <f>281809060</f>
        <v>2.8180906E8</v>
      </c>
    </row>
    <row r="59" spans="1:8" ht="24.9" customHeight="1">
      <c r="A59" s="51"/>
      <c r="B59" s="57"/>
      <c r="C59" s="39"/>
      <c r="D59" s="24" t="s">
        <v>18</v>
      </c>
      <c r="E59" s="25" t="n">
        <v>3976.0</v>
      </c>
      <c r="F59" s="26" t="n">
        <f>458</f>
        <v>458.0</v>
      </c>
      <c r="G59" s="25" t="n">
        <v>3.22299686E9</v>
      </c>
      <c r="H59" s="26" t="n">
        <f>371218860</f>
        <v>3.7121886E8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105.0</v>
      </c>
      <c r="F60" s="18" t="n">
        <f>4</f>
        <v>4.0</v>
      </c>
      <c r="G60" s="17" t="n">
        <v>5.6363859E8</v>
      </c>
      <c r="H60" s="18" t="n">
        <f>21457190</f>
        <v>2.145719E7</v>
      </c>
    </row>
    <row r="61" spans="1:8" ht="24.9" customHeight="1">
      <c r="A61" s="51"/>
      <c r="B61" s="57"/>
      <c r="C61" s="39"/>
      <c r="D61" s="20" t="s">
        <v>16</v>
      </c>
      <c r="E61" s="21" t="n">
        <v>51.0</v>
      </c>
      <c r="F61" s="22" t="n">
        <f>0</f>
        <v>0.0</v>
      </c>
      <c r="G61" s="21" t="n">
        <v>2.725835E8</v>
      </c>
      <c r="H61" s="22" t="n">
        <f>0</f>
        <v>0.0</v>
      </c>
    </row>
    <row r="62" spans="1:8" ht="24.9" customHeight="1">
      <c r="A62" s="51"/>
      <c r="B62" s="57"/>
      <c r="C62" s="39"/>
      <c r="D62" s="20" t="s">
        <v>17</v>
      </c>
      <c r="E62" s="21" t="n">
        <v>10.0</v>
      </c>
      <c r="F62" s="22" t="n">
        <f>0</f>
        <v>0.0</v>
      </c>
      <c r="G62" s="21" t="n">
        <v>5.34397E7</v>
      </c>
      <c r="H62" s="22" t="n">
        <f>0</f>
        <v>0.0</v>
      </c>
    </row>
    <row r="63" spans="1:8" ht="24.9" customHeight="1">
      <c r="A63" s="51"/>
      <c r="B63" s="57"/>
      <c r="C63" s="39"/>
      <c r="D63" s="24" t="s">
        <v>18</v>
      </c>
      <c r="E63" s="25" t="n">
        <v>166.0</v>
      </c>
      <c r="F63" s="26" t="n">
        <f>4</f>
        <v>4.0</v>
      </c>
      <c r="G63" s="25" t="n">
        <v>8.8966179E8</v>
      </c>
      <c r="H63" s="26" t="n">
        <f>21457190</f>
        <v>2.145719E7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1.0</v>
      </c>
      <c r="F76" s="18" t="n">
        <f>0</f>
        <v>0.0</v>
      </c>
      <c r="G76" s="17" t="n">
        <v>292000.0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11.0</v>
      </c>
      <c r="F77" s="22" t="n">
        <f>0</f>
        <v>0.0</v>
      </c>
      <c r="G77" s="21" t="n">
        <v>3347000.0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21.0</v>
      </c>
      <c r="F78" s="22" t="n">
        <f>0</f>
        <v>0.0</v>
      </c>
      <c r="G78" s="21" t="n">
        <v>6203000.0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33.0</v>
      </c>
      <c r="F79" s="26" t="n">
        <f>0</f>
        <v>0.0</v>
      </c>
      <c r="G79" s="25" t="n">
        <v>9842000.0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31.0</v>
      </c>
      <c r="F92" s="18" t="n">
        <f>0</f>
        <v>0.0</v>
      </c>
      <c r="G92" s="17" t="n">
        <v>4.94243E7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3.0</v>
      </c>
      <c r="F93" s="22" t="n">
        <f>0</f>
        <v>0.0</v>
      </c>
      <c r="G93" s="21" t="n">
        <v>4793100.0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1.0</v>
      </c>
      <c r="F94" s="22" t="n">
        <f>0</f>
        <v>0.0</v>
      </c>
      <c r="G94" s="21" t="n">
        <v>1596200.0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35.0</v>
      </c>
      <c r="F95" s="26" t="n">
        <f>0</f>
        <v>0.0</v>
      </c>
      <c r="G95" s="25" t="n">
        <v>5.58136E7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14.0</v>
      </c>
      <c r="F96" s="18" t="n">
        <f>0</f>
        <v>0.0</v>
      </c>
      <c r="G96" s="17" t="n">
        <v>3.32704E7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10.0</v>
      </c>
      <c r="F97" s="22" t="n">
        <f>0</f>
        <v>0.0</v>
      </c>
      <c r="G97" s="21" t="n">
        <v>2.3777E7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24.0</v>
      </c>
      <c r="F99" s="26" t="n">
        <f>0</f>
        <v>0.0</v>
      </c>
      <c r="G99" s="25" t="n">
        <v>5.70474E7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20.0</v>
      </c>
      <c r="F100" s="18" t="n">
        <f>0</f>
        <v>0.0</v>
      </c>
      <c r="G100" s="17" t="n">
        <v>3.7138E7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20.0</v>
      </c>
      <c r="F103" s="26" t="n">
        <f>0</f>
        <v>0.0</v>
      </c>
      <c r="G103" s="25" t="n">
        <v>3.7138E7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13979.0</v>
      </c>
      <c r="F108" s="18" t="n">
        <f>422</f>
        <v>422.0</v>
      </c>
      <c r="G108" s="17" t="n">
        <v>1.76302011E12</v>
      </c>
      <c r="H108" s="18" t="n">
        <f>53216150000</f>
        <v>5.321615E10</v>
      </c>
    </row>
    <row r="109" spans="1:8" ht="24.9" customHeight="1">
      <c r="A109" s="51"/>
      <c r="B109" s="57"/>
      <c r="C109" s="39"/>
      <c r="D109" s="20" t="s">
        <v>16</v>
      </c>
      <c r="E109" s="21" t="n">
        <v>13652.0</v>
      </c>
      <c r="F109" s="22" t="n">
        <f>1957</f>
        <v>1957.0</v>
      </c>
      <c r="G109" s="21" t="n">
        <v>1.72000178E12</v>
      </c>
      <c r="H109" s="22" t="n">
        <f>246592680000</f>
        <v>2.4659268E11</v>
      </c>
    </row>
    <row r="110" spans="1:8" ht="24.9" customHeight="1">
      <c r="A110" s="51"/>
      <c r="B110" s="57"/>
      <c r="C110" s="39"/>
      <c r="D110" s="20" t="s">
        <v>17</v>
      </c>
      <c r="E110" s="21" t="n">
        <v>17449.0</v>
      </c>
      <c r="F110" s="22" t="n">
        <f>2560</f>
        <v>2560.0</v>
      </c>
      <c r="G110" s="21" t="n">
        <v>2.19719502E12</v>
      </c>
      <c r="H110" s="22" t="n">
        <f>322297570000</f>
        <v>3.2229757E11</v>
      </c>
    </row>
    <row r="111" spans="1:8" ht="24.9" customHeight="1">
      <c r="A111" s="51"/>
      <c r="B111" s="57"/>
      <c r="C111" s="39"/>
      <c r="D111" s="24" t="s">
        <v>18</v>
      </c>
      <c r="E111" s="25" t="n">
        <v>45080.0</v>
      </c>
      <c r="F111" s="26" t="n">
        <f>4939</f>
        <v>4939.0</v>
      </c>
      <c r="G111" s="25" t="n">
        <v>5.68021691E12</v>
      </c>
      <c r="H111" s="26" t="n">
        <f>622106400000</f>
        <v>6.221064E11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182.0</v>
      </c>
      <c r="F113" s="22" t="n">
        <f>0</f>
        <v>0.0</v>
      </c>
      <c r="G113" s="21" t="n">
        <v>2.29351E9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0.0</v>
      </c>
      <c r="F114" s="22" t="n">
        <f>0</f>
        <v>0.0</v>
      </c>
      <c r="G114" s="21" t="n">
        <v>0.0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182.0</v>
      </c>
      <c r="F115" s="26" t="n">
        <f>0</f>
        <v>0.0</v>
      </c>
      <c r="G115" s="25" t="n">
        <v>2.29351E9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0.0</v>
      </c>
      <c r="F118" s="22" t="n">
        <f>0</f>
        <v>0.0</v>
      </c>
      <c r="G118" s="21" t="n">
        <v>0.0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0.0</v>
      </c>
      <c r="F119" s="26" t="n">
        <f>0</f>
        <v>0.0</v>
      </c>
      <c r="G119" s="25" t="n">
        <v>0.0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9269.0</v>
      </c>
      <c r="F120" s="18" t="n">
        <f>0</f>
        <v>0.0</v>
      </c>
      <c r="G120" s="17" t="n">
        <v>2.28900118125E11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336.0</v>
      </c>
      <c r="F121" s="22" t="n">
        <f>0</f>
        <v>0.0</v>
      </c>
      <c r="G121" s="21" t="n">
        <v>8.27908125E9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9549.0</v>
      </c>
      <c r="F122" s="22" t="n">
        <f>0</f>
        <v>0.0</v>
      </c>
      <c r="G122" s="21" t="n">
        <v>2.35594573125E11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19154.0</v>
      </c>
      <c r="F123" s="26" t="n">
        <f>0</f>
        <v>0.0</v>
      </c>
      <c r="G123" s="25" t="n">
        <v>4.727737725E11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12668.0</v>
      </c>
      <c r="F124" s="18" t="n">
        <f>0</f>
        <v>0.0</v>
      </c>
      <c r="G124" s="17" t="n">
        <v>3.04624498E11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5807.0</v>
      </c>
      <c r="F125" s="22" t="n">
        <f>0</f>
        <v>0.0</v>
      </c>
      <c r="G125" s="21" t="n">
        <v>1.36835209E11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5386.0</v>
      </c>
      <c r="F126" s="22" t="n">
        <f>0</f>
        <v>0.0</v>
      </c>
      <c r="G126" s="21" t="n">
        <v>1.2602625E11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23861.0</v>
      </c>
      <c r="F127" s="26" t="n">
        <f>0</f>
        <v>0.0</v>
      </c>
      <c r="G127" s="25" t="n">
        <v>5.67485957E11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221.0</v>
      </c>
      <c r="F128" s="18" t="n">
        <f>0</f>
        <v>0.0</v>
      </c>
      <c r="G128" s="17" t="n">
        <v>5.267295E8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206.0</v>
      </c>
      <c r="F129" s="22" t="n">
        <f>0</f>
        <v>0.0</v>
      </c>
      <c r="G129" s="21" t="n">
        <v>4.812934E8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694.0</v>
      </c>
      <c r="F130" s="22" t="n">
        <f>0</f>
        <v>0.0</v>
      </c>
      <c r="G130" s="21" t="n">
        <v>1.6005049E9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1121.0</v>
      </c>
      <c r="F131" s="26" t="n">
        <f>0</f>
        <v>0.0</v>
      </c>
      <c r="G131" s="25" t="n">
        <v>2.6085278E9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10249.0</v>
      </c>
      <c r="F132" s="18" t="n">
        <f>0</f>
        <v>0.0</v>
      </c>
      <c r="G132" s="17" t="n">
        <v>2.47317606E10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3617.0</v>
      </c>
      <c r="F133" s="22" t="n">
        <f>0</f>
        <v>0.0</v>
      </c>
      <c r="G133" s="21" t="n">
        <v>8.55773435E9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5015.0</v>
      </c>
      <c r="F134" s="22" t="n">
        <f>0</f>
        <v>0.0</v>
      </c>
      <c r="G134" s="21" t="n">
        <v>1.1770945E10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18881.0</v>
      </c>
      <c r="F135" s="26" t="n">
        <f>0</f>
        <v>0.0</v>
      </c>
      <c r="G135" s="25" t="n">
        <v>4.506043995E10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144.0</v>
      </c>
      <c r="F136" s="18" t="n">
        <f>0</f>
        <v>0.0</v>
      </c>
      <c r="G136" s="17" t="n">
        <v>3.3576E8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130.0</v>
      </c>
      <c r="F137" s="22" t="n">
        <f>0</f>
        <v>0.0</v>
      </c>
      <c r="G137" s="21" t="n">
        <v>2.99974E8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79.0</v>
      </c>
      <c r="F138" s="22" t="n">
        <f>0</f>
        <v>0.0</v>
      </c>
      <c r="G138" s="21" t="n">
        <v>1.808925E8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353.0</v>
      </c>
      <c r="F139" s="26" t="n">
        <f>0</f>
        <v>0.0</v>
      </c>
      <c r="G139" s="25" t="n">
        <v>8.166265E8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3.0</v>
      </c>
      <c r="F140" s="18" t="n">
        <f>0</f>
        <v>0.0</v>
      </c>
      <c r="G140" s="17" t="n">
        <v>3.186E7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4.0</v>
      </c>
      <c r="F142" s="22" t="n">
        <f>0</f>
        <v>0.0</v>
      </c>
      <c r="G142" s="21" t="n">
        <v>4.104E7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7.0</v>
      </c>
      <c r="F143" s="26" t="n">
        <f>0</f>
        <v>0.0</v>
      </c>
      <c r="G143" s="25" t="n">
        <v>7.29E7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2511.0</v>
      </c>
      <c r="F144" s="18" t="n">
        <f>0</f>
        <v>0.0</v>
      </c>
      <c r="G144" s="17" t="n">
        <v>1.19342515E10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1686.0</v>
      </c>
      <c r="F145" s="22" t="n">
        <f>0</f>
        <v>0.0</v>
      </c>
      <c r="G145" s="21" t="n">
        <v>7.8208205E9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1722.0</v>
      </c>
      <c r="F146" s="22" t="n">
        <f>0</f>
        <v>0.0</v>
      </c>
      <c r="G146" s="21" t="n">
        <v>7.8813175E9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5919.0</v>
      </c>
      <c r="F147" s="26" t="n">
        <f>0</f>
        <v>0.0</v>
      </c>
      <c r="G147" s="25" t="n">
        <v>2.76363895E10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87.0</v>
      </c>
      <c r="F148" s="18" t="n">
        <f>0</f>
        <v>0.0</v>
      </c>
      <c r="G148" s="17" t="n">
        <v>8.43022E7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110.0</v>
      </c>
      <c r="F149" s="22" t="n">
        <f>0</f>
        <v>0.0</v>
      </c>
      <c r="G149" s="21" t="n">
        <v>1.044701E8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309.0</v>
      </c>
      <c r="F150" s="22" t="n">
        <f>0</f>
        <v>0.0</v>
      </c>
      <c r="G150" s="21" t="n">
        <v>2.882886E8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506.0</v>
      </c>
      <c r="F151" s="26" t="n">
        <f>0</f>
        <v>0.0</v>
      </c>
      <c r="G151" s="25" t="n">
        <v>4.770609E8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628.0</v>
      </c>
      <c r="F152" s="18" t="n">
        <f>0</f>
        <v>0.0</v>
      </c>
      <c r="G152" s="17" t="n">
        <v>5.97404E8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188.0</v>
      </c>
      <c r="F153" s="22" t="n">
        <f>0</f>
        <v>0.0</v>
      </c>
      <c r="G153" s="21" t="n">
        <v>1.745878E8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383.0</v>
      </c>
      <c r="F154" s="22" t="n">
        <f>0</f>
        <v>0.0</v>
      </c>
      <c r="G154" s="21" t="n">
        <v>3.510605E8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1199.0</v>
      </c>
      <c r="F155" s="26" t="n">
        <f>0</f>
        <v>0.0</v>
      </c>
      <c r="G155" s="25" t="n">
        <v>1.1230523E9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68.0</v>
      </c>
      <c r="F156" s="18" t="n">
        <f>0</f>
        <v>0.0</v>
      </c>
      <c r="G156" s="17" t="n">
        <v>6.4389E7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30.0</v>
      </c>
      <c r="F157" s="22" t="n">
        <f>0</f>
        <v>0.0</v>
      </c>
      <c r="G157" s="21" t="n">
        <v>2.77833E7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182.0</v>
      </c>
      <c r="F158" s="22" t="n">
        <f>0</f>
        <v>0.0</v>
      </c>
      <c r="G158" s="21" t="n">
        <v>1.660675E8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280.0</v>
      </c>
      <c r="F159" s="26" t="n">
        <f>0</f>
        <v>0.0</v>
      </c>
      <c r="G159" s="25" t="n">
        <v>2.582398E8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106.0</v>
      </c>
      <c r="F168" s="18" t="n">
        <f>0</f>
        <v>0.0</v>
      </c>
      <c r="G168" s="17" t="n">
        <v>2.358495E8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458.0</v>
      </c>
      <c r="F169" s="22" t="n">
        <f>0</f>
        <v>0.0</v>
      </c>
      <c r="G169" s="21" t="n">
        <v>1.0126205E9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1035.0</v>
      </c>
      <c r="F170" s="22" t="n">
        <f>0</f>
        <v>0.0</v>
      </c>
      <c r="G170" s="21" t="n">
        <v>2.2747085E9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1599.0</v>
      </c>
      <c r="F171" s="26" t="n">
        <f>0</f>
        <v>0.0</v>
      </c>
      <c r="G171" s="25" t="n">
        <v>3.5231785E9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0.0</v>
      </c>
      <c r="F176" s="18" t="n">
        <f>0</f>
        <v>0.0</v>
      </c>
      <c r="G176" s="17" t="n">
        <v>0.0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0.0</v>
      </c>
      <c r="F179" s="26" t="n">
        <f>0</f>
        <v>0.0</v>
      </c>
      <c r="G179" s="25" t="n">
        <v>0.0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176.0</v>
      </c>
      <c r="F204" s="18" t="n">
        <f>0</f>
        <v>0.0</v>
      </c>
      <c r="G204" s="17" t="n">
        <v>6.755755E8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117.0</v>
      </c>
      <c r="F205" s="22" t="n">
        <f>0</f>
        <v>0.0</v>
      </c>
      <c r="G205" s="21" t="n">
        <v>4.51587E8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1350.0</v>
      </c>
      <c r="F206" s="22" t="n">
        <f>10</f>
        <v>10.0</v>
      </c>
      <c r="G206" s="21" t="n">
        <v>5.29564E9</v>
      </c>
      <c r="H206" s="22" t="n">
        <f>38900000</f>
        <v>3.89E7</v>
      </c>
    </row>
    <row r="207" spans="1:8" ht="24.9" customHeight="1">
      <c r="A207" s="57"/>
      <c r="B207" s="59"/>
      <c r="C207" s="39"/>
      <c r="D207" s="24" t="s">
        <v>18</v>
      </c>
      <c r="E207" s="25" t="n">
        <v>1643.0</v>
      </c>
      <c r="F207" s="26" t="n">
        <f>10</f>
        <v>10.0</v>
      </c>
      <c r="G207" s="25" t="n">
        <v>6.4228025E9</v>
      </c>
      <c r="H207" s="26" t="n">
        <f>38900000</f>
        <v>3.89E7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30.0</v>
      </c>
      <c r="F208" s="18" t="n">
        <f>30</f>
        <v>30.0</v>
      </c>
      <c r="G208" s="17" t="n">
        <v>5.15592E7</v>
      </c>
      <c r="H208" s="18" t="n">
        <f>51559200</f>
        <v>5.15592E7</v>
      </c>
    </row>
    <row r="209" spans="1:8" ht="24.9" customHeight="1">
      <c r="A209" s="57"/>
      <c r="B209" s="59"/>
      <c r="C209" s="39"/>
      <c r="D209" s="20" t="s">
        <v>16</v>
      </c>
      <c r="E209" s="21" t="n">
        <v>10.0</v>
      </c>
      <c r="F209" s="22" t="n">
        <f>10</f>
        <v>10.0</v>
      </c>
      <c r="G209" s="21" t="n">
        <v>1.71864E7</v>
      </c>
      <c r="H209" s="22" t="n">
        <f>17186400</f>
        <v>1.71864E7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40.0</v>
      </c>
      <c r="F211" s="26" t="n">
        <f>40</f>
        <v>40.0</v>
      </c>
      <c r="G211" s="25" t="n">
        <v>6.87456E7</v>
      </c>
      <c r="H211" s="26" t="n">
        <f>68745600</f>
        <v>6.87456E7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150.0</v>
      </c>
      <c r="F212" s="18" t="n">
        <f>150</f>
        <v>150.0</v>
      </c>
      <c r="G212" s="17" t="n">
        <v>2.04228E8</v>
      </c>
      <c r="H212" s="18" t="n">
        <f>204228000</f>
        <v>2.04228E8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150.0</v>
      </c>
      <c r="F215" s="26" t="n">
        <f>150</f>
        <v>150.0</v>
      </c>
      <c r="G215" s="25" t="n">
        <v>2.04228E8</v>
      </c>
      <c r="H215" s="26" t="n">
        <f>204228000</f>
        <v>2.04228E8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46265.0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46265.0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3733</f>
        <v>3733.0</v>
      </c>
      <c r="E12" s="35" t="n">
        <f>1978</f>
        <v>1978.0</v>
      </c>
      <c r="F12" s="17" t="n">
        <f>2050</f>
        <v>2050.0</v>
      </c>
      <c r="G12" s="35" t="n">
        <f>564</f>
        <v>564.0</v>
      </c>
      <c r="H12" s="17" t="n">
        <f>5783</f>
        <v>5783.0</v>
      </c>
      <c r="I12" s="35" t="n">
        <f>2542</f>
        <v>2542.0</v>
      </c>
      <c r="J12" s="17" t="n">
        <f>2577988170</f>
        <v>2.57798817E9</v>
      </c>
      <c r="K12" s="35" t="n">
        <f>2259994170</f>
        <v>2.25999417E9</v>
      </c>
      <c r="L12" s="17" t="n">
        <f>909617690</f>
        <v>9.0961769E8</v>
      </c>
      <c r="M12" s="35" t="n">
        <f>598926690</f>
        <v>5.9892669E8</v>
      </c>
      <c r="N12" s="17" t="n">
        <f>3487605860</f>
        <v>3.48760586E9</v>
      </c>
      <c r="O12" s="35" t="n">
        <f>2858920860</f>
        <v>2.85892086E9</v>
      </c>
    </row>
    <row r="13" spans="1:15" ht="24.9" customHeight="1">
      <c r="A13" s="38"/>
      <c r="B13" s="62"/>
      <c r="C13" s="20" t="s">
        <v>16</v>
      </c>
      <c r="D13" s="21" t="n">
        <f>7087</f>
        <v>7087.0</v>
      </c>
      <c r="E13" s="36" t="n">
        <f>3742</f>
        <v>3742.0</v>
      </c>
      <c r="F13" s="21" t="n">
        <f>4309</f>
        <v>4309.0</v>
      </c>
      <c r="G13" s="36" t="n">
        <f>1014</f>
        <v>1014.0</v>
      </c>
      <c r="H13" s="21" t="n">
        <f>11396</f>
        <v>11396.0</v>
      </c>
      <c r="I13" s="36" t="n">
        <f>4756</f>
        <v>4756.0</v>
      </c>
      <c r="J13" s="21" t="n">
        <f>1665100250</f>
        <v>1.66510025E9</v>
      </c>
      <c r="K13" s="36" t="n">
        <f>417953250</f>
        <v>4.1795325E8</v>
      </c>
      <c r="L13" s="21" t="n">
        <f>1573853596</f>
        <v>1.573853596E9</v>
      </c>
      <c r="M13" s="36" t="n">
        <f>961380596</f>
        <v>9.61380596E8</v>
      </c>
      <c r="N13" s="21" t="n">
        <f>3238953846</f>
        <v>3.238953846E9</v>
      </c>
      <c r="O13" s="36" t="n">
        <f>1379333846</f>
        <v>1.379333846E9</v>
      </c>
    </row>
    <row r="14" spans="1:15" ht="24.9" customHeight="1">
      <c r="A14" s="38"/>
      <c r="B14" s="62"/>
      <c r="C14" s="20" t="s">
        <v>17</v>
      </c>
      <c r="D14" s="21" t="n">
        <f>15082</f>
        <v>15082.0</v>
      </c>
      <c r="E14" s="36" t="n">
        <f>8176</f>
        <v>8176.0</v>
      </c>
      <c r="F14" s="21" t="n">
        <f>7509</f>
        <v>7509.0</v>
      </c>
      <c r="G14" s="36" t="n">
        <f>4075</f>
        <v>4075.0</v>
      </c>
      <c r="H14" s="21" t="n">
        <f>22591</f>
        <v>22591.0</v>
      </c>
      <c r="I14" s="36" t="n">
        <f>12251</f>
        <v>12251.0</v>
      </c>
      <c r="J14" s="21" t="n">
        <f>8319829470</f>
        <v>8.31982947E9</v>
      </c>
      <c r="K14" s="36" t="n">
        <f>6884189470</f>
        <v>6.88418947E9</v>
      </c>
      <c r="L14" s="21" t="n">
        <f>2910535344</f>
        <v>2.910535344E9</v>
      </c>
      <c r="M14" s="36" t="n">
        <f>2093127344</f>
        <v>2.093127344E9</v>
      </c>
      <c r="N14" s="21" t="n">
        <f>11230364814</f>
        <v>1.1230364814E10</v>
      </c>
      <c r="O14" s="36" t="n">
        <f>8977316814</f>
        <v>8.977316814E9</v>
      </c>
    </row>
    <row r="15" spans="1:15" ht="24.9" customHeight="1">
      <c r="A15" s="38"/>
      <c r="B15" s="62"/>
      <c r="C15" s="24" t="s">
        <v>18</v>
      </c>
      <c r="D15" s="25" t="n">
        <f>25902</f>
        <v>25902.0</v>
      </c>
      <c r="E15" s="37" t="n">
        <f>13896</f>
        <v>13896.0</v>
      </c>
      <c r="F15" s="25" t="n">
        <f>13868</f>
        <v>13868.0</v>
      </c>
      <c r="G15" s="37" t="n">
        <f>5653</f>
        <v>5653.0</v>
      </c>
      <c r="H15" s="25" t="n">
        <f>39770</f>
        <v>39770.0</v>
      </c>
      <c r="I15" s="37" t="n">
        <f>19549</f>
        <v>19549.0</v>
      </c>
      <c r="J15" s="25" t="n">
        <f>12562917890</f>
        <v>1.256291789E10</v>
      </c>
      <c r="K15" s="37" t="n">
        <f>9562136890</f>
        <v>9.56213689E9</v>
      </c>
      <c r="L15" s="25" t="n">
        <f>5394006630</f>
        <v>5.39400663E9</v>
      </c>
      <c r="M15" s="37" t="n">
        <f>3653434630</f>
        <v>3.65343463E9</v>
      </c>
      <c r="N15" s="25" t="n">
        <f>17956924520</f>
        <v>1.795692452E10</v>
      </c>
      <c r="O15" s="37" t="n">
        <f>13215571520</f>
        <v>1.321557152E10</v>
      </c>
    </row>
    <row r="16" spans="1:15" ht="24.9" customHeight="1">
      <c r="A16" s="38"/>
      <c r="B16" s="61" t="s">
        <v>105</v>
      </c>
      <c r="C16" s="16" t="s">
        <v>15</v>
      </c>
      <c r="D16" s="17" t="n">
        <f>6210</f>
        <v>6210.0</v>
      </c>
      <c r="E16" s="35" t="n">
        <f>710</f>
        <v>710.0</v>
      </c>
      <c r="F16" s="17" t="n">
        <f>5560</f>
        <v>5560.0</v>
      </c>
      <c r="G16" s="35" t="n">
        <f>250</f>
        <v>250.0</v>
      </c>
      <c r="H16" s="17" t="n">
        <f>11770</f>
        <v>11770.0</v>
      </c>
      <c r="I16" s="35" t="n">
        <f>960</f>
        <v>960.0</v>
      </c>
      <c r="J16" s="17" t="n">
        <f>182313070</f>
        <v>1.8231307E8</v>
      </c>
      <c r="K16" s="35" t="n">
        <f>6168270</f>
        <v>6168270.0</v>
      </c>
      <c r="L16" s="17" t="n">
        <f>173097800</f>
        <v>1.730978E8</v>
      </c>
      <c r="M16" s="35" t="n">
        <f>1082200</f>
        <v>1082200.0</v>
      </c>
      <c r="N16" s="17" t="n">
        <f>355410870</f>
        <v>3.5541087E8</v>
      </c>
      <c r="O16" s="35" t="n">
        <f>7250470</f>
        <v>7250470.0</v>
      </c>
    </row>
    <row r="17" spans="1:15" ht="24.9" customHeight="1">
      <c r="A17" s="38"/>
      <c r="B17" s="62"/>
      <c r="C17" s="20" t="s">
        <v>16</v>
      </c>
      <c r="D17" s="21" t="n">
        <f>6949</f>
        <v>6949.0</v>
      </c>
      <c r="E17" s="36" t="n">
        <f>240</f>
        <v>240.0</v>
      </c>
      <c r="F17" s="21" t="n">
        <f>8128</f>
        <v>8128.0</v>
      </c>
      <c r="G17" s="36" t="n">
        <f>440</f>
        <v>440.0</v>
      </c>
      <c r="H17" s="21" t="n">
        <f>15077</f>
        <v>15077.0</v>
      </c>
      <c r="I17" s="36" t="n">
        <f>680</f>
        <v>680.0</v>
      </c>
      <c r="J17" s="21" t="n">
        <f>221039520</f>
        <v>2.2103952E8</v>
      </c>
      <c r="K17" s="36" t="n">
        <f>2094020</f>
        <v>2094020.0</v>
      </c>
      <c r="L17" s="21" t="n">
        <f>184057100</f>
        <v>1.840571E8</v>
      </c>
      <c r="M17" s="36" t="n">
        <f>3857100</f>
        <v>3857100.0</v>
      </c>
      <c r="N17" s="21" t="n">
        <f>405096620</f>
        <v>4.0509662E8</v>
      </c>
      <c r="O17" s="36" t="n">
        <f>5951120</f>
        <v>5951120.0</v>
      </c>
    </row>
    <row r="18" spans="1:15" ht="24.9" customHeight="1">
      <c r="A18" s="38"/>
      <c r="B18" s="62"/>
      <c r="C18" s="20" t="s">
        <v>17</v>
      </c>
      <c r="D18" s="21" t="n">
        <f>8425</f>
        <v>8425.0</v>
      </c>
      <c r="E18" s="36" t="n">
        <f>1040</f>
        <v>1040.0</v>
      </c>
      <c r="F18" s="21" t="n">
        <f>6444</f>
        <v>6444.0</v>
      </c>
      <c r="G18" s="36" t="n">
        <f>160</f>
        <v>160.0</v>
      </c>
      <c r="H18" s="21" t="n">
        <f>14869</f>
        <v>14869.0</v>
      </c>
      <c r="I18" s="36" t="n">
        <f>1200</f>
        <v>1200.0</v>
      </c>
      <c r="J18" s="21" t="n">
        <f>163152510</f>
        <v>1.6315251E8</v>
      </c>
      <c r="K18" s="36" t="n">
        <f>13198810</f>
        <v>1.319881E7</v>
      </c>
      <c r="L18" s="21" t="n">
        <f>169199140</f>
        <v>1.6919914E8</v>
      </c>
      <c r="M18" s="36" t="n">
        <f>2936940</f>
        <v>2936940.0</v>
      </c>
      <c r="N18" s="21" t="n">
        <f>332351650</f>
        <v>3.3235165E8</v>
      </c>
      <c r="O18" s="36" t="n">
        <f>16135750</f>
        <v>1.613575E7</v>
      </c>
    </row>
    <row r="19" spans="1:15" ht="24.9" customHeight="1">
      <c r="A19" s="38"/>
      <c r="B19" s="62"/>
      <c r="C19" s="24" t="s">
        <v>18</v>
      </c>
      <c r="D19" s="25" t="n">
        <f>21584</f>
        <v>21584.0</v>
      </c>
      <c r="E19" s="37" t="n">
        <f>1990</f>
        <v>1990.0</v>
      </c>
      <c r="F19" s="25" t="n">
        <f>20132</f>
        <v>20132.0</v>
      </c>
      <c r="G19" s="37" t="n">
        <f>850</f>
        <v>850.0</v>
      </c>
      <c r="H19" s="25" t="n">
        <f>41716</f>
        <v>41716.0</v>
      </c>
      <c r="I19" s="37" t="n">
        <f>2840</f>
        <v>2840.0</v>
      </c>
      <c r="J19" s="25" t="n">
        <f>566505100</f>
        <v>5.665051E8</v>
      </c>
      <c r="K19" s="37" t="n">
        <f>21461100</f>
        <v>2.14611E7</v>
      </c>
      <c r="L19" s="25" t="n">
        <f>526354040</f>
        <v>5.2635404E8</v>
      </c>
      <c r="M19" s="37" t="n">
        <f>7876240</f>
        <v>7876240.0</v>
      </c>
      <c r="N19" s="25" t="n">
        <f>1092859140</f>
        <v>1.09285914E9</v>
      </c>
      <c r="O19" s="37" t="n">
        <f>29337340</f>
        <v>2.933734E7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0</f>
        <v>0.0</v>
      </c>
      <c r="E21" s="36" t="n">
        <f>0</f>
        <v>0.0</v>
      </c>
      <c r="F21" s="21" t="n">
        <f>0</f>
        <v>0.0</v>
      </c>
      <c r="G21" s="36" t="n">
        <f>0</f>
        <v>0.0</v>
      </c>
      <c r="H21" s="21" t="n">
        <f>0</f>
        <v>0.0</v>
      </c>
      <c r="I21" s="36" t="n">
        <f>0</f>
        <v>0.0</v>
      </c>
      <c r="J21" s="21" t="n">
        <f>0</f>
        <v>0.0</v>
      </c>
      <c r="K21" s="36" t="n">
        <f>0</f>
        <v>0.0</v>
      </c>
      <c r="L21" s="21" t="n">
        <f>0</f>
        <v>0.0</v>
      </c>
      <c r="M21" s="36" t="n">
        <f>0</f>
        <v>0.0</v>
      </c>
      <c r="N21" s="21" t="n">
        <f>0</f>
        <v>0.0</v>
      </c>
      <c r="O21" s="36" t="n">
        <f>0</f>
        <v>0.0</v>
      </c>
    </row>
    <row r="22" spans="1:15" ht="24.9" customHeight="1">
      <c r="A22" s="38"/>
      <c r="B22" s="62"/>
      <c r="C22" s="20" t="s">
        <v>17</v>
      </c>
      <c r="D22" s="21" t="n">
        <f>3551</f>
        <v>3551.0</v>
      </c>
      <c r="E22" s="36" t="n">
        <f>3533</f>
        <v>3533.0</v>
      </c>
      <c r="F22" s="21" t="n">
        <f>633</f>
        <v>633.0</v>
      </c>
      <c r="G22" s="36" t="n">
        <f>633</f>
        <v>633.0</v>
      </c>
      <c r="H22" s="21" t="n">
        <f>4184</f>
        <v>4184.0</v>
      </c>
      <c r="I22" s="36" t="n">
        <f>4166</f>
        <v>4166.0</v>
      </c>
      <c r="J22" s="21" t="n">
        <f>2830930606</f>
        <v>2.830930606E9</v>
      </c>
      <c r="K22" s="36" t="n">
        <f>2828398606</f>
        <v>2.828398606E9</v>
      </c>
      <c r="L22" s="21" t="n">
        <f>235158400</f>
        <v>2.351584E8</v>
      </c>
      <c r="M22" s="36" t="n">
        <f>235158400</f>
        <v>2.351584E8</v>
      </c>
      <c r="N22" s="21" t="n">
        <f>3066089006</f>
        <v>3.066089006E9</v>
      </c>
      <c r="O22" s="36" t="n">
        <f>3063557006</f>
        <v>3.063557006E9</v>
      </c>
    </row>
    <row r="23" spans="1:15" ht="24.9" customHeight="1">
      <c r="A23" s="38"/>
      <c r="B23" s="62"/>
      <c r="C23" s="24" t="s">
        <v>18</v>
      </c>
      <c r="D23" s="25" t="n">
        <f>3551</f>
        <v>3551.0</v>
      </c>
      <c r="E23" s="37" t="n">
        <f>3533</f>
        <v>3533.0</v>
      </c>
      <c r="F23" s="25" t="n">
        <f>633</f>
        <v>633.0</v>
      </c>
      <c r="G23" s="37" t="n">
        <f>633</f>
        <v>633.0</v>
      </c>
      <c r="H23" s="25" t="n">
        <f>4184</f>
        <v>4184.0</v>
      </c>
      <c r="I23" s="37" t="n">
        <f>4166</f>
        <v>4166.0</v>
      </c>
      <c r="J23" s="25" t="n">
        <f>2830930606</f>
        <v>2.830930606E9</v>
      </c>
      <c r="K23" s="37" t="n">
        <f>2828398606</f>
        <v>2.828398606E9</v>
      </c>
      <c r="L23" s="25" t="n">
        <f>235158400</f>
        <v>2.351584E8</v>
      </c>
      <c r="M23" s="37" t="n">
        <f>235158400</f>
        <v>2.351584E8</v>
      </c>
      <c r="N23" s="25" t="n">
        <f>3066089006</f>
        <v>3.066089006E9</v>
      </c>
      <c r="O23" s="37" t="n">
        <f>3063557006</f>
        <v>3.063557006E9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5</f>
        <v>5.0</v>
      </c>
      <c r="E36" s="18" t="n">
        <f>0</f>
        <v>0.0</v>
      </c>
      <c r="F36" s="17" t="n">
        <f>1</f>
        <v>1.0</v>
      </c>
      <c r="G36" s="18" t="n">
        <f>0</f>
        <v>0.0</v>
      </c>
      <c r="H36" s="17" t="n">
        <f>6</f>
        <v>6.0</v>
      </c>
      <c r="I36" s="18" t="n">
        <f>0</f>
        <v>0.0</v>
      </c>
      <c r="J36" s="17" t="n">
        <f>100000</f>
        <v>100000.0</v>
      </c>
      <c r="K36" s="18" t="n">
        <f>0</f>
        <v>0.0</v>
      </c>
      <c r="L36" s="17" t="n">
        <f>150000</f>
        <v>150000.0</v>
      </c>
      <c r="M36" s="18" t="n">
        <f>0</f>
        <v>0.0</v>
      </c>
      <c r="N36" s="17" t="n">
        <f>250000</f>
        <v>250000.0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68</f>
        <v>68.0</v>
      </c>
      <c r="E37" s="22" t="n">
        <f>0</f>
        <v>0.0</v>
      </c>
      <c r="F37" s="21" t="n">
        <f>24</f>
        <v>24.0</v>
      </c>
      <c r="G37" s="22" t="n">
        <f>4</f>
        <v>4.0</v>
      </c>
      <c r="H37" s="21" t="n">
        <f>92</f>
        <v>92.0</v>
      </c>
      <c r="I37" s="22" t="n">
        <f>4</f>
        <v>4.0</v>
      </c>
      <c r="J37" s="21" t="n">
        <f>7590000</f>
        <v>7590000.0</v>
      </c>
      <c r="K37" s="22" t="n">
        <f>0</f>
        <v>0.0</v>
      </c>
      <c r="L37" s="21" t="n">
        <f>2640000</f>
        <v>2640000.0</v>
      </c>
      <c r="M37" s="22" t="n">
        <f>40000</f>
        <v>40000.0</v>
      </c>
      <c r="N37" s="21" t="n">
        <f>10230000</f>
        <v>1.023E7</v>
      </c>
      <c r="O37" s="22" t="n">
        <f>40000</f>
        <v>40000.0</v>
      </c>
    </row>
    <row r="38" spans="1:15" ht="24.9" customHeight="1">
      <c r="A38" s="38"/>
      <c r="B38" s="62"/>
      <c r="C38" s="20" t="s">
        <v>17</v>
      </c>
      <c r="D38" s="21" t="n">
        <f>95</f>
        <v>95.0</v>
      </c>
      <c r="E38" s="36" t="n">
        <f>80</f>
        <v>80.0</v>
      </c>
      <c r="F38" s="21" t="n">
        <f>232</f>
        <v>232.0</v>
      </c>
      <c r="G38" s="36" t="n">
        <f>195</f>
        <v>195.0</v>
      </c>
      <c r="H38" s="21" t="n">
        <f>327</f>
        <v>327.0</v>
      </c>
      <c r="I38" s="36" t="n">
        <f>275</f>
        <v>275.0</v>
      </c>
      <c r="J38" s="21" t="n">
        <f>21980000</f>
        <v>2.198E7</v>
      </c>
      <c r="K38" s="36" t="n">
        <f>18830000</f>
        <v>1.883E7</v>
      </c>
      <c r="L38" s="21" t="n">
        <f>16200000</f>
        <v>1.62E7</v>
      </c>
      <c r="M38" s="36" t="n">
        <f>9000000</f>
        <v>9000000.0</v>
      </c>
      <c r="N38" s="21" t="n">
        <f>38180000</f>
        <v>3.818E7</v>
      </c>
      <c r="O38" s="36" t="n">
        <f>27830000</f>
        <v>2.783E7</v>
      </c>
    </row>
    <row r="39" spans="1:15" ht="24.9" customHeight="1">
      <c r="A39" s="38"/>
      <c r="B39" s="62"/>
      <c r="C39" s="24" t="s">
        <v>18</v>
      </c>
      <c r="D39" s="25" t="n">
        <f>168</f>
        <v>168.0</v>
      </c>
      <c r="E39" s="37" t="n">
        <f>80</f>
        <v>80.0</v>
      </c>
      <c r="F39" s="25" t="n">
        <f>257</f>
        <v>257.0</v>
      </c>
      <c r="G39" s="37" t="n">
        <f>199</f>
        <v>199.0</v>
      </c>
      <c r="H39" s="25" t="n">
        <f>425</f>
        <v>425.0</v>
      </c>
      <c r="I39" s="37" t="n">
        <f>279</f>
        <v>279.0</v>
      </c>
      <c r="J39" s="25" t="n">
        <f>29670000</f>
        <v>2.967E7</v>
      </c>
      <c r="K39" s="37" t="n">
        <f>18830000</f>
        <v>1.883E7</v>
      </c>
      <c r="L39" s="25" t="n">
        <f>18990000</f>
        <v>1.899E7</v>
      </c>
      <c r="M39" s="37" t="n">
        <f>9040000</f>
        <v>9040000.0</v>
      </c>
      <c r="N39" s="25" t="n">
        <f>48660000</f>
        <v>4.866E7</v>
      </c>
      <c r="O39" s="37" t="n">
        <f>27870000</f>
        <v>2.787E7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6135</f>
        <v>6135.0</v>
      </c>
      <c r="E41" s="36" t="n">
        <f>0</f>
        <v>0.0</v>
      </c>
      <c r="F41" s="21" t="n">
        <f>8153</f>
        <v>8153.0</v>
      </c>
      <c r="G41" s="36" t="n">
        <f>0</f>
        <v>0.0</v>
      </c>
      <c r="H41" s="21" t="n">
        <f>14288</f>
        <v>14288.0</v>
      </c>
      <c r="I41" s="36" t="n">
        <f>0</f>
        <v>0.0</v>
      </c>
      <c r="J41" s="21" t="n">
        <f>18662680</f>
        <v>1.866268E7</v>
      </c>
      <c r="K41" s="36" t="n">
        <f>0</f>
        <v>0.0</v>
      </c>
      <c r="L41" s="21" t="n">
        <f>2808505</f>
        <v>2808505.0</v>
      </c>
      <c r="M41" s="36" t="n">
        <f>0</f>
        <v>0.0</v>
      </c>
      <c r="N41" s="21" t="n">
        <f>21471185</f>
        <v>2.1471185E7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5360</f>
        <v>5360.0</v>
      </c>
      <c r="E42" s="36" t="n">
        <f>0</f>
        <v>0.0</v>
      </c>
      <c r="F42" s="21" t="n">
        <f>13224</f>
        <v>13224.0</v>
      </c>
      <c r="G42" s="36" t="n">
        <f>0</f>
        <v>0.0</v>
      </c>
      <c r="H42" s="21" t="n">
        <f>18584</f>
        <v>18584.0</v>
      </c>
      <c r="I42" s="36" t="n">
        <f>0</f>
        <v>0.0</v>
      </c>
      <c r="J42" s="21" t="n">
        <f>14618110</f>
        <v>1.461811E7</v>
      </c>
      <c r="K42" s="36" t="n">
        <f>0</f>
        <v>0.0</v>
      </c>
      <c r="L42" s="21" t="n">
        <f>12970525</f>
        <v>1.2970525E7</v>
      </c>
      <c r="M42" s="36" t="n">
        <f>0</f>
        <v>0.0</v>
      </c>
      <c r="N42" s="21" t="n">
        <f>27588635</f>
        <v>2.7588635E7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11495</f>
        <v>11495.0</v>
      </c>
      <c r="E43" s="37" t="n">
        <f>0</f>
        <v>0.0</v>
      </c>
      <c r="F43" s="25" t="n">
        <f>21377</f>
        <v>21377.0</v>
      </c>
      <c r="G43" s="37" t="n">
        <f>0</f>
        <v>0.0</v>
      </c>
      <c r="H43" s="25" t="n">
        <f>32872</f>
        <v>32872.0</v>
      </c>
      <c r="I43" s="37" t="n">
        <f>0</f>
        <v>0.0</v>
      </c>
      <c r="J43" s="25" t="n">
        <f>33280790</f>
        <v>3.328079E7</v>
      </c>
      <c r="K43" s="37" t="n">
        <f>0</f>
        <v>0.0</v>
      </c>
      <c r="L43" s="25" t="n">
        <f>15779030</f>
        <v>1.577903E7</v>
      </c>
      <c r="M43" s="37" t="n">
        <f>0</f>
        <v>0.0</v>
      </c>
      <c r="N43" s="25" t="n">
        <f>49059820</f>
        <v>4.905982E7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