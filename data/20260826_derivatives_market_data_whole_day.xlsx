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<sst xmlns="http://schemas.openxmlformats.org/spreadsheetml/2006/main" count="528" uniqueCount="129">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</sst>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DATE(2026,08,26)</f>
        <v>46260.0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DATE(2026,08,26)</f>
        <v>46260.0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523741.0</f>
        <v>523741.0</v>
      </c>
      <c r="E12" s="18" t="n">
        <f>27057.0</f>
        <v>27057.0</v>
      </c>
      <c r="F12" s="19" t="n">
        <f>1.0</f>
        <v>1.0</v>
      </c>
      <c r="G12" s="17" t="n">
        <f>3751336301645.0</f>
        <v>3.751336301645E12</v>
      </c>
      <c r="H12" s="18" t="n">
        <f>244325248820.0</f>
        <v>2.4432524882E11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340567.0</f>
        <v>340567.0</v>
      </c>
      <c r="E13" s="22" t="n">
        <f>21620.0</f>
        <v>21620.0</v>
      </c>
      <c r="F13" s="23" t="n">
        <f>1.0</f>
        <v>1.0</v>
      </c>
      <c r="G13" s="21" t="n">
        <f>4225623847420.0</f>
        <v>4.22562384742E12</v>
      </c>
      <c r="H13" s="22" t="n">
        <f>542713368020.0</f>
        <v>5.4271336802E11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385018.0</f>
        <v>385018.0</v>
      </c>
      <c r="E14" s="22" t="n">
        <f>45185.0</f>
        <v>45185.0</v>
      </c>
      <c r="F14" s="23" t="n">
        <f>1.0</f>
        <v>1.0</v>
      </c>
      <c r="G14" s="21" t="n">
        <f>4861761242075.0</f>
        <v>4.861761242075E12</v>
      </c>
      <c r="H14" s="22" t="n">
        <f>1144771858600.0</f>
        <v>1.1447718586E12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1249326.0</f>
        <v>1249326.0</v>
      </c>
      <c r="E15" s="26" t="n">
        <f>93862.0</f>
        <v>93862.0</v>
      </c>
      <c r="F15" s="27" t="n">
        <f>1.0</f>
        <v>1.0</v>
      </c>
      <c r="G15" s="25" t="n">
        <f>12838721391140.0</f>
        <v>1.283872139114E13</v>
      </c>
      <c r="H15" s="26" t="n">
        <f>1931810475440.0</f>
        <v>1.93181047544E12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10947.0</f>
        <v>10947.0</v>
      </c>
      <c r="E16" s="18" t="n">
        <f>121.0</f>
        <v>121.0</v>
      </c>
      <c r="F16" s="19" t="n">
        <f>0.021</f>
        <v>0.021</v>
      </c>
      <c r="G16" s="17" t="n">
        <f>1367341766875.0</f>
        <v>1.367341766875E12</v>
      </c>
      <c r="H16" s="18" t="n">
        <f>15306280000.0</f>
        <v>1.530628E10</v>
      </c>
      <c r="I16" s="19" t="n">
        <f>0.364</f>
        <v>0.364</v>
      </c>
    </row>
    <row r="17" spans="1:9" ht="24.9" customHeight="1">
      <c r="A17" s="41"/>
      <c r="B17" s="39"/>
      <c r="C17" s="20" t="s">
        <v>16</v>
      </c>
      <c r="D17" s="21" t="n">
        <f>25345.0</f>
        <v>25345.0</v>
      </c>
      <c r="E17" s="22" t="n">
        <f>2826.0</f>
        <v>2826.0</v>
      </c>
      <c r="F17" s="23" t="n">
        <f>0.074</f>
        <v>0.074</v>
      </c>
      <c r="G17" s="21" t="n">
        <f>2447496826500.0</f>
        <v>2.4474968265E12</v>
      </c>
      <c r="H17" s="22" t="n">
        <f>357835755000.0</f>
        <v>3.57835755E11</v>
      </c>
      <c r="I17" s="23" t="n">
        <f>0.579</f>
        <v>0.579</v>
      </c>
    </row>
    <row r="18" spans="1:9" ht="24.9" customHeight="1">
      <c r="A18" s="41"/>
      <c r="B18" s="39"/>
      <c r="C18" s="20" t="s">
        <v>17</v>
      </c>
      <c r="D18" s="21" t="n">
        <f>17380.0</f>
        <v>17380.0</v>
      </c>
      <c r="E18" s="22" t="n">
        <f>1689.0</f>
        <v>1689.0</v>
      </c>
      <c r="F18" s="23" t="n">
        <f>0.045</f>
        <v>0.045</v>
      </c>
      <c r="G18" s="21" t="n">
        <f>1805171658125.0</f>
        <v>1.805171658125E12</v>
      </c>
      <c r="H18" s="22" t="n">
        <f>213735440000.0</f>
        <v>2.1373544E11</v>
      </c>
      <c r="I18" s="23" t="n">
        <f>0.371</f>
        <v>0.371</v>
      </c>
    </row>
    <row r="19" spans="1:9" ht="24.9" customHeight="1">
      <c r="A19" s="41"/>
      <c r="B19" s="39"/>
      <c r="C19" s="24" t="s">
        <v>18</v>
      </c>
      <c r="D19" s="25" t="n">
        <f>53672.0</f>
        <v>53672.0</v>
      </c>
      <c r="E19" s="26" t="n">
        <f>4636.0</f>
        <v>4636.0</v>
      </c>
      <c r="F19" s="27" t="n">
        <f>0.043</f>
        <v>0.043</v>
      </c>
      <c r="G19" s="25" t="n">
        <f>5620010251500.0</f>
        <v>5.6200102515E12</v>
      </c>
      <c r="H19" s="26" t="n">
        <f>586877475000.0</f>
        <v>5.86877475E11</v>
      </c>
      <c r="I19" s="27" t="n">
        <f>0.438</f>
        <v>0.438</v>
      </c>
    </row>
    <row r="20" spans="1:9" ht="24.9" customHeight="1">
      <c r="A20" s="41"/>
      <c r="B20" s="39" t="s">
        <v>21</v>
      </c>
      <c r="C20" s="16" t="s">
        <v>15</v>
      </c>
      <c r="D20" s="17" t="n">
        <f>493645.0</f>
        <v>493645.0</v>
      </c>
      <c r="E20" s="18" t="n">
        <f>26894.0</f>
        <v>26894.0</v>
      </c>
      <c r="F20" s="19" t="n">
        <f>0.943</f>
        <v>0.943</v>
      </c>
      <c r="G20" s="17" t="n">
        <f>2196988884820.0</f>
        <v>2.19698888482E12</v>
      </c>
      <c r="H20" s="18" t="n">
        <f>228953804020.0</f>
        <v>2.2895380402E11</v>
      </c>
      <c r="I20" s="19" t="n">
        <f>0.586</f>
        <v>0.586</v>
      </c>
    </row>
    <row r="21" spans="1:9" ht="24.9" customHeight="1">
      <c r="A21" s="41"/>
      <c r="B21" s="39"/>
      <c r="C21" s="20" t="s">
        <v>16</v>
      </c>
      <c r="D21" s="21" t="n">
        <f>306408.0</f>
        <v>306408.0</v>
      </c>
      <c r="E21" s="22" t="n">
        <f>18792.0</f>
        <v>18792.0</v>
      </c>
      <c r="F21" s="23" t="n">
        <f>0.9</f>
        <v>0.9</v>
      </c>
      <c r="G21" s="21" t="n">
        <f>1686000679870.0</f>
        <v>1.68600067987E12</v>
      </c>
      <c r="H21" s="22" t="n">
        <f>184870083020.0</f>
        <v>1.8487008302E11</v>
      </c>
      <c r="I21" s="23" t="n">
        <f>0.399</f>
        <v>0.399</v>
      </c>
    </row>
    <row r="22" spans="1:9" ht="24.9" customHeight="1">
      <c r="A22" s="41"/>
      <c r="B22" s="39"/>
      <c r="C22" s="20" t="s">
        <v>17</v>
      </c>
      <c r="D22" s="21" t="n">
        <f>357154.0</f>
        <v>357154.0</v>
      </c>
      <c r="E22" s="22" t="n">
        <f>43371.0</f>
        <v>43371.0</v>
      </c>
      <c r="F22" s="23" t="n">
        <f>0.928</f>
        <v>0.928</v>
      </c>
      <c r="G22" s="21" t="n">
        <f>2974693239180.0</f>
        <v>2.97469323918E12</v>
      </c>
      <c r="H22" s="22" t="n">
        <f>930847426280.0</f>
        <v>9.3084742628E11</v>
      </c>
      <c r="I22" s="23" t="n">
        <f>0.612</f>
        <v>0.612</v>
      </c>
    </row>
    <row r="23" spans="1:9" ht="24.9" customHeight="1">
      <c r="A23" s="41"/>
      <c r="B23" s="39"/>
      <c r="C23" s="24" t="s">
        <v>18</v>
      </c>
      <c r="D23" s="25" t="n">
        <f>1157207.0</f>
        <v>1157207.0</v>
      </c>
      <c r="E23" s="26" t="n">
        <f>89057.0</f>
        <v>89057.0</v>
      </c>
      <c r="F23" s="27" t="n">
        <f>0.926</f>
        <v>0.926</v>
      </c>
      <c r="G23" s="25" t="n">
        <f>6857682803870.0</f>
        <v>6.85768280387E12</v>
      </c>
      <c r="H23" s="26" t="n">
        <f>1344671313320.0</f>
        <v>1.34467131332E12</v>
      </c>
      <c r="I23" s="27" t="n">
        <f>0.534</f>
        <v>0.534</v>
      </c>
    </row>
    <row r="24" spans="1:9" ht="24.9" customHeight="1">
      <c r="A24" s="41"/>
      <c r="B24" s="39" t="s">
        <v>22</v>
      </c>
      <c r="C24" s="16" t="s">
        <v>15</v>
      </c>
      <c r="D24" s="17" t="n">
        <f>18740.0</f>
        <v>18740.0</v>
      </c>
      <c r="E24" s="18" t="n">
        <f>0.0</f>
        <v>0.0</v>
      </c>
      <c r="F24" s="19" t="n">
        <f>0.036</f>
        <v>0.036</v>
      </c>
      <c r="G24" s="17" t="n">
        <f>185521608150.0</f>
        <v>1.8552160815E11</v>
      </c>
      <c r="H24" s="18" t="n">
        <f>0.0</f>
        <v>0.0</v>
      </c>
      <c r="I24" s="19" t="n">
        <f>0.049</f>
        <v>0.049</v>
      </c>
    </row>
    <row r="25" spans="1:9" ht="24.9" customHeight="1">
      <c r="A25" s="41"/>
      <c r="B25" s="39"/>
      <c r="C25" s="20" t="s">
        <v>16</v>
      </c>
      <c r="D25" s="21" t="n">
        <f>8491.0</f>
        <v>8491.0</v>
      </c>
      <c r="E25" s="22" t="n">
        <f>0.0</f>
        <v>0.0</v>
      </c>
      <c r="F25" s="23" t="n">
        <f>0.025</f>
        <v>0.025</v>
      </c>
      <c r="G25" s="21" t="n">
        <f>90902105050.0</f>
        <v>9.090210505E10</v>
      </c>
      <c r="H25" s="22" t="n">
        <f>0.0</f>
        <v>0.0</v>
      </c>
      <c r="I25" s="23" t="n">
        <f>0.022</f>
        <v>0.022</v>
      </c>
    </row>
    <row r="26" spans="1:9" ht="24.9" customHeight="1">
      <c r="A26" s="41"/>
      <c r="B26" s="39"/>
      <c r="C26" s="20" t="s">
        <v>17</v>
      </c>
      <c r="D26" s="21" t="n">
        <f>8566.0</f>
        <v>8566.0</v>
      </c>
      <c r="E26" s="22" t="n">
        <f>0.0</f>
        <v>0.0</v>
      </c>
      <c r="F26" s="23" t="n">
        <f>0.022</f>
        <v>0.022</v>
      </c>
      <c r="G26" s="21" t="n">
        <f>75187736450.0</f>
        <v>7.518773645E10</v>
      </c>
      <c r="H26" s="22" t="n">
        <f>0.0</f>
        <v>0.0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35797.0</f>
        <v>35797.0</v>
      </c>
      <c r="E27" s="26" t="n">
        <f>0.0</f>
        <v>0.0</v>
      </c>
      <c r="F27" s="27" t="n">
        <f>0.029</f>
        <v>0.029</v>
      </c>
      <c r="G27" s="25" t="n">
        <f>351611449650.0</f>
        <v>3.5161144965E11</v>
      </c>
      <c r="H27" s="26" t="n">
        <f>0.0</f>
        <v>0.0</v>
      </c>
      <c r="I27" s="27" t="n">
        <f>0.027</f>
        <v>0.027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409.0</f>
        <v>409.0</v>
      </c>
      <c r="E28" s="18" t="n">
        <f>42.0</f>
        <v>42.0</v>
      </c>
      <c r="F28" s="19" t="n">
        <f>0.001</f>
        <v>0.001</v>
      </c>
      <c r="G28" s="17" t="n">
        <f>1484041800.0</f>
        <v>1.4840418E9</v>
      </c>
      <c r="H28" s="18" t="n">
        <f>65164800.0</f>
        <v>6.51648E7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323.0</f>
        <v>323.0</v>
      </c>
      <c r="E29" s="22" t="n">
        <f>2.0</f>
        <v>2.0</v>
      </c>
      <c r="F29" s="23" t="n">
        <f>0.001</f>
        <v>0.001</v>
      </c>
      <c r="G29" s="21" t="n">
        <f>1224236000.0</f>
        <v>1.224236E9</v>
      </c>
      <c r="H29" s="22" t="n">
        <f>7530000.0</f>
        <v>7530000.0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1918.0</f>
        <v>1918.0</v>
      </c>
      <c r="E30" s="22" t="n">
        <f>125.0</f>
        <v>125.0</v>
      </c>
      <c r="F30" s="23" t="n">
        <f>0.005</f>
        <v>0.005</v>
      </c>
      <c r="G30" s="21" t="n">
        <f>6708608320.0</f>
        <v>6.70860832E9</v>
      </c>
      <c r="H30" s="22" t="n">
        <f>188992320.0</f>
        <v>1.8899232E8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2650.0</f>
        <v>2650.0</v>
      </c>
      <c r="E31" s="26" t="n">
        <f>169.0</f>
        <v>169.0</v>
      </c>
      <c r="F31" s="27" t="n">
        <f>0.002</f>
        <v>0.002</v>
      </c>
      <c r="G31" s="25" t="n">
        <f>9416886120.0</f>
        <v>9.41688612E9</v>
      </c>
      <c r="H31" s="26" t="n">
        <f>261687120.0</f>
        <v>2.6168712E8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15843</f>
        <v>15843.0</v>
      </c>
      <c r="E11" s="18" t="n">
        <f>2174</f>
        <v>2174.0</v>
      </c>
      <c r="F11" s="19" t="n">
        <f>1</f>
        <v>1.0</v>
      </c>
      <c r="G11" s="17" t="n">
        <f>3650469070</f>
        <v>3.65046907E9</v>
      </c>
      <c r="H11" s="18" t="n">
        <f>2720270770</f>
        <v>2.72027077E9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21692</f>
        <v>21692.0</v>
      </c>
      <c r="E12" s="22" t="n">
        <f>3327</f>
        <v>3327.0</v>
      </c>
      <c r="F12" s="23" t="n">
        <f>1</f>
        <v>1.0</v>
      </c>
      <c r="G12" s="21" t="n">
        <f>2975080261</f>
        <v>2.975080261E9</v>
      </c>
      <c r="H12" s="22" t="n">
        <f>1118392980</f>
        <v>1.11839298E9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45333</f>
        <v>45333.0</v>
      </c>
      <c r="E13" s="22" t="n">
        <f>19609</f>
        <v>19609.0</v>
      </c>
      <c r="F13" s="23" t="n">
        <f>1</f>
        <v>1.0</v>
      </c>
      <c r="G13" s="21" t="n">
        <f>26114794615</f>
        <v>2.6114794615E10</v>
      </c>
      <c r="H13" s="22" t="n">
        <f>23897089220</f>
        <v>2.389708922E10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82868</f>
        <v>82868.0</v>
      </c>
      <c r="E14" s="26" t="n">
        <f>25110</f>
        <v>25110.0</v>
      </c>
      <c r="F14" s="27" t="n">
        <f>1</f>
        <v>1.0</v>
      </c>
      <c r="G14" s="25" t="n">
        <f>32740343946</f>
        <v>3.2740343946E10</v>
      </c>
      <c r="H14" s="26" t="n">
        <f>27735752970</f>
        <v>2.773575297E10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10</f>
        <v>10.0</v>
      </c>
      <c r="E15" s="18" t="n">
        <f>0</f>
        <v>0.0</v>
      </c>
      <c r="F15" s="19" t="n">
        <f>0.001</f>
        <v>0.001</v>
      </c>
      <c r="G15" s="17" t="n">
        <f>700000</f>
        <v>700000.0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127</f>
        <v>127.0</v>
      </c>
      <c r="E16" s="22" t="n">
        <f>0</f>
        <v>0.0</v>
      </c>
      <c r="F16" s="23" t="n">
        <f>0.006</f>
        <v>0.006</v>
      </c>
      <c r="G16" s="21" t="n">
        <f>22770000</f>
        <v>2.277E7</v>
      </c>
      <c r="H16" s="22" t="n">
        <f>0</f>
        <v>0.0</v>
      </c>
      <c r="I16" s="23" t="n">
        <f>0.008</f>
        <v>0.008</v>
      </c>
    </row>
    <row r="17" spans="1:9" ht="24.9" customHeight="1">
      <c r="A17" s="41"/>
      <c r="B17" s="39"/>
      <c r="C17" s="20" t="s">
        <v>17</v>
      </c>
      <c r="D17" s="21" t="n">
        <f>95</f>
        <v>95.0</v>
      </c>
      <c r="E17" s="22" t="n">
        <f>50</f>
        <v>50.0</v>
      </c>
      <c r="F17" s="23" t="n">
        <f>0.002</f>
        <v>0.002</v>
      </c>
      <c r="G17" s="21" t="n">
        <f>6900000</f>
        <v>6900000.0</v>
      </c>
      <c r="H17" s="22" t="n">
        <f>1250000</f>
        <v>1250000.0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232</f>
        <v>232.0</v>
      </c>
      <c r="E18" s="26" t="n">
        <f>50</f>
        <v>50.0</v>
      </c>
      <c r="F18" s="27" t="n">
        <f>0.003</f>
        <v>0.003</v>
      </c>
      <c r="G18" s="25" t="n">
        <f>30370000</f>
        <v>3.037E7</v>
      </c>
      <c r="H18" s="26" t="n">
        <f>1250000</f>
        <v>1250000.0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15833</f>
        <v>15833.0</v>
      </c>
      <c r="E19" s="18" t="n">
        <f>2174</f>
        <v>2174.0</v>
      </c>
      <c r="F19" s="19" t="n">
        <f>0.999</f>
        <v>0.999</v>
      </c>
      <c r="G19" s="17" t="n">
        <f>3649769070</f>
        <v>3.64976907E9</v>
      </c>
      <c r="H19" s="18" t="n">
        <f>2720270770</f>
        <v>2.72027077E9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17690</f>
        <v>17690.0</v>
      </c>
      <c r="E20" s="22" t="n">
        <f>3177</f>
        <v>3177.0</v>
      </c>
      <c r="F20" s="23" t="n">
        <f>0.816</f>
        <v>0.816</v>
      </c>
      <c r="G20" s="21" t="n">
        <f>2912236580</f>
        <v>2.91223658E9</v>
      </c>
      <c r="H20" s="22" t="n">
        <f>1099192980</f>
        <v>1.09919298E9</v>
      </c>
      <c r="I20" s="23" t="n">
        <f>0.979</f>
        <v>0.979</v>
      </c>
    </row>
    <row r="21" spans="1:9" ht="24.9" customHeight="1">
      <c r="A21" s="41"/>
      <c r="B21" s="39"/>
      <c r="C21" s="20" t="s">
        <v>17</v>
      </c>
      <c r="D21" s="21" t="n">
        <f>44029</f>
        <v>44029.0</v>
      </c>
      <c r="E21" s="22" t="n">
        <f>19559</f>
        <v>19559.0</v>
      </c>
      <c r="F21" s="23" t="n">
        <f>0.971</f>
        <v>0.971</v>
      </c>
      <c r="G21" s="21" t="n">
        <f>26026619920</f>
        <v>2.602661992E10</v>
      </c>
      <c r="H21" s="22" t="n">
        <f>23895839220</f>
        <v>2.389583922E10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77552</f>
        <v>77552.0</v>
      </c>
      <c r="E22" s="26" t="n">
        <f>24910</f>
        <v>24910.0</v>
      </c>
      <c r="F22" s="27" t="n">
        <f>0.936</f>
        <v>0.936</v>
      </c>
      <c r="G22" s="25" t="n">
        <f>32588625570</f>
        <v>3.258862557E10</v>
      </c>
      <c r="H22" s="26" t="n">
        <f>27715302970</f>
        <v>2.771530297E10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3875</f>
        <v>3875.0</v>
      </c>
      <c r="E24" s="22" t="n">
        <f>150</f>
        <v>150.0</v>
      </c>
      <c r="F24" s="23" t="n">
        <f>0.179</f>
        <v>0.179</v>
      </c>
      <c r="G24" s="21" t="n">
        <f>40073681</f>
        <v>4.0073681E7</v>
      </c>
      <c r="H24" s="22" t="n">
        <f>19200000</f>
        <v>1.92E7</v>
      </c>
      <c r="I24" s="23" t="n">
        <f>0.013</f>
        <v>0.013</v>
      </c>
    </row>
    <row r="25" spans="1:9" ht="24.9" customHeight="1">
      <c r="A25" s="41"/>
      <c r="B25" s="39"/>
      <c r="C25" s="20" t="s">
        <v>17</v>
      </c>
      <c r="D25" s="21" t="n">
        <f>1209</f>
        <v>1209.0</v>
      </c>
      <c r="E25" s="22" t="n">
        <f>0</f>
        <v>0.0</v>
      </c>
      <c r="F25" s="23" t="n">
        <f>0.027</f>
        <v>0.027</v>
      </c>
      <c r="G25" s="21" t="n">
        <f>81274695</f>
        <v>8.1274695E7</v>
      </c>
      <c r="H25" s="22" t="n">
        <f>0</f>
        <v>0.0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5084</f>
        <v>5084.0</v>
      </c>
      <c r="E26" s="26" t="n">
        <f>150</f>
        <v>150.0</v>
      </c>
      <c r="F26" s="27" t="n">
        <f>0.061</f>
        <v>0.061</v>
      </c>
      <c r="G26" s="25" t="n">
        <f>121348376</f>
        <v>1.21348376E8</v>
      </c>
      <c r="H26" s="26" t="n">
        <f>19200000</f>
        <v>1.92E7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6136.0</v>
      </c>
      <c r="F12" s="18" t="n">
        <f>512</f>
        <v>512.0</v>
      </c>
      <c r="G12" s="17" t="n">
        <v>4.0490353199E11</v>
      </c>
      <c r="H12" s="18" t="n">
        <f>33793036990</f>
        <v>3.379303699E10</v>
      </c>
    </row>
    <row r="13" spans="1:8" ht="24.9" customHeight="1">
      <c r="A13" s="51"/>
      <c r="B13" s="57"/>
      <c r="C13" s="39"/>
      <c r="D13" s="20" t="s">
        <v>16</v>
      </c>
      <c r="E13" s="21" t="n">
        <v>6323.0</v>
      </c>
      <c r="F13" s="22" t="n">
        <f>951</f>
        <v>951.0</v>
      </c>
      <c r="G13" s="21" t="n">
        <v>4.147104708E11</v>
      </c>
      <c r="H13" s="22" t="n">
        <f>62281573800</f>
        <v>6.22815738E10</v>
      </c>
    </row>
    <row r="14" spans="1:8" ht="24.9" customHeight="1">
      <c r="A14" s="51"/>
      <c r="B14" s="57"/>
      <c r="C14" s="39"/>
      <c r="D14" s="20" t="s">
        <v>17</v>
      </c>
      <c r="E14" s="21" t="n">
        <v>15288.0</v>
      </c>
      <c r="F14" s="22" t="n">
        <f>6422</f>
        <v>6422.0</v>
      </c>
      <c r="G14" s="21" t="n">
        <v>1.01211876259E12</v>
      </c>
      <c r="H14" s="22" t="n">
        <f>424436354590</f>
        <v>4.2443635459E11</v>
      </c>
    </row>
    <row r="15" spans="1:8" ht="24.9" customHeight="1">
      <c r="A15" s="51"/>
      <c r="B15" s="57"/>
      <c r="C15" s="39"/>
      <c r="D15" s="24" t="s">
        <v>18</v>
      </c>
      <c r="E15" s="25" t="n">
        <v>27747.0</v>
      </c>
      <c r="F15" s="26" t="n">
        <f>7885</f>
        <v>7885.0</v>
      </c>
      <c r="G15" s="25" t="n">
        <v>1.83173276538E12</v>
      </c>
      <c r="H15" s="26" t="n">
        <f>520510965380</f>
        <v>5.2051096538E11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179209.0</v>
      </c>
      <c r="F16" s="18" t="n">
        <f>25523</f>
        <v>25523.0</v>
      </c>
      <c r="G16" s="17" t="n">
        <v>1.18283106309E12</v>
      </c>
      <c r="H16" s="18" t="n">
        <f>168453057590</f>
        <v>1.6845305759E11</v>
      </c>
    </row>
    <row r="17" spans="1:8" ht="24.9" customHeight="1">
      <c r="A17" s="51"/>
      <c r="B17" s="57"/>
      <c r="C17" s="39"/>
      <c r="D17" s="20" t="s">
        <v>16</v>
      </c>
      <c r="E17" s="21" t="n">
        <v>126254.0</v>
      </c>
      <c r="F17" s="22" t="n">
        <f>17512</f>
        <v>17512.0</v>
      </c>
      <c r="G17" s="21" t="n">
        <v>8.2825720367E11</v>
      </c>
      <c r="H17" s="22" t="n">
        <f>114836019170</f>
        <v>1.1483601917E11</v>
      </c>
    </row>
    <row r="18" spans="1:8" ht="24.9" customHeight="1">
      <c r="A18" s="51"/>
      <c r="B18" s="57"/>
      <c r="C18" s="39"/>
      <c r="D18" s="20" t="s">
        <v>17</v>
      </c>
      <c r="E18" s="21" t="n">
        <v>144446.0</v>
      </c>
      <c r="F18" s="22" t="n">
        <f>28635</f>
        <v>28635.0</v>
      </c>
      <c r="G18" s="21" t="n">
        <v>9.5617804539E11</v>
      </c>
      <c r="H18" s="22" t="n">
        <f>188737598890</f>
        <v>1.8873759889E11</v>
      </c>
    </row>
    <row r="19" spans="1:8" ht="24.9" customHeight="1">
      <c r="A19" s="51"/>
      <c r="B19" s="57"/>
      <c r="C19" s="39"/>
      <c r="D19" s="24" t="s">
        <v>18</v>
      </c>
      <c r="E19" s="25" t="n">
        <v>449909.0</v>
      </c>
      <c r="F19" s="26" t="n">
        <f>71670</f>
        <v>71670.0</v>
      </c>
      <c r="G19" s="25" t="n">
        <v>2.96726631215E12</v>
      </c>
      <c r="H19" s="26" t="n">
        <f>472026675650</f>
        <v>4.7202667565E11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293735.0</v>
      </c>
      <c r="F20" s="18" t="str">
        <f>"－"</f>
        <v>－</v>
      </c>
      <c r="G20" s="17" t="n">
        <v>1.9386106665E11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159543.0</v>
      </c>
      <c r="F21" s="22" t="str">
        <f>"－"</f>
        <v>－</v>
      </c>
      <c r="G21" s="21" t="n">
        <v>1.046743256E11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168953.0</v>
      </c>
      <c r="F22" s="22" t="str">
        <f>"－"</f>
        <v>－</v>
      </c>
      <c r="G22" s="21" t="n">
        <v>1.119453161E11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622231.0</v>
      </c>
      <c r="F23" s="26" t="str">
        <f>"－"</f>
        <v>－</v>
      </c>
      <c r="G23" s="25" t="n">
        <v>4.1048070835E11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9701.0</v>
      </c>
      <c r="F24" s="18" t="n">
        <f>634</f>
        <v>634.0</v>
      </c>
      <c r="G24" s="17" t="n">
        <v>3.974586133E11</v>
      </c>
      <c r="H24" s="18" t="n">
        <f>25841478300</f>
        <v>2.58414783E10</v>
      </c>
    </row>
    <row r="25" spans="1:8" ht="24.9" customHeight="1">
      <c r="A25" s="51"/>
      <c r="B25" s="57"/>
      <c r="C25" s="39"/>
      <c r="D25" s="20" t="s">
        <v>16</v>
      </c>
      <c r="E25" s="21" t="n">
        <v>7649.0</v>
      </c>
      <c r="F25" s="22" t="n">
        <f>174</f>
        <v>174.0</v>
      </c>
      <c r="G25" s="21" t="n">
        <v>3.136604865E11</v>
      </c>
      <c r="H25" s="22" t="n">
        <f>7130562500</f>
        <v>7.1305625E9</v>
      </c>
    </row>
    <row r="26" spans="1:8" ht="24.9" customHeight="1">
      <c r="A26" s="51"/>
      <c r="B26" s="57"/>
      <c r="C26" s="39"/>
      <c r="D26" s="20" t="s">
        <v>17</v>
      </c>
      <c r="E26" s="21" t="n">
        <v>21110.0</v>
      </c>
      <c r="F26" s="22" t="n">
        <f>7695</f>
        <v>7695.0</v>
      </c>
      <c r="G26" s="21" t="n">
        <v>8.683460338E11</v>
      </c>
      <c r="H26" s="22" t="n">
        <f>316186363800</f>
        <v>3.161863638E11</v>
      </c>
    </row>
    <row r="27" spans="1:8" ht="24.9" customHeight="1">
      <c r="A27" s="51"/>
      <c r="B27" s="57"/>
      <c r="C27" s="39"/>
      <c r="D27" s="24" t="s">
        <v>18</v>
      </c>
      <c r="E27" s="25" t="n">
        <v>38460.0</v>
      </c>
      <c r="F27" s="26" t="n">
        <f>8503</f>
        <v>8503.0</v>
      </c>
      <c r="G27" s="25" t="n">
        <v>1.5794651336E12</v>
      </c>
      <c r="H27" s="26" t="n">
        <f>349158404600</f>
        <v>3.491584046E11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3763.0</v>
      </c>
      <c r="F28" s="18" t="n">
        <f>205</f>
        <v>205.0</v>
      </c>
      <c r="G28" s="17" t="n">
        <v>1.54256099E10</v>
      </c>
      <c r="H28" s="18" t="n">
        <f>840565150</f>
        <v>8.4056515E8</v>
      </c>
    </row>
    <row r="29" spans="1:8" ht="24.9" customHeight="1">
      <c r="A29" s="51"/>
      <c r="B29" s="57"/>
      <c r="C29" s="39"/>
      <c r="D29" s="20" t="s">
        <v>16</v>
      </c>
      <c r="E29" s="21" t="n">
        <v>4942.0</v>
      </c>
      <c r="F29" s="22" t="n">
        <f>150</f>
        <v>150.0</v>
      </c>
      <c r="G29" s="21" t="n">
        <v>2.02621697E10</v>
      </c>
      <c r="H29" s="22" t="n">
        <f>615126450</f>
        <v>6.1512645E8</v>
      </c>
    </row>
    <row r="30" spans="1:8" ht="24.9" customHeight="1">
      <c r="A30" s="51"/>
      <c r="B30" s="57"/>
      <c r="C30" s="39"/>
      <c r="D30" s="20" t="s">
        <v>17</v>
      </c>
      <c r="E30" s="21" t="n">
        <v>5208.0</v>
      </c>
      <c r="F30" s="22" t="n">
        <f>252</f>
        <v>252.0</v>
      </c>
      <c r="G30" s="21" t="n">
        <v>2.143383235E10</v>
      </c>
      <c r="H30" s="22" t="n">
        <f>1036957350</f>
        <v>1.03695735E9</v>
      </c>
    </row>
    <row r="31" spans="1:8" ht="24.9" customHeight="1">
      <c r="A31" s="51"/>
      <c r="B31" s="57"/>
      <c r="C31" s="39"/>
      <c r="D31" s="24" t="s">
        <v>18</v>
      </c>
      <c r="E31" s="25" t="n">
        <v>13913.0</v>
      </c>
      <c r="F31" s="26" t="n">
        <f>607</f>
        <v>607.0</v>
      </c>
      <c r="G31" s="25" t="n">
        <v>5.712161195E10</v>
      </c>
      <c r="H31" s="26" t="n">
        <f>2492648950</f>
        <v>2.49264895E9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228.0</v>
      </c>
      <c r="F36" s="18" t="n">
        <f>0</f>
        <v>0.0</v>
      </c>
      <c r="G36" s="17" t="n">
        <v>8.43562E8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994.0</v>
      </c>
      <c r="F37" s="22" t="n">
        <f>1</f>
        <v>1.0</v>
      </c>
      <c r="G37" s="21" t="n">
        <v>3.6759825E9</v>
      </c>
      <c r="H37" s="22" t="n">
        <f>3698000</f>
        <v>3698000.0</v>
      </c>
    </row>
    <row r="38" spans="1:8" ht="24.9" customHeight="1">
      <c r="A38" s="51"/>
      <c r="B38" s="57"/>
      <c r="C38" s="39"/>
      <c r="D38" s="20" t="s">
        <v>17</v>
      </c>
      <c r="E38" s="21" t="n">
        <v>833.0</v>
      </c>
      <c r="F38" s="22" t="n">
        <f>4</f>
        <v>4.0</v>
      </c>
      <c r="G38" s="21" t="n">
        <v>3.09005051E9</v>
      </c>
      <c r="H38" s="22" t="n">
        <f>14851010</f>
        <v>1.485101E7</v>
      </c>
    </row>
    <row r="39" spans="1:8" ht="24.9" customHeight="1">
      <c r="A39" s="51"/>
      <c r="B39" s="57"/>
      <c r="C39" s="39"/>
      <c r="D39" s="24" t="s">
        <v>18</v>
      </c>
      <c r="E39" s="25" t="n">
        <v>2055.0</v>
      </c>
      <c r="F39" s="26" t="n">
        <f>5</f>
        <v>5.0</v>
      </c>
      <c r="G39" s="25" t="n">
        <v>7.60959501E9</v>
      </c>
      <c r="H39" s="26" t="n">
        <f>18549010</f>
        <v>1.854901E7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1.0</v>
      </c>
      <c r="F48" s="18" t="n">
        <f>1</f>
        <v>1.0</v>
      </c>
      <c r="G48" s="17" t="n">
        <v>1808000.0</v>
      </c>
      <c r="H48" s="18" t="n">
        <f>1808000</f>
        <v>1808000.0</v>
      </c>
    </row>
    <row r="49" spans="1:8" ht="24.9" customHeight="1">
      <c r="A49" s="51"/>
      <c r="B49" s="57"/>
      <c r="C49" s="39"/>
      <c r="D49" s="20" t="s">
        <v>16</v>
      </c>
      <c r="E49" s="21" t="n">
        <v>14.0</v>
      </c>
      <c r="F49" s="22" t="n">
        <f>0</f>
        <v>0.0</v>
      </c>
      <c r="G49" s="21" t="n">
        <v>2.53225E7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291.0</v>
      </c>
      <c r="F50" s="22" t="n">
        <f>23</f>
        <v>23.0</v>
      </c>
      <c r="G50" s="21" t="n">
        <v>5.2646568E8</v>
      </c>
      <c r="H50" s="22" t="n">
        <f>41575680</f>
        <v>4.157568E7</v>
      </c>
    </row>
    <row r="51" spans="1:8" ht="24.9" customHeight="1">
      <c r="A51" s="51"/>
      <c r="B51" s="57"/>
      <c r="C51" s="39"/>
      <c r="D51" s="24" t="s">
        <v>18</v>
      </c>
      <c r="E51" s="25" t="n">
        <v>306.0</v>
      </c>
      <c r="F51" s="26" t="n">
        <f>24</f>
        <v>24.0</v>
      </c>
      <c r="G51" s="25" t="n">
        <v>5.5359618E8</v>
      </c>
      <c r="H51" s="26" t="n">
        <f>43383680</f>
        <v>4.338368E7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449.0</v>
      </c>
      <c r="F56" s="18" t="n">
        <f>17</f>
        <v>17.0</v>
      </c>
      <c r="G56" s="17" t="n">
        <v>3.46553E8</v>
      </c>
      <c r="H56" s="18" t="n">
        <f>13129000</f>
        <v>1.3129E7</v>
      </c>
    </row>
    <row r="57" spans="1:8" ht="24.9" customHeight="1">
      <c r="A57" s="51"/>
      <c r="B57" s="57"/>
      <c r="C57" s="39"/>
      <c r="D57" s="20" t="s">
        <v>16</v>
      </c>
      <c r="E57" s="21" t="n">
        <v>490.0</v>
      </c>
      <c r="F57" s="22" t="n">
        <f>4</f>
        <v>4.0</v>
      </c>
      <c r="G57" s="21" t="n">
        <v>3.794971E8</v>
      </c>
      <c r="H57" s="22" t="n">
        <f>3103100</f>
        <v>3103100.0</v>
      </c>
    </row>
    <row r="58" spans="1:8" ht="24.9" customHeight="1">
      <c r="A58" s="51"/>
      <c r="B58" s="57"/>
      <c r="C58" s="39"/>
      <c r="D58" s="20" t="s">
        <v>17</v>
      </c>
      <c r="E58" s="21" t="n">
        <v>693.0</v>
      </c>
      <c r="F58" s="22" t="n">
        <f>40</f>
        <v>40.0</v>
      </c>
      <c r="G58" s="21" t="n">
        <v>5.3815496E8</v>
      </c>
      <c r="H58" s="22" t="n">
        <f>31224960</f>
        <v>3.122496E7</v>
      </c>
    </row>
    <row r="59" spans="1:8" ht="24.9" customHeight="1">
      <c r="A59" s="51"/>
      <c r="B59" s="57"/>
      <c r="C59" s="39"/>
      <c r="D59" s="24" t="s">
        <v>18</v>
      </c>
      <c r="E59" s="25" t="n">
        <v>1632.0</v>
      </c>
      <c r="F59" s="26" t="n">
        <f>61</f>
        <v>61.0</v>
      </c>
      <c r="G59" s="25" t="n">
        <v>1.26420506E9</v>
      </c>
      <c r="H59" s="26" t="n">
        <f>47457060</f>
        <v>4.745706E7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163.0</v>
      </c>
      <c r="F60" s="18" t="n">
        <f>2</f>
        <v>2.0</v>
      </c>
      <c r="G60" s="17" t="n">
        <v>8.7402259E8</v>
      </c>
      <c r="H60" s="18" t="n">
        <f>10728990</f>
        <v>1.072899E7</v>
      </c>
    </row>
    <row r="61" spans="1:8" ht="24.9" customHeight="1">
      <c r="A61" s="51"/>
      <c r="B61" s="57"/>
      <c r="C61" s="39"/>
      <c r="D61" s="20" t="s">
        <v>16</v>
      </c>
      <c r="E61" s="21" t="n">
        <v>9.0</v>
      </c>
      <c r="F61" s="22" t="n">
        <f>0</f>
        <v>0.0</v>
      </c>
      <c r="G61" s="21" t="n">
        <v>4.8263E7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28.0</v>
      </c>
      <c r="F62" s="22" t="n">
        <f>0</f>
        <v>0.0</v>
      </c>
      <c r="G62" s="21" t="n">
        <v>1.502358E8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200.0</v>
      </c>
      <c r="F63" s="26" t="n">
        <f>2</f>
        <v>2.0</v>
      </c>
      <c r="G63" s="25" t="n">
        <v>1.07252139E9</v>
      </c>
      <c r="H63" s="26" t="n">
        <f>10728990</f>
        <v>1.072899E7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300.0</v>
      </c>
      <c r="F74" s="22" t="n">
        <f>300</f>
        <v>300.0</v>
      </c>
      <c r="G74" s="21" t="n">
        <v>3.625E8</v>
      </c>
      <c r="H74" s="22" t="n">
        <f>362500000</f>
        <v>3.625E8</v>
      </c>
    </row>
    <row r="75" spans="1:8" ht="24.9" customHeight="1">
      <c r="A75" s="51"/>
      <c r="B75" s="57"/>
      <c r="C75" s="39"/>
      <c r="D75" s="24" t="s">
        <v>18</v>
      </c>
      <c r="E75" s="25" t="n">
        <v>300.0</v>
      </c>
      <c r="F75" s="26" t="n">
        <f>300</f>
        <v>300.0</v>
      </c>
      <c r="G75" s="25" t="n">
        <v>3.625E8</v>
      </c>
      <c r="H75" s="26" t="n">
        <f>362500000</f>
        <v>3.625E8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18.0</v>
      </c>
      <c r="F77" s="22" t="n">
        <f>0</f>
        <v>0.0</v>
      </c>
      <c r="G77" s="21" t="n">
        <v>6028500.0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668000.0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20.0</v>
      </c>
      <c r="F79" s="26" t="n">
        <f>0</f>
        <v>0.0</v>
      </c>
      <c r="G79" s="25" t="n">
        <v>6696500.0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222.0</v>
      </c>
      <c r="F92" s="18" t="n">
        <f>0</f>
        <v>0.0</v>
      </c>
      <c r="G92" s="17" t="n">
        <v>3.529953E8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130.0</v>
      </c>
      <c r="F93" s="22" t="n">
        <f>0</f>
        <v>0.0</v>
      </c>
      <c r="G93" s="21" t="n">
        <v>2.065868E8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2.0</v>
      </c>
      <c r="F94" s="22" t="n">
        <f>0</f>
        <v>0.0</v>
      </c>
      <c r="G94" s="21" t="n">
        <v>3174000.0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354.0</v>
      </c>
      <c r="F95" s="26" t="n">
        <f>0</f>
        <v>0.0</v>
      </c>
      <c r="G95" s="25" t="n">
        <v>5.627561E8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38.0</v>
      </c>
      <c r="F96" s="18" t="n">
        <f>0</f>
        <v>0.0</v>
      </c>
      <c r="G96" s="17" t="n">
        <v>9.0059E7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32.0</v>
      </c>
      <c r="F97" s="22" t="n">
        <f>0</f>
        <v>0.0</v>
      </c>
      <c r="G97" s="21" t="n">
        <v>7.57792E7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70.0</v>
      </c>
      <c r="F99" s="26" t="n">
        <f>0</f>
        <v>0.0</v>
      </c>
      <c r="G99" s="25" t="n">
        <v>1.658382E8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10.0</v>
      </c>
      <c r="F101" s="22" t="n">
        <f>0</f>
        <v>0.0</v>
      </c>
      <c r="G101" s="21" t="n">
        <v>1.8564E7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1.8564E7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10765.0</v>
      </c>
      <c r="F108" s="18" t="n">
        <f>121</f>
        <v>121.0</v>
      </c>
      <c r="G108" s="17" t="n">
        <v>1.36286014E12</v>
      </c>
      <c r="H108" s="18" t="n">
        <f>15306280000</f>
        <v>1.530628E10</v>
      </c>
    </row>
    <row r="109" spans="1:8" ht="24.9" customHeight="1">
      <c r="A109" s="51"/>
      <c r="B109" s="57"/>
      <c r="C109" s="39"/>
      <c r="D109" s="20" t="s">
        <v>16</v>
      </c>
      <c r="E109" s="21" t="n">
        <v>17998.0</v>
      </c>
      <c r="F109" s="22" t="n">
        <f>2826</f>
        <v>2826.0</v>
      </c>
      <c r="G109" s="21" t="n">
        <v>2.279385005E12</v>
      </c>
      <c r="H109" s="22" t="n">
        <f>357835755000</f>
        <v>3.57835755E11</v>
      </c>
    </row>
    <row r="110" spans="1:8" ht="24.9" customHeight="1">
      <c r="A110" s="51"/>
      <c r="B110" s="57"/>
      <c r="C110" s="39"/>
      <c r="D110" s="20" t="s">
        <v>17</v>
      </c>
      <c r="E110" s="21" t="n">
        <v>13668.0</v>
      </c>
      <c r="F110" s="22" t="n">
        <f>1689</f>
        <v>1689.0</v>
      </c>
      <c r="G110" s="21" t="n">
        <v>1.72955794E12</v>
      </c>
      <c r="H110" s="22" t="n">
        <f>213735440000</f>
        <v>2.1373544E11</v>
      </c>
    </row>
    <row r="111" spans="1:8" ht="24.9" customHeight="1">
      <c r="A111" s="51"/>
      <c r="B111" s="57"/>
      <c r="C111" s="39"/>
      <c r="D111" s="24" t="s">
        <v>18</v>
      </c>
      <c r="E111" s="25" t="n">
        <v>42431.0</v>
      </c>
      <c r="F111" s="26" t="n">
        <f>4636</f>
        <v>4636.0</v>
      </c>
      <c r="G111" s="25" t="n">
        <v>5.371803085E12</v>
      </c>
      <c r="H111" s="26" t="n">
        <f>586877475000</f>
        <v>5.86877475E11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1052.0</v>
      </c>
      <c r="F113" s="22" t="n">
        <f>0</f>
        <v>0.0</v>
      </c>
      <c r="G113" s="21" t="n">
        <v>1.3326624E10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1058.0</v>
      </c>
      <c r="F114" s="22" t="n">
        <f>0</f>
        <v>0.0</v>
      </c>
      <c r="G114" s="21" t="n">
        <v>1.3390665E10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2110.0</v>
      </c>
      <c r="F115" s="26" t="n">
        <f>0</f>
        <v>0.0</v>
      </c>
      <c r="G115" s="25" t="n">
        <v>2.6717289E10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210.0</v>
      </c>
      <c r="F118" s="22" t="n">
        <f>0</f>
        <v>0.0</v>
      </c>
      <c r="G118" s="21" t="n">
        <v>1.8884E9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210.0</v>
      </c>
      <c r="F119" s="26" t="n">
        <f>0</f>
        <v>0.0</v>
      </c>
      <c r="G119" s="25" t="n">
        <v>1.8884E9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182.0</v>
      </c>
      <c r="F120" s="18" t="n">
        <f>0</f>
        <v>0.0</v>
      </c>
      <c r="G120" s="17" t="n">
        <v>4.481626875E9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6295.0</v>
      </c>
      <c r="F121" s="22" t="n">
        <f>0</f>
        <v>0.0</v>
      </c>
      <c r="G121" s="21" t="n">
        <v>1.547851975E11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2444.0</v>
      </c>
      <c r="F122" s="22" t="n">
        <f>0</f>
        <v>0.0</v>
      </c>
      <c r="G122" s="21" t="n">
        <v>6.0334653125E10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8921.0</v>
      </c>
      <c r="F123" s="26" t="n">
        <f>0</f>
        <v>0.0</v>
      </c>
      <c r="G123" s="25" t="n">
        <v>2.196014775E11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6319.0</v>
      </c>
      <c r="F124" s="18" t="n">
        <f>0</f>
        <v>0.0</v>
      </c>
      <c r="G124" s="17" t="n">
        <v>1.53819705E11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3124.0</v>
      </c>
      <c r="F125" s="22" t="n">
        <f>0</f>
        <v>0.0</v>
      </c>
      <c r="G125" s="21" t="n">
        <v>7.612126E10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2426.0</v>
      </c>
      <c r="F126" s="22" t="n">
        <f>0</f>
        <v>0.0</v>
      </c>
      <c r="G126" s="21" t="n">
        <v>5.9044811E10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11869.0</v>
      </c>
      <c r="F127" s="26" t="n">
        <f>0</f>
        <v>0.0</v>
      </c>
      <c r="G127" s="25" t="n">
        <v>2.88985776E11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260.0</v>
      </c>
      <c r="F128" s="18" t="n">
        <f>0</f>
        <v>0.0</v>
      </c>
      <c r="G128" s="17" t="n">
        <v>6.283315E8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508.0</v>
      </c>
      <c r="F129" s="22" t="n">
        <f>0</f>
        <v>0.0</v>
      </c>
      <c r="G129" s="21" t="n">
        <v>1.2296724E9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264.0</v>
      </c>
      <c r="F130" s="22" t="n">
        <f>0</f>
        <v>0.0</v>
      </c>
      <c r="G130" s="21" t="n">
        <v>6.373295E8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1032.0</v>
      </c>
      <c r="F131" s="26" t="n">
        <f>0</f>
        <v>0.0</v>
      </c>
      <c r="G131" s="25" t="n">
        <v>2.4953334E9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10745.0</v>
      </c>
      <c r="F132" s="18" t="n">
        <f>0</f>
        <v>0.0</v>
      </c>
      <c r="G132" s="17" t="n">
        <v>2.6250543E10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3276.0</v>
      </c>
      <c r="F133" s="22" t="n">
        <f>0</f>
        <v>0.0</v>
      </c>
      <c r="G133" s="21" t="n">
        <v>8.0145838E9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3781.0</v>
      </c>
      <c r="F134" s="22" t="n">
        <f>0</f>
        <v>0.0</v>
      </c>
      <c r="G134" s="21" t="n">
        <v>9.2359212E9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17802.0</v>
      </c>
      <c r="F135" s="26" t="n">
        <f>0</f>
        <v>0.0</v>
      </c>
      <c r="G135" s="25" t="n">
        <v>4.3501048E10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110.0</v>
      </c>
      <c r="F136" s="18" t="n">
        <f>0</f>
        <v>0.0</v>
      </c>
      <c r="G136" s="17" t="n">
        <v>2.633939E8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65.0</v>
      </c>
      <c r="F137" s="22" t="n">
        <f>0</f>
        <v>0.0</v>
      </c>
      <c r="G137" s="21" t="n">
        <v>1.560769E8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123.0</v>
      </c>
      <c r="F138" s="22" t="n">
        <f>0</f>
        <v>0.0</v>
      </c>
      <c r="G138" s="21" t="n">
        <v>2.942593E8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298.0</v>
      </c>
      <c r="F139" s="26" t="n">
        <f>0</f>
        <v>0.0</v>
      </c>
      <c r="G139" s="25" t="n">
        <v>7.137301E8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872.0</v>
      </c>
      <c r="F144" s="18" t="n">
        <f>0</f>
        <v>0.0</v>
      </c>
      <c r="G144" s="17" t="n">
        <v>4.087792E9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993.0</v>
      </c>
      <c r="F145" s="22" t="n">
        <f>0</f>
        <v>0.0</v>
      </c>
      <c r="G145" s="21" t="n">
        <v>4.69293E9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991.0</v>
      </c>
      <c r="F146" s="22" t="n">
        <f>0</f>
        <v>0.0</v>
      </c>
      <c r="G146" s="21" t="n">
        <v>4.6950215E9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2856.0</v>
      </c>
      <c r="F147" s="26" t="n">
        <f>0</f>
        <v>0.0</v>
      </c>
      <c r="G147" s="25" t="n">
        <v>1.34757435E10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27.0</v>
      </c>
      <c r="F148" s="18" t="n">
        <f>0</f>
        <v>0.0</v>
      </c>
      <c r="G148" s="17" t="n">
        <v>2.57877E7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111.0</v>
      </c>
      <c r="F149" s="22" t="n">
        <f>0</f>
        <v>0.0</v>
      </c>
      <c r="G149" s="21" t="n">
        <v>1.065759E8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144.0</v>
      </c>
      <c r="F150" s="22" t="n">
        <f>0</f>
        <v>0.0</v>
      </c>
      <c r="G150" s="21" t="n">
        <v>1.389237E8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282.0</v>
      </c>
      <c r="F151" s="26" t="n">
        <f>0</f>
        <v>0.0</v>
      </c>
      <c r="G151" s="25" t="n">
        <v>2.712873E8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329.0</v>
      </c>
      <c r="F152" s="18" t="n">
        <f>0</f>
        <v>0.0</v>
      </c>
      <c r="G152" s="17" t="n">
        <v>3.0873855E8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159.0</v>
      </c>
      <c r="F153" s="22" t="n">
        <f>0</f>
        <v>0.0</v>
      </c>
      <c r="G153" s="21" t="n">
        <v>1.5001505E8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350.0</v>
      </c>
      <c r="F154" s="22" t="n">
        <f>0</f>
        <v>0.0</v>
      </c>
      <c r="G154" s="21" t="n">
        <v>3.3107525E8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838.0</v>
      </c>
      <c r="F155" s="26" t="n">
        <f>0</f>
        <v>0.0</v>
      </c>
      <c r="G155" s="25" t="n">
        <v>7.8982885E8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27.0</v>
      </c>
      <c r="F156" s="18" t="n">
        <f>0</f>
        <v>0.0</v>
      </c>
      <c r="G156" s="17" t="n">
        <v>2.5353E7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99.0</v>
      </c>
      <c r="F157" s="22" t="n">
        <f>0</f>
        <v>0.0</v>
      </c>
      <c r="G157" s="21" t="n">
        <v>9.3158E7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193.0</v>
      </c>
      <c r="F158" s="22" t="n">
        <f>0</f>
        <v>0.0</v>
      </c>
      <c r="G158" s="21" t="n">
        <v>1.82177E8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319.0</v>
      </c>
      <c r="F159" s="26" t="n">
        <f>0</f>
        <v>0.0</v>
      </c>
      <c r="G159" s="25" t="n">
        <v>3.00688E8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51.0</v>
      </c>
      <c r="F168" s="18" t="n">
        <f>0</f>
        <v>0.0</v>
      </c>
      <c r="G168" s="17" t="n">
        <v>1.119635E8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156.0</v>
      </c>
      <c r="F169" s="22" t="n">
        <f>0</f>
        <v>0.0</v>
      </c>
      <c r="G169" s="21" t="n">
        <v>3.37833E8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254.0</v>
      </c>
      <c r="F170" s="22" t="n">
        <f>0</f>
        <v>0.0</v>
      </c>
      <c r="G170" s="21" t="n">
        <v>5.53618E8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461.0</v>
      </c>
      <c r="F171" s="26" t="n">
        <f>0</f>
        <v>0.0</v>
      </c>
      <c r="G171" s="25" t="n">
        <v>1.0034145E9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40.0</v>
      </c>
      <c r="F178" s="22" t="n">
        <f>0</f>
        <v>0.0</v>
      </c>
      <c r="G178" s="21" t="n">
        <v>7.46E7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40.0</v>
      </c>
      <c r="F179" s="26" t="n">
        <f>0</f>
        <v>0.0</v>
      </c>
      <c r="G179" s="25" t="n">
        <v>7.46E7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367.0</v>
      </c>
      <c r="F204" s="18" t="n">
        <f>0</f>
        <v>0.0</v>
      </c>
      <c r="G204" s="17" t="n">
        <v>1.418877E9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323.0</v>
      </c>
      <c r="F205" s="22" t="n">
        <f>2</f>
        <v>2.0</v>
      </c>
      <c r="G205" s="21" t="n">
        <v>1.224236E9</v>
      </c>
      <c r="H205" s="22" t="n">
        <f>7530000</f>
        <v>7530000.0</v>
      </c>
    </row>
    <row r="206" spans="1:8" ht="24.9" customHeight="1">
      <c r="A206" s="57"/>
      <c r="B206" s="59"/>
      <c r="C206" s="39"/>
      <c r="D206" s="20" t="s">
        <v>17</v>
      </c>
      <c r="E206" s="21" t="n">
        <v>1743.0</v>
      </c>
      <c r="F206" s="22" t="n">
        <f>0</f>
        <v>0.0</v>
      </c>
      <c r="G206" s="21" t="n">
        <v>6.49996E9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2433.0</v>
      </c>
      <c r="F207" s="26" t="n">
        <f>2</f>
        <v>2.0</v>
      </c>
      <c r="G207" s="25" t="n">
        <v>9.143073E9</v>
      </c>
      <c r="H207" s="26" t="n">
        <f>7530000</f>
        <v>7530000.0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42.0</v>
      </c>
      <c r="F208" s="18" t="n">
        <f>42</f>
        <v>42.0</v>
      </c>
      <c r="G208" s="17" t="n">
        <v>6.51648E7</v>
      </c>
      <c r="H208" s="18" t="n">
        <f>65164800</f>
        <v>6.51648E7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108.0</v>
      </c>
      <c r="F210" s="22" t="n">
        <f>108</f>
        <v>108.0</v>
      </c>
      <c r="G210" s="21" t="n">
        <v>1.778328E8</v>
      </c>
      <c r="H210" s="22" t="n">
        <f>177832800</f>
        <v>1.778328E8</v>
      </c>
    </row>
    <row r="211" spans="1:8" ht="24.9" customHeight="1">
      <c r="A211" s="57"/>
      <c r="B211" s="59"/>
      <c r="C211" s="39"/>
      <c r="D211" s="24" t="s">
        <v>18</v>
      </c>
      <c r="E211" s="25" t="n">
        <v>150.0</v>
      </c>
      <c r="F211" s="26" t="n">
        <f>150</f>
        <v>150.0</v>
      </c>
      <c r="G211" s="25" t="n">
        <v>2.429976E8</v>
      </c>
      <c r="H211" s="26" t="n">
        <f>242997600</f>
        <v>2.429976E8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2.0</v>
      </c>
      <c r="F214" s="22" t="n">
        <f>2</f>
        <v>2.0</v>
      </c>
      <c r="G214" s="21" t="n">
        <v>2664000.0</v>
      </c>
      <c r="H214" s="22" t="n">
        <f>2664000</f>
        <v>2664000.0</v>
      </c>
    </row>
    <row r="215" spans="1:8" ht="24.9" customHeight="1">
      <c r="A215" s="57"/>
      <c r="B215" s="59"/>
      <c r="C215" s="39"/>
      <c r="D215" s="24" t="s">
        <v>18</v>
      </c>
      <c r="E215" s="25" t="n">
        <v>2.0</v>
      </c>
      <c r="F215" s="26" t="n">
        <f>2</f>
        <v>2.0</v>
      </c>
      <c r="G215" s="25" t="n">
        <v>2664000.0</v>
      </c>
      <c r="H215" s="26" t="n">
        <f>2664000</f>
        <v>2664000.0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15.0</v>
      </c>
      <c r="F222" s="22" t="n">
        <f>15</f>
        <v>15.0</v>
      </c>
      <c r="G222" s="21" t="n">
        <v>8495520.0</v>
      </c>
      <c r="H222" s="22" t="n">
        <f>8495520</f>
        <v>8495520.0</v>
      </c>
    </row>
    <row r="223" spans="1:8" ht="24.9" customHeight="1">
      <c r="A223" s="57"/>
      <c r="B223" s="59"/>
      <c r="C223" s="39"/>
      <c r="D223" s="24" t="s">
        <v>18</v>
      </c>
      <c r="E223" s="25" t="n">
        <v>15.0</v>
      </c>
      <c r="F223" s="26" t="n">
        <f>15</f>
        <v>15.0</v>
      </c>
      <c r="G223" s="25" t="n">
        <v>8495520.0</v>
      </c>
      <c r="H223" s="26" t="n">
        <f>8495520</f>
        <v>8495520.0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50.0</v>
      </c>
      <c r="F234" s="22" t="n">
        <f>0</f>
        <v>0.0</v>
      </c>
      <c r="G234" s="21" t="n">
        <v>1.9656E7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50.0</v>
      </c>
      <c r="F235" s="26" t="n">
        <f>0</f>
        <v>0.0</v>
      </c>
      <c r="G235" s="25" t="n">
        <v>1.9656E7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1894</f>
        <v>1894.0</v>
      </c>
      <c r="E12" s="35" t="n">
        <f>778</f>
        <v>778.0</v>
      </c>
      <c r="F12" s="17" t="n">
        <f>1494</f>
        <v>1494.0</v>
      </c>
      <c r="G12" s="35" t="n">
        <f>436</f>
        <v>436.0</v>
      </c>
      <c r="H12" s="17" t="n">
        <f>3388</f>
        <v>3388.0</v>
      </c>
      <c r="I12" s="35" t="n">
        <f>1214</f>
        <v>1214.0</v>
      </c>
      <c r="J12" s="17" t="n">
        <f>2120670810</f>
        <v>2.12067081E9</v>
      </c>
      <c r="K12" s="35" t="n">
        <f>1893408810</f>
        <v>1.89340881E9</v>
      </c>
      <c r="L12" s="17" t="n">
        <f>1148446490</f>
        <v>1.14844649E9</v>
      </c>
      <c r="M12" s="35" t="n">
        <f>820772490</f>
        <v>8.2077249E8</v>
      </c>
      <c r="N12" s="17" t="n">
        <f>3269117300</f>
        <v>3.2691173E9</v>
      </c>
      <c r="O12" s="35" t="n">
        <f>2714181300</f>
        <v>2.7141813E9</v>
      </c>
    </row>
    <row r="13" spans="1:15" ht="24.9" customHeight="1">
      <c r="A13" s="38"/>
      <c r="B13" s="62"/>
      <c r="C13" s="20" t="s">
        <v>16</v>
      </c>
      <c r="D13" s="21" t="n">
        <f>4290</f>
        <v>4290.0</v>
      </c>
      <c r="E13" s="36" t="n">
        <f>2304</f>
        <v>2304.0</v>
      </c>
      <c r="F13" s="21" t="n">
        <f>2050</f>
        <v>2050.0</v>
      </c>
      <c r="G13" s="36" t="n">
        <f>393</f>
        <v>393.0</v>
      </c>
      <c r="H13" s="21" t="n">
        <f>6340</f>
        <v>6340.0</v>
      </c>
      <c r="I13" s="36" t="n">
        <f>2697</f>
        <v>2697.0</v>
      </c>
      <c r="J13" s="21" t="n">
        <f>1898283940</f>
        <v>1.89828394E9</v>
      </c>
      <c r="K13" s="36" t="n">
        <f>690494940</f>
        <v>6.9049494E8</v>
      </c>
      <c r="L13" s="21" t="n">
        <f>397337010</f>
        <v>3.9733701E8</v>
      </c>
      <c r="M13" s="36" t="n">
        <f>71102010</f>
        <v>7.110201E7</v>
      </c>
      <c r="N13" s="21" t="n">
        <f>2295620950</f>
        <v>2.29562095E9</v>
      </c>
      <c r="O13" s="36" t="n">
        <f>761596950</f>
        <v>7.6159695E8</v>
      </c>
    </row>
    <row r="14" spans="1:15" ht="24.9" customHeight="1">
      <c r="A14" s="38"/>
      <c r="B14" s="62"/>
      <c r="C14" s="20" t="s">
        <v>17</v>
      </c>
      <c r="D14" s="21" t="n">
        <f>15443</f>
        <v>15443.0</v>
      </c>
      <c r="E14" s="36" t="n">
        <f>11434</f>
        <v>11434.0</v>
      </c>
      <c r="F14" s="21" t="n">
        <f>9117</f>
        <v>9117.0</v>
      </c>
      <c r="G14" s="36" t="n">
        <f>6030</f>
        <v>6030.0</v>
      </c>
      <c r="H14" s="21" t="n">
        <f>24560</f>
        <v>24560.0</v>
      </c>
      <c r="I14" s="36" t="n">
        <f>17464</f>
        <v>17464.0</v>
      </c>
      <c r="J14" s="21" t="n">
        <f>18122911320</f>
        <v>1.812291132E10</v>
      </c>
      <c r="K14" s="36" t="n">
        <f>17112635320</f>
        <v>1.711263532E10</v>
      </c>
      <c r="L14" s="21" t="n">
        <f>7023439850</f>
        <v>7.02343985E9</v>
      </c>
      <c r="M14" s="36" t="n">
        <f>6309280850</f>
        <v>6.30928085E9</v>
      </c>
      <c r="N14" s="21" t="n">
        <f>25146351170</f>
        <v>2.514635117E10</v>
      </c>
      <c r="O14" s="36" t="n">
        <f>23421916170</f>
        <v>2.342191617E10</v>
      </c>
    </row>
    <row r="15" spans="1:15" ht="24.9" customHeight="1">
      <c r="A15" s="38"/>
      <c r="B15" s="62"/>
      <c r="C15" s="24" t="s">
        <v>18</v>
      </c>
      <c r="D15" s="25" t="n">
        <f>21627</f>
        <v>21627.0</v>
      </c>
      <c r="E15" s="37" t="n">
        <f>14516</f>
        <v>14516.0</v>
      </c>
      <c r="F15" s="25" t="n">
        <f>12661</f>
        <v>12661.0</v>
      </c>
      <c r="G15" s="37" t="n">
        <f>6859</f>
        <v>6859.0</v>
      </c>
      <c r="H15" s="25" t="n">
        <f>34288</f>
        <v>34288.0</v>
      </c>
      <c r="I15" s="37" t="n">
        <f>21375</f>
        <v>21375.0</v>
      </c>
      <c r="J15" s="25" t="n">
        <f>22141866070</f>
        <v>2.214186607E10</v>
      </c>
      <c r="K15" s="37" t="n">
        <f>19696539070</f>
        <v>1.969653907E10</v>
      </c>
      <c r="L15" s="25" t="n">
        <f>8569223350</f>
        <v>8.56922335E9</v>
      </c>
      <c r="M15" s="37" t="n">
        <f>7201155350</f>
        <v>7.20115535E9</v>
      </c>
      <c r="N15" s="25" t="n">
        <f>30711089420</f>
        <v>3.071108942E10</v>
      </c>
      <c r="O15" s="37" t="n">
        <f>26897694420</f>
        <v>2.689769442E10</v>
      </c>
    </row>
    <row r="16" spans="1:15" ht="24.9" customHeight="1">
      <c r="A16" s="38"/>
      <c r="B16" s="61" t="s">
        <v>105</v>
      </c>
      <c r="C16" s="16" t="s">
        <v>15</v>
      </c>
      <c r="D16" s="17" t="n">
        <f>7048</f>
        <v>7048.0</v>
      </c>
      <c r="E16" s="35" t="n">
        <f>530</f>
        <v>530.0</v>
      </c>
      <c r="F16" s="17" t="n">
        <f>5397</f>
        <v>5397.0</v>
      </c>
      <c r="G16" s="35" t="n">
        <f>430</f>
        <v>430.0</v>
      </c>
      <c r="H16" s="17" t="n">
        <f>12445</f>
        <v>12445.0</v>
      </c>
      <c r="I16" s="35" t="n">
        <f>960</f>
        <v>960.0</v>
      </c>
      <c r="J16" s="17" t="n">
        <f>180429670</f>
        <v>1.8042967E8</v>
      </c>
      <c r="K16" s="35" t="n">
        <f>4285470</f>
        <v>4285470.0</v>
      </c>
      <c r="L16" s="17" t="n">
        <f>200222100</f>
        <v>2.002221E8</v>
      </c>
      <c r="M16" s="35" t="n">
        <f>1804000</f>
        <v>1804000.0</v>
      </c>
      <c r="N16" s="17" t="n">
        <f>380651770</f>
        <v>3.8065177E8</v>
      </c>
      <c r="O16" s="35" t="n">
        <f>6089470</f>
        <v>6089470.0</v>
      </c>
    </row>
    <row r="17" spans="1:15" ht="24.9" customHeight="1">
      <c r="A17" s="38"/>
      <c r="B17" s="62"/>
      <c r="C17" s="20" t="s">
        <v>16</v>
      </c>
      <c r="D17" s="21" t="n">
        <f>5674</f>
        <v>5674.0</v>
      </c>
      <c r="E17" s="36" t="n">
        <f>100</f>
        <v>100.0</v>
      </c>
      <c r="F17" s="21" t="n">
        <f>5476</f>
        <v>5476.0</v>
      </c>
      <c r="G17" s="36" t="n">
        <f>180</f>
        <v>180.0</v>
      </c>
      <c r="H17" s="21" t="n">
        <f>11150</f>
        <v>11150.0</v>
      </c>
      <c r="I17" s="36" t="n">
        <f>280</f>
        <v>280.0</v>
      </c>
      <c r="J17" s="21" t="n">
        <f>105917220</f>
        <v>1.0591722E8</v>
      </c>
      <c r="K17" s="36" t="n">
        <f>617020</f>
        <v>617020.0</v>
      </c>
      <c r="L17" s="21" t="n">
        <f>174698410</f>
        <v>1.7469841E8</v>
      </c>
      <c r="M17" s="36" t="n">
        <f>979010</f>
        <v>979010.0</v>
      </c>
      <c r="N17" s="21" t="n">
        <f>280615630</f>
        <v>2.8061563E8</v>
      </c>
      <c r="O17" s="36" t="n">
        <f>1596030</f>
        <v>1596030.0</v>
      </c>
    </row>
    <row r="18" spans="1:15" ht="24.9" customHeight="1">
      <c r="A18" s="38"/>
      <c r="B18" s="62"/>
      <c r="C18" s="20" t="s">
        <v>17</v>
      </c>
      <c r="D18" s="21" t="n">
        <f>10925</f>
        <v>10925.0</v>
      </c>
      <c r="E18" s="36" t="n">
        <f>940</f>
        <v>940.0</v>
      </c>
      <c r="F18" s="21" t="n">
        <f>8169</f>
        <v>8169.0</v>
      </c>
      <c r="G18" s="36" t="n">
        <f>780</f>
        <v>780.0</v>
      </c>
      <c r="H18" s="21" t="n">
        <f>19094</f>
        <v>19094.0</v>
      </c>
      <c r="I18" s="36" t="n">
        <f>1720</f>
        <v>1720.0</v>
      </c>
      <c r="J18" s="21" t="n">
        <f>249354410</f>
        <v>2.4935441E8</v>
      </c>
      <c r="K18" s="36" t="n">
        <f>10261510</f>
        <v>1.026151E7</v>
      </c>
      <c r="L18" s="21" t="n">
        <f>177241840</f>
        <v>1.7724184E8</v>
      </c>
      <c r="M18" s="36" t="n">
        <f>9989040</f>
        <v>9989040.0</v>
      </c>
      <c r="N18" s="21" t="n">
        <f>426596250</f>
        <v>4.2659625E8</v>
      </c>
      <c r="O18" s="36" t="n">
        <f>20250550</f>
        <v>2.025055E7</v>
      </c>
    </row>
    <row r="19" spans="1:15" ht="24.9" customHeight="1">
      <c r="A19" s="38"/>
      <c r="B19" s="62"/>
      <c r="C19" s="24" t="s">
        <v>18</v>
      </c>
      <c r="D19" s="25" t="n">
        <f>23647</f>
        <v>23647.0</v>
      </c>
      <c r="E19" s="37" t="n">
        <f>1570</f>
        <v>1570.0</v>
      </c>
      <c r="F19" s="25" t="n">
        <f>19042</f>
        <v>19042.0</v>
      </c>
      <c r="G19" s="37" t="n">
        <f>1390</f>
        <v>1390.0</v>
      </c>
      <c r="H19" s="25" t="n">
        <f>42689</f>
        <v>42689.0</v>
      </c>
      <c r="I19" s="37" t="n">
        <f>2960</f>
        <v>2960.0</v>
      </c>
      <c r="J19" s="25" t="n">
        <f>535701300</f>
        <v>5.357013E8</v>
      </c>
      <c r="K19" s="37" t="n">
        <f>15164000</f>
        <v>1.5164E7</v>
      </c>
      <c r="L19" s="25" t="n">
        <f>552162350</f>
        <v>5.5216235E8</v>
      </c>
      <c r="M19" s="37" t="n">
        <f>12772050</f>
        <v>1.277205E7</v>
      </c>
      <c r="N19" s="25" t="n">
        <f>1087863650</f>
        <v>1.08786365E9</v>
      </c>
      <c r="O19" s="37" t="n">
        <f>27936050</f>
        <v>2.793605E7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200</f>
        <v>200.0</v>
      </c>
      <c r="E21" s="36" t="n">
        <f>200</f>
        <v>200.0</v>
      </c>
      <c r="F21" s="21" t="n">
        <f>0</f>
        <v>0.0</v>
      </c>
      <c r="G21" s="36" t="n">
        <f>0</f>
        <v>0.0</v>
      </c>
      <c r="H21" s="21" t="n">
        <f>200</f>
        <v>200.0</v>
      </c>
      <c r="I21" s="36" t="n">
        <f>200</f>
        <v>200.0</v>
      </c>
      <c r="J21" s="21" t="n">
        <f>336000000</f>
        <v>3.36E8</v>
      </c>
      <c r="K21" s="36" t="n">
        <f>336000000</f>
        <v>3.36E8</v>
      </c>
      <c r="L21" s="21" t="n">
        <f>0</f>
        <v>0.0</v>
      </c>
      <c r="M21" s="36" t="n">
        <f>0</f>
        <v>0.0</v>
      </c>
      <c r="N21" s="21" t="n">
        <f>336000000</f>
        <v>3.36E8</v>
      </c>
      <c r="O21" s="36" t="n">
        <f>336000000</f>
        <v>3.36E8</v>
      </c>
    </row>
    <row r="22" spans="1:15" ht="24.9" customHeight="1">
      <c r="A22" s="38"/>
      <c r="B22" s="62"/>
      <c r="C22" s="20" t="s">
        <v>17</v>
      </c>
      <c r="D22" s="21" t="n">
        <f>330</f>
        <v>330.0</v>
      </c>
      <c r="E22" s="36" t="n">
        <f>330</f>
        <v>330.0</v>
      </c>
      <c r="F22" s="21" t="n">
        <f>45</f>
        <v>45.0</v>
      </c>
      <c r="G22" s="36" t="n">
        <f>45</f>
        <v>45.0</v>
      </c>
      <c r="H22" s="21" t="n">
        <f>375</f>
        <v>375.0</v>
      </c>
      <c r="I22" s="36" t="n">
        <f>375</f>
        <v>375.0</v>
      </c>
      <c r="J22" s="21" t="n">
        <f>333792500</f>
        <v>3.337925E8</v>
      </c>
      <c r="K22" s="36" t="n">
        <f>333792500</f>
        <v>3.337925E8</v>
      </c>
      <c r="L22" s="21" t="n">
        <f>119880000</f>
        <v>1.1988E8</v>
      </c>
      <c r="M22" s="36" t="n">
        <f>119880000</f>
        <v>1.1988E8</v>
      </c>
      <c r="N22" s="21" t="n">
        <f>453672500</f>
        <v>4.536725E8</v>
      </c>
      <c r="O22" s="36" t="n">
        <f>453672500</f>
        <v>4.536725E8</v>
      </c>
    </row>
    <row r="23" spans="1:15" ht="24.9" customHeight="1">
      <c r="A23" s="38"/>
      <c r="B23" s="62"/>
      <c r="C23" s="24" t="s">
        <v>18</v>
      </c>
      <c r="D23" s="25" t="n">
        <f>530</f>
        <v>530.0</v>
      </c>
      <c r="E23" s="37" t="n">
        <f>530</f>
        <v>530.0</v>
      </c>
      <c r="F23" s="25" t="n">
        <f>45</f>
        <v>45.0</v>
      </c>
      <c r="G23" s="37" t="n">
        <f>45</f>
        <v>45.0</v>
      </c>
      <c r="H23" s="25" t="n">
        <f>575</f>
        <v>575.0</v>
      </c>
      <c r="I23" s="37" t="n">
        <f>575</f>
        <v>575.0</v>
      </c>
      <c r="J23" s="25" t="n">
        <f>669792500</f>
        <v>6.697925E8</v>
      </c>
      <c r="K23" s="37" t="n">
        <f>669792500</f>
        <v>6.697925E8</v>
      </c>
      <c r="L23" s="25" t="n">
        <f>119880000</f>
        <v>1.1988E8</v>
      </c>
      <c r="M23" s="37" t="n">
        <f>119880000</f>
        <v>1.1988E8</v>
      </c>
      <c r="N23" s="25" t="n">
        <f>789672500</f>
        <v>7.896725E8</v>
      </c>
      <c r="O23" s="37" t="n">
        <f>789672500</f>
        <v>7.896725E8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10</f>
        <v>10.0</v>
      </c>
      <c r="G36" s="18" t="n">
        <f>0</f>
        <v>0.0</v>
      </c>
      <c r="H36" s="17" t="n">
        <f>10</f>
        <v>10.0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700000</f>
        <v>700000.0</v>
      </c>
      <c r="M36" s="18" t="n">
        <f>0</f>
        <v>0.0</v>
      </c>
      <c r="N36" s="17" t="n">
        <f>700000</f>
        <v>700000.0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55</f>
        <v>55.0</v>
      </c>
      <c r="E37" s="22" t="n">
        <f>0</f>
        <v>0.0</v>
      </c>
      <c r="F37" s="21" t="n">
        <f>72</f>
        <v>72.0</v>
      </c>
      <c r="G37" s="22" t="n">
        <f>0</f>
        <v>0.0</v>
      </c>
      <c r="H37" s="21" t="n">
        <f>127</f>
        <v>127.0</v>
      </c>
      <c r="I37" s="22" t="n">
        <f>0</f>
        <v>0.0</v>
      </c>
      <c r="J37" s="21" t="n">
        <f>10650000</f>
        <v>1.065E7</v>
      </c>
      <c r="K37" s="22" t="n">
        <f>0</f>
        <v>0.0</v>
      </c>
      <c r="L37" s="21" t="n">
        <f>12120000</f>
        <v>1.212E7</v>
      </c>
      <c r="M37" s="22" t="n">
        <f>0</f>
        <v>0.0</v>
      </c>
      <c r="N37" s="21" t="n">
        <f>22770000</f>
        <v>2.277E7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15</f>
        <v>15.0</v>
      </c>
      <c r="E38" s="36" t="n">
        <f>0</f>
        <v>0.0</v>
      </c>
      <c r="F38" s="21" t="n">
        <f>80</f>
        <v>80.0</v>
      </c>
      <c r="G38" s="36" t="n">
        <f>50</f>
        <v>50.0</v>
      </c>
      <c r="H38" s="21" t="n">
        <f>95</f>
        <v>95.0</v>
      </c>
      <c r="I38" s="36" t="n">
        <f>50</f>
        <v>50.0</v>
      </c>
      <c r="J38" s="21" t="n">
        <f>1650000</f>
        <v>1650000.0</v>
      </c>
      <c r="K38" s="36" t="n">
        <f>0</f>
        <v>0.0</v>
      </c>
      <c r="L38" s="21" t="n">
        <f>5250000</f>
        <v>5250000.0</v>
      </c>
      <c r="M38" s="36" t="n">
        <f>1250000</f>
        <v>1250000.0</v>
      </c>
      <c r="N38" s="21" t="n">
        <f>6900000</f>
        <v>6900000.0</v>
      </c>
      <c r="O38" s="36" t="n">
        <f>1250000</f>
        <v>1250000.0</v>
      </c>
    </row>
    <row r="39" spans="1:15" ht="24.9" customHeight="1">
      <c r="A39" s="38"/>
      <c r="B39" s="62"/>
      <c r="C39" s="24" t="s">
        <v>18</v>
      </c>
      <c r="D39" s="25" t="n">
        <f>70</f>
        <v>70.0</v>
      </c>
      <c r="E39" s="37" t="n">
        <f>0</f>
        <v>0.0</v>
      </c>
      <c r="F39" s="25" t="n">
        <f>162</f>
        <v>162.0</v>
      </c>
      <c r="G39" s="37" t="n">
        <f>50</f>
        <v>50.0</v>
      </c>
      <c r="H39" s="25" t="n">
        <f>232</f>
        <v>232.0</v>
      </c>
      <c r="I39" s="37" t="n">
        <f>50</f>
        <v>50.0</v>
      </c>
      <c r="J39" s="25" t="n">
        <f>12300000</f>
        <v>1.23E7</v>
      </c>
      <c r="K39" s="37" t="n">
        <f>0</f>
        <v>0.0</v>
      </c>
      <c r="L39" s="25" t="n">
        <f>18070000</f>
        <v>1.807E7</v>
      </c>
      <c r="M39" s="37" t="n">
        <f>1250000</f>
        <v>1250000.0</v>
      </c>
      <c r="N39" s="25" t="n">
        <f>30370000</f>
        <v>3.037E7</v>
      </c>
      <c r="O39" s="37" t="n">
        <f>1250000</f>
        <v>1250000.0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1659</f>
        <v>1659.0</v>
      </c>
      <c r="E41" s="36" t="n">
        <f>150</f>
        <v>150.0</v>
      </c>
      <c r="F41" s="21" t="n">
        <f>2216</f>
        <v>2216.0</v>
      </c>
      <c r="G41" s="36" t="n">
        <f>0</f>
        <v>0.0</v>
      </c>
      <c r="H41" s="21" t="n">
        <f>3875</f>
        <v>3875.0</v>
      </c>
      <c r="I41" s="36" t="n">
        <f>150</f>
        <v>150.0</v>
      </c>
      <c r="J41" s="21" t="n">
        <f>33968310</f>
        <v>3.396831E7</v>
      </c>
      <c r="K41" s="36" t="n">
        <f>19200000</f>
        <v>1.92E7</v>
      </c>
      <c r="L41" s="21" t="n">
        <f>6105371</f>
        <v>6105371.0</v>
      </c>
      <c r="M41" s="36" t="n">
        <f>0</f>
        <v>0.0</v>
      </c>
      <c r="N41" s="21" t="n">
        <f>40073681</f>
        <v>4.0073681E7</v>
      </c>
      <c r="O41" s="36" t="n">
        <f>19200000</f>
        <v>1.92E7</v>
      </c>
    </row>
    <row r="42" spans="1:15" ht="24.9" customHeight="1">
      <c r="A42" s="38"/>
      <c r="B42" s="62"/>
      <c r="C42" s="20" t="s">
        <v>17</v>
      </c>
      <c r="D42" s="21" t="n">
        <f>473</f>
        <v>473.0</v>
      </c>
      <c r="E42" s="36" t="n">
        <f>0</f>
        <v>0.0</v>
      </c>
      <c r="F42" s="21" t="n">
        <f>736</f>
        <v>736.0</v>
      </c>
      <c r="G42" s="36" t="n">
        <f>0</f>
        <v>0.0</v>
      </c>
      <c r="H42" s="21" t="n">
        <f>1209</f>
        <v>1209.0</v>
      </c>
      <c r="I42" s="36" t="n">
        <f>0</f>
        <v>0.0</v>
      </c>
      <c r="J42" s="21" t="n">
        <f>67209085</f>
        <v>6.7209085E7</v>
      </c>
      <c r="K42" s="36" t="n">
        <f>0</f>
        <v>0.0</v>
      </c>
      <c r="L42" s="21" t="n">
        <f>14065610</f>
        <v>1.406561E7</v>
      </c>
      <c r="M42" s="36" t="n">
        <f>0</f>
        <v>0.0</v>
      </c>
      <c r="N42" s="21" t="n">
        <f>81274695</f>
        <v>8.1274695E7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2132</f>
        <v>2132.0</v>
      </c>
      <c r="E43" s="37" t="n">
        <f>150</f>
        <v>150.0</v>
      </c>
      <c r="F43" s="25" t="n">
        <f>2952</f>
        <v>2952.0</v>
      </c>
      <c r="G43" s="37" t="n">
        <f>0</f>
        <v>0.0</v>
      </c>
      <c r="H43" s="25" t="n">
        <f>5084</f>
        <v>5084.0</v>
      </c>
      <c r="I43" s="37" t="n">
        <f>150</f>
        <v>150.0</v>
      </c>
      <c r="J43" s="25" t="n">
        <f>101177395</f>
        <v>1.01177395E8</v>
      </c>
      <c r="K43" s="37" t="n">
        <f>19200000</f>
        <v>1.92E7</v>
      </c>
      <c r="L43" s="25" t="n">
        <f>20170981</f>
        <v>2.0170981E7</v>
      </c>
      <c r="M43" s="37" t="n">
        <f>0</f>
        <v>0.0</v>
      </c>
      <c r="N43" s="25" t="n">
        <f>121348376</f>
        <v>1.21348376E8</v>
      </c>
      <c r="O43" s="37" t="n">
        <f>19200000</f>
        <v>1.92E7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