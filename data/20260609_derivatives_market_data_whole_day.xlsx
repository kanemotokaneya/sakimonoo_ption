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<sst xmlns="http://schemas.openxmlformats.org/spreadsheetml/2006/main" count="528" uniqueCount="129">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</sst>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DATE(2026,06,09)</f>
        <v>46182.0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DATE(2026,06,09)</f>
        <v>46182.0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1385775.0</f>
        <v>1385775.0</v>
      </c>
      <c r="E12" s="18" t="n">
        <f>105458.0</f>
        <v>105458.0</v>
      </c>
      <c r="F12" s="19" t="n">
        <f>1.0</f>
        <v>1.0</v>
      </c>
      <c r="G12" s="17" t="n">
        <f>16659627707445.0</f>
        <v>1.6659627707445E13</v>
      </c>
      <c r="H12" s="18" t="n">
        <f>4401524537970.0</f>
        <v>4.40152453797E12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1039306.0</f>
        <v>1039306.0</v>
      </c>
      <c r="E13" s="22" t="n">
        <f>219541.0</f>
        <v>219541.0</v>
      </c>
      <c r="F13" s="23" t="n">
        <f>1.0</f>
        <v>1.0</v>
      </c>
      <c r="G13" s="21" t="n">
        <f>19968532634250.0</f>
        <v>1.996853263425E13</v>
      </c>
      <c r="H13" s="22" t="n">
        <f>6101808012200.0</f>
        <v>6.1018080122E12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1393667.0</f>
        <v>1393667.0</v>
      </c>
      <c r="E14" s="22" t="n">
        <f>471567.0</f>
        <v>471567.0</v>
      </c>
      <c r="F14" s="23" t="n">
        <f>1.0</f>
        <v>1.0</v>
      </c>
      <c r="G14" s="21" t="n">
        <f>38187819600323.0</f>
        <v>3.8187819600323E13</v>
      </c>
      <c r="H14" s="22" t="n">
        <f>18280425185798.0</f>
        <v>1.8280425185798E13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3818748.0</f>
        <v>3818748.0</v>
      </c>
      <c r="E15" s="26" t="n">
        <f>796566.0</f>
        <v>796566.0</v>
      </c>
      <c r="F15" s="27" t="n">
        <f>1.0</f>
        <v>1.0</v>
      </c>
      <c r="G15" s="25" t="n">
        <f>74815979942018.0</f>
        <v>7.4815979942018E13</v>
      </c>
      <c r="H15" s="26" t="n">
        <f>28783757735968.0</f>
        <v>2.8783757735968E13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45413.0</f>
        <v>45413.0</v>
      </c>
      <c r="E16" s="18" t="n">
        <f>20008.0</f>
        <v>20008.0</v>
      </c>
      <c r="F16" s="19" t="n">
        <f>0.033</f>
        <v>0.033</v>
      </c>
      <c r="G16" s="17" t="n">
        <f>5523843983125.0</f>
        <v>5.523843983125E12</v>
      </c>
      <c r="H16" s="18" t="n">
        <f>2319849805000.0</f>
        <v>2.319849805E12</v>
      </c>
      <c r="I16" s="19" t="n">
        <f>0.332</f>
        <v>0.332</v>
      </c>
    </row>
    <row r="17" spans="1:9" ht="24.9" customHeight="1">
      <c r="A17" s="41"/>
      <c r="B17" s="39"/>
      <c r="C17" s="20" t="s">
        <v>16</v>
      </c>
      <c r="D17" s="21" t="n">
        <f>34856.0</f>
        <v>34856.0</v>
      </c>
      <c r="E17" s="22" t="n">
        <f>12667.0</f>
        <v>12667.0</v>
      </c>
      <c r="F17" s="23" t="n">
        <f>0.034</f>
        <v>0.034</v>
      </c>
      <c r="G17" s="21" t="n">
        <f>4210624138500.0</f>
        <v>4.2106241385E12</v>
      </c>
      <c r="H17" s="22" t="n">
        <f>1619102215000.0</f>
        <v>1.619102215E12</v>
      </c>
      <c r="I17" s="23" t="n">
        <f>0.211</f>
        <v>0.211</v>
      </c>
    </row>
    <row r="18" spans="1:9" ht="24.9" customHeight="1">
      <c r="A18" s="41"/>
      <c r="B18" s="39"/>
      <c r="C18" s="20" t="s">
        <v>17</v>
      </c>
      <c r="D18" s="21" t="n">
        <f>71477.0</f>
        <v>71477.0</v>
      </c>
      <c r="E18" s="22" t="n">
        <f>31794.0</f>
        <v>31794.0</v>
      </c>
      <c r="F18" s="23" t="n">
        <f>0.051</f>
        <v>0.051</v>
      </c>
      <c r="G18" s="21" t="n">
        <f>8874377138025.0</f>
        <v>8.874377138025E12</v>
      </c>
      <c r="H18" s="22" t="n">
        <f>4071283152400.0</f>
        <v>4.0712831524E12</v>
      </c>
      <c r="I18" s="23" t="n">
        <f>0.232</f>
        <v>0.232</v>
      </c>
    </row>
    <row r="19" spans="1:9" ht="24.9" customHeight="1">
      <c r="A19" s="41"/>
      <c r="B19" s="39"/>
      <c r="C19" s="24" t="s">
        <v>18</v>
      </c>
      <c r="D19" s="25" t="n">
        <f>151746.0</f>
        <v>151746.0</v>
      </c>
      <c r="E19" s="26" t="n">
        <f>64469.0</f>
        <v>64469.0</v>
      </c>
      <c r="F19" s="27" t="n">
        <f>0.04</f>
        <v>0.04</v>
      </c>
      <c r="G19" s="25" t="n">
        <f>18608845259650.0</f>
        <v>1.860884525965E13</v>
      </c>
      <c r="H19" s="26" t="n">
        <f>8010235172400.0</f>
        <v>8.0102351724E12</v>
      </c>
      <c r="I19" s="27" t="n">
        <f>0.249</f>
        <v>0.249</v>
      </c>
    </row>
    <row r="20" spans="1:9" ht="24.9" customHeight="1">
      <c r="A20" s="41"/>
      <c r="B20" s="39" t="s">
        <v>21</v>
      </c>
      <c r="C20" s="16" t="s">
        <v>15</v>
      </c>
      <c r="D20" s="17" t="n">
        <f>1323096.0</f>
        <v>1323096.0</v>
      </c>
      <c r="E20" s="18" t="n">
        <f>85450.0</f>
        <v>85450.0</v>
      </c>
      <c r="F20" s="19" t="n">
        <f>0.955</f>
        <v>0.955</v>
      </c>
      <c r="G20" s="17" t="n">
        <f>10943961404870.0</f>
        <v>1.094396140487E13</v>
      </c>
      <c r="H20" s="18" t="n">
        <f>2081674732970.0</f>
        <v>2.08167473297E12</v>
      </c>
      <c r="I20" s="19" t="n">
        <f>0.657</f>
        <v>0.657</v>
      </c>
    </row>
    <row r="21" spans="1:9" ht="24.9" customHeight="1">
      <c r="A21" s="41"/>
      <c r="B21" s="39"/>
      <c r="C21" s="20" t="s">
        <v>16</v>
      </c>
      <c r="D21" s="21" t="n">
        <f>997297.0</f>
        <v>997297.0</v>
      </c>
      <c r="E21" s="22" t="n">
        <f>206869.0</f>
        <v>206869.0</v>
      </c>
      <c r="F21" s="23" t="n">
        <f>0.96</f>
        <v>0.96</v>
      </c>
      <c r="G21" s="21" t="n">
        <f>15686278012500.0</f>
        <v>1.56862780125E13</v>
      </c>
      <c r="H21" s="22" t="n">
        <f>4482695487200.0</f>
        <v>4.4826954872E12</v>
      </c>
      <c r="I21" s="23" t="n">
        <f>0.786</f>
        <v>0.786</v>
      </c>
    </row>
    <row r="22" spans="1:9" ht="24.9" customHeight="1">
      <c r="A22" s="41"/>
      <c r="B22" s="39"/>
      <c r="C22" s="20" t="s">
        <v>17</v>
      </c>
      <c r="D22" s="21" t="n">
        <f>1307217.0</f>
        <v>1307217.0</v>
      </c>
      <c r="E22" s="22" t="n">
        <f>439770.0</f>
        <v>439770.0</v>
      </c>
      <c r="F22" s="23" t="n">
        <f>0.938</f>
        <v>0.938</v>
      </c>
      <c r="G22" s="21" t="n">
        <f>29220984557698.0</f>
        <v>2.9220984557698E13</v>
      </c>
      <c r="H22" s="22" t="n">
        <f>14209129785898.0</f>
        <v>1.4209129785898E13</v>
      </c>
      <c r="I22" s="23" t="n">
        <f>0.765</f>
        <v>0.765</v>
      </c>
    </row>
    <row r="23" spans="1:9" ht="24.9" customHeight="1">
      <c r="A23" s="41"/>
      <c r="B23" s="39"/>
      <c r="C23" s="24" t="s">
        <v>18</v>
      </c>
      <c r="D23" s="25" t="n">
        <f>3627610.0</f>
        <v>3627610.0</v>
      </c>
      <c r="E23" s="26" t="n">
        <f>732089.0</f>
        <v>732089.0</v>
      </c>
      <c r="F23" s="27" t="n">
        <f>0.95</f>
        <v>0.95</v>
      </c>
      <c r="G23" s="25" t="n">
        <f>55851223975068.0</f>
        <v>5.5851223975068E13</v>
      </c>
      <c r="H23" s="26" t="n">
        <f>20773500006068.0</f>
        <v>2.0773500006068E13</v>
      </c>
      <c r="I23" s="27" t="n">
        <f>0.747</f>
        <v>0.747</v>
      </c>
    </row>
    <row r="24" spans="1:9" ht="24.9" customHeight="1">
      <c r="A24" s="41"/>
      <c r="B24" s="39" t="s">
        <v>22</v>
      </c>
      <c r="C24" s="16" t="s">
        <v>15</v>
      </c>
      <c r="D24" s="17" t="n">
        <f>16620.0</f>
        <v>16620.0</v>
      </c>
      <c r="E24" s="18" t="n">
        <f>0.0</f>
        <v>0.0</v>
      </c>
      <c r="F24" s="19" t="n">
        <f>0.012</f>
        <v>0.012</v>
      </c>
      <c r="G24" s="17" t="n">
        <f>189169089450.0</f>
        <v>1.8916908945E11</v>
      </c>
      <c r="H24" s="18" t="n">
        <f>0.0</f>
        <v>0.0</v>
      </c>
      <c r="I24" s="19" t="n">
        <f>0.011</f>
        <v>0.011</v>
      </c>
    </row>
    <row r="25" spans="1:9" ht="24.9" customHeight="1">
      <c r="A25" s="41"/>
      <c r="B25" s="39"/>
      <c r="C25" s="20" t="s">
        <v>16</v>
      </c>
      <c r="D25" s="21" t="n">
        <f>6787.0</f>
        <v>6787.0</v>
      </c>
      <c r="E25" s="22" t="n">
        <f>5.0</f>
        <v>5.0</v>
      </c>
      <c r="F25" s="23" t="n">
        <f>0.007</f>
        <v>0.007</v>
      </c>
      <c r="G25" s="21" t="n">
        <f>70123318750.0</f>
        <v>7.012331875E10</v>
      </c>
      <c r="H25" s="22" t="n">
        <f>10310000.0</f>
        <v>1.031E7</v>
      </c>
      <c r="I25" s="23" t="n">
        <f>0.004</f>
        <v>0.004</v>
      </c>
    </row>
    <row r="26" spans="1:9" ht="24.9" customHeight="1">
      <c r="A26" s="41"/>
      <c r="B26" s="39"/>
      <c r="C26" s="20" t="s">
        <v>17</v>
      </c>
      <c r="D26" s="21" t="n">
        <f>10195.0</f>
        <v>10195.0</v>
      </c>
      <c r="E26" s="22" t="n">
        <f>0.0</f>
        <v>0.0</v>
      </c>
      <c r="F26" s="23" t="n">
        <f>0.007</f>
        <v>0.007</v>
      </c>
      <c r="G26" s="21" t="n">
        <f>72964960600.0</f>
        <v>7.29649606E10</v>
      </c>
      <c r="H26" s="22" t="n">
        <f>0.0</f>
        <v>0.0</v>
      </c>
      <c r="I26" s="23" t="n">
        <f>0.002</f>
        <v>0.002</v>
      </c>
    </row>
    <row r="27" spans="1:9" ht="24.9" customHeight="1">
      <c r="A27" s="42"/>
      <c r="B27" s="39"/>
      <c r="C27" s="24" t="s">
        <v>18</v>
      </c>
      <c r="D27" s="25" t="n">
        <f>33602.0</f>
        <v>33602.0</v>
      </c>
      <c r="E27" s="26" t="n">
        <f>5.0</f>
        <v>5.0</v>
      </c>
      <c r="F27" s="27" t="n">
        <f>0.009</f>
        <v>0.009</v>
      </c>
      <c r="G27" s="25" t="n">
        <f>332257368800.0</f>
        <v>3.322573688E11</v>
      </c>
      <c r="H27" s="26" t="n">
        <f>10310000.0</f>
        <v>1.031E7</v>
      </c>
      <c r="I27" s="27" t="n">
        <f>0.004</f>
        <v>0.004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646.0</f>
        <v>646.0</v>
      </c>
      <c r="E28" s="18" t="n">
        <f>0.0</f>
        <v>0.0</v>
      </c>
      <c r="F28" s="19" t="n">
        <f>0.0</f>
        <v>0.0</v>
      </c>
      <c r="G28" s="17" t="n">
        <f>2653230000.0</f>
        <v>2.65323E9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366.0</f>
        <v>366.0</v>
      </c>
      <c r="E29" s="22" t="n">
        <f>0.0</f>
        <v>0.0</v>
      </c>
      <c r="F29" s="23" t="n">
        <f>0.0</f>
        <v>0.0</v>
      </c>
      <c r="G29" s="21" t="n">
        <f>1507164500.0</f>
        <v>1.5071645E9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4778.0</f>
        <v>4778.0</v>
      </c>
      <c r="E30" s="22" t="n">
        <f>3.0</f>
        <v>3.0</v>
      </c>
      <c r="F30" s="23" t="n">
        <f>0.003</f>
        <v>0.003</v>
      </c>
      <c r="G30" s="21" t="n">
        <f>19492944000.0</f>
        <v>1.9492944E10</v>
      </c>
      <c r="H30" s="22" t="n">
        <f>12247500.0</f>
        <v>1.22475E7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5790.0</f>
        <v>5790.0</v>
      </c>
      <c r="E31" s="26" t="n">
        <f>3.0</f>
        <v>3.0</v>
      </c>
      <c r="F31" s="27" t="n">
        <f>0.002</f>
        <v>0.002</v>
      </c>
      <c r="G31" s="25" t="n">
        <f>23653338500.0</f>
        <v>2.36533385E10</v>
      </c>
      <c r="H31" s="26" t="n">
        <f>12247500.0</f>
        <v>1.22475E7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46182.0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46182.0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32775</f>
        <v>32775.0</v>
      </c>
      <c r="E11" s="18" t="n">
        <f>5042</f>
        <v>5042.0</v>
      </c>
      <c r="F11" s="19" t="n">
        <f>1</f>
        <v>1.0</v>
      </c>
      <c r="G11" s="17" t="n">
        <f>4530271970</f>
        <v>4.53027197E9</v>
      </c>
      <c r="H11" s="18" t="n">
        <f>1521193170</f>
        <v>1.52119317E9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59007</f>
        <v>59007.0</v>
      </c>
      <c r="E12" s="22" t="n">
        <f>4624</f>
        <v>4624.0</v>
      </c>
      <c r="F12" s="23" t="n">
        <f>1</f>
        <v>1.0</v>
      </c>
      <c r="G12" s="21" t="n">
        <f>4850189100</f>
        <v>4.8501891E9</v>
      </c>
      <c r="H12" s="22" t="n">
        <f>2192619300</f>
        <v>2.1926193E9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43877</f>
        <v>43877.0</v>
      </c>
      <c r="E13" s="22" t="n">
        <f>20571</f>
        <v>20571.0</v>
      </c>
      <c r="F13" s="23" t="n">
        <f>1</f>
        <v>1.0</v>
      </c>
      <c r="G13" s="21" t="n">
        <f>28606445911</f>
        <v>2.8606445911E10</v>
      </c>
      <c r="H13" s="22" t="n">
        <f>25520066073</f>
        <v>2.5520066073E10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135659</f>
        <v>135659.0</v>
      </c>
      <c r="E14" s="26" t="n">
        <f>30237</f>
        <v>30237.0</v>
      </c>
      <c r="F14" s="27" t="n">
        <f>1</f>
        <v>1.0</v>
      </c>
      <c r="G14" s="25" t="n">
        <f>37986906981</f>
        <v>3.7986906981E10</v>
      </c>
      <c r="H14" s="26" t="n">
        <f>29233878543</f>
        <v>2.9233878543E10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</f>
        <v>2.0</v>
      </c>
      <c r="E16" s="22" t="n">
        <f>0</f>
        <v>0.0</v>
      </c>
      <c r="F16" s="23" t="n">
        <f>0</f>
        <v>0.0</v>
      </c>
      <c r="G16" s="21" t="n">
        <f>260000</f>
        <v>260000.0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237</f>
        <v>237.0</v>
      </c>
      <c r="E17" s="22" t="n">
        <f>100</f>
        <v>100.0</v>
      </c>
      <c r="F17" s="23" t="n">
        <f>0.005</f>
        <v>0.005</v>
      </c>
      <c r="G17" s="21" t="n">
        <f>44540000</f>
        <v>4.454E7</v>
      </c>
      <c r="H17" s="22" t="n">
        <f>18250000</f>
        <v>1.825E7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239</f>
        <v>239.0</v>
      </c>
      <c r="E18" s="26" t="n">
        <f>100</f>
        <v>100.0</v>
      </c>
      <c r="F18" s="27" t="n">
        <f>0.002</f>
        <v>0.002</v>
      </c>
      <c r="G18" s="25" t="n">
        <f>44800000</f>
        <v>4.48E7</v>
      </c>
      <c r="H18" s="26" t="n">
        <f>18250000</f>
        <v>1.825E7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32775</f>
        <v>32775.0</v>
      </c>
      <c r="E19" s="18" t="n">
        <f>5042</f>
        <v>5042.0</v>
      </c>
      <c r="F19" s="19" t="n">
        <f>1</f>
        <v>1.0</v>
      </c>
      <c r="G19" s="17" t="n">
        <f>4530271970</f>
        <v>4.53027197E9</v>
      </c>
      <c r="H19" s="18" t="n">
        <f>1521193170</f>
        <v>1.52119317E9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27958</f>
        <v>27958.0</v>
      </c>
      <c r="E20" s="22" t="n">
        <f>4124</f>
        <v>4124.0</v>
      </c>
      <c r="F20" s="23" t="n">
        <f>0.474</f>
        <v>0.474</v>
      </c>
      <c r="G20" s="21" t="n">
        <f>4792594000</f>
        <v>4.792594E9</v>
      </c>
      <c r="H20" s="22" t="n">
        <f>2187319300</f>
        <v>2.1873193E9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41197</f>
        <v>41197.0</v>
      </c>
      <c r="E21" s="22" t="n">
        <f>20251</f>
        <v>20251.0</v>
      </c>
      <c r="F21" s="23" t="n">
        <f>0.939</f>
        <v>0.939</v>
      </c>
      <c r="G21" s="21" t="n">
        <f>28337139473</f>
        <v>2.8337139473E10</v>
      </c>
      <c r="H21" s="22" t="n">
        <f>25421956073</f>
        <v>2.5421956073E10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101930</f>
        <v>101930.0</v>
      </c>
      <c r="E22" s="26" t="n">
        <f>29417</f>
        <v>29417.0</v>
      </c>
      <c r="F22" s="27" t="n">
        <f>0.751</f>
        <v>0.751</v>
      </c>
      <c r="G22" s="25" t="n">
        <f>37660005443</f>
        <v>3.7660005443E10</v>
      </c>
      <c r="H22" s="26" t="n">
        <f>29130468543</f>
        <v>2.9130468543E10</v>
      </c>
      <c r="I22" s="27" t="n">
        <f>0.991</f>
        <v>0.991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31047</f>
        <v>31047.0</v>
      </c>
      <c r="E24" s="22" t="n">
        <f>500</f>
        <v>500.0</v>
      </c>
      <c r="F24" s="23" t="n">
        <f>0.526</f>
        <v>0.526</v>
      </c>
      <c r="G24" s="21" t="n">
        <f>57335100</f>
        <v>5.73351E7</v>
      </c>
      <c r="H24" s="22" t="n">
        <f>5300000</f>
        <v>5300000.0</v>
      </c>
      <c r="I24" s="23" t="n">
        <f>0.012</f>
        <v>0.012</v>
      </c>
    </row>
    <row r="25" spans="1:9" ht="24.9" customHeight="1">
      <c r="A25" s="41"/>
      <c r="B25" s="39"/>
      <c r="C25" s="20" t="s">
        <v>17</v>
      </c>
      <c r="D25" s="21" t="n">
        <f>2443</f>
        <v>2443.0</v>
      </c>
      <c r="E25" s="22" t="n">
        <f>220</f>
        <v>220.0</v>
      </c>
      <c r="F25" s="23" t="n">
        <f>0.056</f>
        <v>0.056</v>
      </c>
      <c r="G25" s="21" t="n">
        <f>224766438</f>
        <v>2.24766438E8</v>
      </c>
      <c r="H25" s="22" t="n">
        <f>79860000</f>
        <v>7.986E7</v>
      </c>
      <c r="I25" s="23" t="n">
        <f>0.008</f>
        <v>0.008</v>
      </c>
    </row>
    <row r="26" spans="1:9" ht="24.9" customHeight="1">
      <c r="A26" s="41"/>
      <c r="B26" s="39"/>
      <c r="C26" s="24" t="s">
        <v>18</v>
      </c>
      <c r="D26" s="25" t="n">
        <f>33490</f>
        <v>33490.0</v>
      </c>
      <c r="E26" s="26" t="n">
        <f>720</f>
        <v>720.0</v>
      </c>
      <c r="F26" s="27" t="n">
        <f>0.247</f>
        <v>0.247</v>
      </c>
      <c r="G26" s="25" t="n">
        <f>282101538</f>
        <v>2.82101538E8</v>
      </c>
      <c r="H26" s="26" t="n">
        <f>85160000</f>
        <v>8.516E7</v>
      </c>
      <c r="I26" s="27" t="n">
        <f>0.007</f>
        <v>0.007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46182.0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46182.0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44847.0</v>
      </c>
      <c r="F12" s="18" t="n">
        <f>11192</f>
        <v>11192.0</v>
      </c>
      <c r="G12" s="17" t="n">
        <v>2.9098346781E12</v>
      </c>
      <c r="H12" s="18" t="n">
        <f>721330235100</f>
        <v>7.213302351E11</v>
      </c>
    </row>
    <row r="13" spans="1:8" ht="24.9" customHeight="1">
      <c r="A13" s="51"/>
      <c r="B13" s="57"/>
      <c r="C13" s="39"/>
      <c r="D13" s="20" t="s">
        <v>16</v>
      </c>
      <c r="E13" s="21" t="n">
        <v>76522.0</v>
      </c>
      <c r="F13" s="22" t="n">
        <f>22796</f>
        <v>22796.0</v>
      </c>
      <c r="G13" s="21" t="n">
        <v>4.9394251906E12</v>
      </c>
      <c r="H13" s="22" t="n">
        <f>1468495181600</f>
        <v>1.4684951816E12</v>
      </c>
    </row>
    <row r="14" spans="1:8" ht="24.9" customHeight="1">
      <c r="A14" s="51"/>
      <c r="B14" s="57"/>
      <c r="C14" s="39"/>
      <c r="D14" s="20" t="s">
        <v>17</v>
      </c>
      <c r="E14" s="21" t="n">
        <v>149507.0</v>
      </c>
      <c r="F14" s="22" t="n">
        <f>72630</f>
        <v>72630.0</v>
      </c>
      <c r="G14" s="21" t="n">
        <v>9.748165687754E12</v>
      </c>
      <c r="H14" s="22" t="n">
        <f>4736865840754</f>
        <v>4.736865840754E12</v>
      </c>
    </row>
    <row r="15" spans="1:8" ht="24.9" customHeight="1">
      <c r="A15" s="51"/>
      <c r="B15" s="57"/>
      <c r="C15" s="39"/>
      <c r="D15" s="24" t="s">
        <v>18</v>
      </c>
      <c r="E15" s="25" t="n">
        <v>270876.0</v>
      </c>
      <c r="F15" s="26" t="n">
        <f>106618</f>
        <v>106618.0</v>
      </c>
      <c r="G15" s="25" t="n">
        <v>1.7597425556454E13</v>
      </c>
      <c r="H15" s="26" t="n">
        <f>6926691257454</f>
        <v>6.926691257454E12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480602.0</v>
      </c>
      <c r="F16" s="18" t="n">
        <f>42974</f>
        <v>42974.0</v>
      </c>
      <c r="G16" s="17" t="n">
        <v>3.13204352863E12</v>
      </c>
      <c r="H16" s="18" t="n">
        <f>280132195930</f>
        <v>2.8013219593E11</v>
      </c>
    </row>
    <row r="17" spans="1:8" ht="24.9" customHeight="1">
      <c r="A17" s="51"/>
      <c r="B17" s="57"/>
      <c r="C17" s="39"/>
      <c r="D17" s="20" t="s">
        <v>16</v>
      </c>
      <c r="E17" s="21" t="n">
        <v>283559.0</v>
      </c>
      <c r="F17" s="22" t="n">
        <f>25614</f>
        <v>25614.0</v>
      </c>
      <c r="G17" s="21" t="n">
        <v>1.83093575664E12</v>
      </c>
      <c r="H17" s="22" t="n">
        <f>165377654840</f>
        <v>1.6537765484E11</v>
      </c>
    </row>
    <row r="18" spans="1:8" ht="24.9" customHeight="1">
      <c r="A18" s="51"/>
      <c r="B18" s="57"/>
      <c r="C18" s="39"/>
      <c r="D18" s="20" t="s">
        <v>17</v>
      </c>
      <c r="E18" s="21" t="n">
        <v>318809.0</v>
      </c>
      <c r="F18" s="22" t="n">
        <f>32344</f>
        <v>32344.0</v>
      </c>
      <c r="G18" s="21" t="n">
        <v>2.077524279267E12</v>
      </c>
      <c r="H18" s="22" t="n">
        <f>210461022667</f>
        <v>2.10461022667E11</v>
      </c>
    </row>
    <row r="19" spans="1:8" ht="24.9" customHeight="1">
      <c r="A19" s="51"/>
      <c r="B19" s="57"/>
      <c r="C19" s="39"/>
      <c r="D19" s="24" t="s">
        <v>18</v>
      </c>
      <c r="E19" s="25" t="n">
        <v>1082970.0</v>
      </c>
      <c r="F19" s="26" t="n">
        <f>100932</f>
        <v>100932.0</v>
      </c>
      <c r="G19" s="25" t="n">
        <v>7.040503564537E12</v>
      </c>
      <c r="H19" s="26" t="n">
        <f>655970873437</f>
        <v>6.55970873437E11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663225.0</v>
      </c>
      <c r="F20" s="18" t="str">
        <f>"－"</f>
        <v>－</v>
      </c>
      <c r="G20" s="17" t="n">
        <v>4.321099361E11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293848.0</v>
      </c>
      <c r="F21" s="22" t="str">
        <f>"－"</f>
        <v>－</v>
      </c>
      <c r="G21" s="21" t="n">
        <v>1.8970758875E11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247951.0</v>
      </c>
      <c r="F22" s="22" t="str">
        <f>"－"</f>
        <v>－</v>
      </c>
      <c r="G22" s="21" t="n">
        <v>1.614871138E11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1205024.0</v>
      </c>
      <c r="F23" s="26" t="str">
        <f>"－"</f>
        <v>－</v>
      </c>
      <c r="G23" s="25" t="n">
        <v>7.8330463865E11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113038.0</v>
      </c>
      <c r="F24" s="18" t="n">
        <f>27434</f>
        <v>27434.0</v>
      </c>
      <c r="G24" s="17" t="n">
        <v>4.38829504989E12</v>
      </c>
      <c r="H24" s="18" t="n">
        <f>1059143595890</f>
        <v>1.05914359589E12</v>
      </c>
    </row>
    <row r="25" spans="1:8" ht="24.9" customHeight="1">
      <c r="A25" s="51"/>
      <c r="B25" s="57"/>
      <c r="C25" s="39"/>
      <c r="D25" s="20" t="s">
        <v>16</v>
      </c>
      <c r="E25" s="21" t="n">
        <v>214886.0</v>
      </c>
      <c r="F25" s="22" t="n">
        <f>66505</f>
        <v>66505.0</v>
      </c>
      <c r="G25" s="21" t="n">
        <v>8.3430287972E12</v>
      </c>
      <c r="H25" s="22" t="n">
        <f>2579731246200</f>
        <v>2.5797312462E12</v>
      </c>
    </row>
    <row r="26" spans="1:8" ht="24.9" customHeight="1">
      <c r="A26" s="51"/>
      <c r="B26" s="57"/>
      <c r="C26" s="39"/>
      <c r="D26" s="20" t="s">
        <v>17</v>
      </c>
      <c r="E26" s="21" t="n">
        <v>429306.0</v>
      </c>
      <c r="F26" s="22" t="n">
        <f>228616</f>
        <v>228616.0</v>
      </c>
      <c r="G26" s="21" t="n">
        <v>1.6711003418013E13</v>
      </c>
      <c r="H26" s="22" t="n">
        <f>8904744013013</f>
        <v>8.904744013013E12</v>
      </c>
    </row>
    <row r="27" spans="1:8" ht="24.9" customHeight="1">
      <c r="A27" s="51"/>
      <c r="B27" s="57"/>
      <c r="C27" s="39"/>
      <c r="D27" s="24" t="s">
        <v>18</v>
      </c>
      <c r="E27" s="25" t="n">
        <v>757230.0</v>
      </c>
      <c r="F27" s="26" t="n">
        <f>322555</f>
        <v>322555.0</v>
      </c>
      <c r="G27" s="25" t="n">
        <v>2.9442327265103E13</v>
      </c>
      <c r="H27" s="26" t="n">
        <f>12543618855103</f>
        <v>1.2543618855103E13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14742.0</v>
      </c>
      <c r="F28" s="18" t="n">
        <f>1596</f>
        <v>1596.0</v>
      </c>
      <c r="G28" s="17" t="n">
        <v>5.727963855E10</v>
      </c>
      <c r="H28" s="18" t="n">
        <f>6184422250</f>
        <v>6.18442225E9</v>
      </c>
    </row>
    <row r="29" spans="1:8" ht="24.9" customHeight="1">
      <c r="A29" s="51"/>
      <c r="B29" s="57"/>
      <c r="C29" s="39"/>
      <c r="D29" s="20" t="s">
        <v>16</v>
      </c>
      <c r="E29" s="21" t="n">
        <v>16350.0</v>
      </c>
      <c r="F29" s="22" t="n">
        <f>4139</f>
        <v>4139.0</v>
      </c>
      <c r="G29" s="21" t="n">
        <v>6.3510688E10</v>
      </c>
      <c r="H29" s="22" t="n">
        <f>16110445150</f>
        <v>1.611044515E10</v>
      </c>
    </row>
    <row r="30" spans="1:8" ht="24.9" customHeight="1">
      <c r="A30" s="51"/>
      <c r="B30" s="57"/>
      <c r="C30" s="39"/>
      <c r="D30" s="20" t="s">
        <v>17</v>
      </c>
      <c r="E30" s="21" t="n">
        <v>40140.0</v>
      </c>
      <c r="F30" s="22" t="n">
        <f>20275</f>
        <v>20275.0</v>
      </c>
      <c r="G30" s="21" t="n">
        <v>1.56225005954E11</v>
      </c>
      <c r="H30" s="22" t="n">
        <f>78929304054</f>
        <v>7.8929304054E10</v>
      </c>
    </row>
    <row r="31" spans="1:8" ht="24.9" customHeight="1">
      <c r="A31" s="51"/>
      <c r="B31" s="57"/>
      <c r="C31" s="39"/>
      <c r="D31" s="24" t="s">
        <v>18</v>
      </c>
      <c r="E31" s="25" t="n">
        <v>71232.0</v>
      </c>
      <c r="F31" s="26" t="n">
        <f>26010</f>
        <v>26010.0</v>
      </c>
      <c r="G31" s="25" t="n">
        <v>2.77015332504E11</v>
      </c>
      <c r="H31" s="26" t="n">
        <f>101224171454</f>
        <v>1.01224171454E11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66.0</v>
      </c>
      <c r="F33" s="22" t="n">
        <f>66</f>
        <v>66.0</v>
      </c>
      <c r="G33" s="21" t="n">
        <v>1.068243E8</v>
      </c>
      <c r="H33" s="22" t="n">
        <f>106824300</f>
        <v>1.068243E8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66.0</v>
      </c>
      <c r="F35" s="26" t="n">
        <f>66</f>
        <v>66.0</v>
      </c>
      <c r="G35" s="25" t="n">
        <v>1.068243E8</v>
      </c>
      <c r="H35" s="26" t="n">
        <f>106824300</f>
        <v>1.068243E8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890.0</v>
      </c>
      <c r="F36" s="18" t="n">
        <f>1</f>
        <v>1.0</v>
      </c>
      <c r="G36" s="17" t="n">
        <v>3.1312158E9</v>
      </c>
      <c r="H36" s="18" t="n">
        <f>3536500</f>
        <v>3536500.0</v>
      </c>
    </row>
    <row r="37" spans="1:8" ht="24.9" customHeight="1">
      <c r="A37" s="51"/>
      <c r="B37" s="57"/>
      <c r="C37" s="39"/>
      <c r="D37" s="20" t="s">
        <v>16</v>
      </c>
      <c r="E37" s="21" t="n">
        <v>59552.0</v>
      </c>
      <c r="F37" s="22" t="n">
        <f>43030</f>
        <v>43030.0</v>
      </c>
      <c r="G37" s="21" t="n">
        <v>2.08369176E11</v>
      </c>
      <c r="H37" s="22" t="n">
        <f>150504542900</f>
        <v>1.505045429E11</v>
      </c>
    </row>
    <row r="38" spans="1:8" ht="24.9" customHeight="1">
      <c r="A38" s="51"/>
      <c r="B38" s="57"/>
      <c r="C38" s="39"/>
      <c r="D38" s="20" t="s">
        <v>17</v>
      </c>
      <c r="E38" s="21" t="n">
        <v>48105.0</v>
      </c>
      <c r="F38" s="22" t="n">
        <f>28806</f>
        <v>28806.0</v>
      </c>
      <c r="G38" s="21" t="n">
        <v>1.69166893172E11</v>
      </c>
      <c r="H38" s="22" t="n">
        <f>101239416772</f>
        <v>1.01239416772E11</v>
      </c>
    </row>
    <row r="39" spans="1:8" ht="24.9" customHeight="1">
      <c r="A39" s="51"/>
      <c r="B39" s="57"/>
      <c r="C39" s="39"/>
      <c r="D39" s="24" t="s">
        <v>18</v>
      </c>
      <c r="E39" s="25" t="n">
        <v>108547.0</v>
      </c>
      <c r="F39" s="26" t="n">
        <f>71837</f>
        <v>71837.0</v>
      </c>
      <c r="G39" s="25" t="n">
        <v>3.80667284972E11</v>
      </c>
      <c r="H39" s="26" t="n">
        <f>251747496172</f>
        <v>2.51747496172E11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684.0</v>
      </c>
      <c r="F41" s="22" t="n">
        <f>684</f>
        <v>684.0</v>
      </c>
      <c r="G41" s="21" t="n">
        <v>1.3586976E9</v>
      </c>
      <c r="H41" s="22" t="n">
        <f>1358697600</f>
        <v>1.3586976E9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684.0</v>
      </c>
      <c r="F43" s="26" t="n">
        <f>684</f>
        <v>684.0</v>
      </c>
      <c r="G43" s="25" t="n">
        <v>1.3586976E9</v>
      </c>
      <c r="H43" s="26" t="n">
        <f>1358697600</f>
        <v>1.3586976E9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2336.0</v>
      </c>
      <c r="F44" s="18" t="n">
        <f>2246</f>
        <v>2246.0</v>
      </c>
      <c r="G44" s="17" t="n">
        <v>1.54458674E10</v>
      </c>
      <c r="H44" s="18" t="n">
        <f>14852767400</f>
        <v>1.48527674E10</v>
      </c>
    </row>
    <row r="45" spans="1:8" ht="24.9" customHeight="1">
      <c r="A45" s="51"/>
      <c r="B45" s="57"/>
      <c r="C45" s="39"/>
      <c r="D45" s="20" t="s">
        <v>16</v>
      </c>
      <c r="E45" s="21" t="n">
        <v>6906.0</v>
      </c>
      <c r="F45" s="22" t="n">
        <f>6906</f>
        <v>6906.0</v>
      </c>
      <c r="G45" s="21" t="n">
        <v>4.59386065E10</v>
      </c>
      <c r="H45" s="22" t="n">
        <f>45938606500</f>
        <v>4.59386065E10</v>
      </c>
    </row>
    <row r="46" spans="1:8" ht="24.9" customHeight="1">
      <c r="A46" s="51"/>
      <c r="B46" s="57"/>
      <c r="C46" s="39"/>
      <c r="D46" s="20" t="s">
        <v>17</v>
      </c>
      <c r="E46" s="21" t="n">
        <v>17634.0</v>
      </c>
      <c r="F46" s="22" t="n">
        <f>17634</f>
        <v>17634.0</v>
      </c>
      <c r="G46" s="21" t="n">
        <v>1.18077609608E11</v>
      </c>
      <c r="H46" s="22" t="n">
        <f>118077609608</f>
        <v>1.18077609608E11</v>
      </c>
    </row>
    <row r="47" spans="1:8" ht="24.9" customHeight="1">
      <c r="A47" s="51"/>
      <c r="B47" s="57"/>
      <c r="C47" s="39"/>
      <c r="D47" s="24" t="s">
        <v>18</v>
      </c>
      <c r="E47" s="25" t="n">
        <v>26876.0</v>
      </c>
      <c r="F47" s="26" t="n">
        <f>26786</f>
        <v>26786.0</v>
      </c>
      <c r="G47" s="25" t="n">
        <v>1.79462083508E11</v>
      </c>
      <c r="H47" s="26" t="n">
        <f>178868983508</f>
        <v>1.78868983508E11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1249.0</v>
      </c>
      <c r="F48" s="18" t="n">
        <f>1</f>
        <v>1.0</v>
      </c>
      <c r="G48" s="17" t="n">
        <v>2.1933642E9</v>
      </c>
      <c r="H48" s="18" t="n">
        <f>1750000</f>
        <v>1750000.0</v>
      </c>
    </row>
    <row r="49" spans="1:8" ht="24.9" customHeight="1">
      <c r="A49" s="51"/>
      <c r="B49" s="57"/>
      <c r="C49" s="39"/>
      <c r="D49" s="20" t="s">
        <v>16</v>
      </c>
      <c r="E49" s="21" t="n">
        <v>30461.0</v>
      </c>
      <c r="F49" s="22" t="n">
        <f>27472</f>
        <v>27472.0</v>
      </c>
      <c r="G49" s="21" t="n">
        <v>5.327161531E10</v>
      </c>
      <c r="H49" s="22" t="n">
        <f>48050800710</f>
        <v>4.805080071E10</v>
      </c>
    </row>
    <row r="50" spans="1:8" ht="24.9" customHeight="1">
      <c r="A50" s="51"/>
      <c r="B50" s="57"/>
      <c r="C50" s="39"/>
      <c r="D50" s="20" t="s">
        <v>17</v>
      </c>
      <c r="E50" s="21" t="n">
        <v>37739.0</v>
      </c>
      <c r="F50" s="22" t="n">
        <f>29418</f>
        <v>29418.0</v>
      </c>
      <c r="G50" s="21" t="n">
        <v>6.608134942E10</v>
      </c>
      <c r="H50" s="22" t="n">
        <f>51502534120</f>
        <v>5.150253412E10</v>
      </c>
    </row>
    <row r="51" spans="1:8" ht="24.9" customHeight="1">
      <c r="A51" s="51"/>
      <c r="B51" s="57"/>
      <c r="C51" s="39"/>
      <c r="D51" s="24" t="s">
        <v>18</v>
      </c>
      <c r="E51" s="25" t="n">
        <v>69449.0</v>
      </c>
      <c r="F51" s="26" t="n">
        <f>56891</f>
        <v>56891.0</v>
      </c>
      <c r="G51" s="25" t="n">
        <v>1.2154632893E11</v>
      </c>
      <c r="H51" s="26" t="n">
        <f>99555084830</f>
        <v>9.955508483E10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1027.0</v>
      </c>
      <c r="F56" s="18" t="n">
        <f>1</f>
        <v>1.0</v>
      </c>
      <c r="G56" s="17" t="n">
        <v>7.663524E8</v>
      </c>
      <c r="H56" s="18" t="n">
        <f>754900</f>
        <v>754900.0</v>
      </c>
    </row>
    <row r="57" spans="1:8" ht="24.9" customHeight="1">
      <c r="A57" s="51"/>
      <c r="B57" s="57"/>
      <c r="C57" s="39"/>
      <c r="D57" s="20" t="s">
        <v>16</v>
      </c>
      <c r="E57" s="21" t="n">
        <v>14307.0</v>
      </c>
      <c r="F57" s="22" t="n">
        <f>9656</f>
        <v>9656.0</v>
      </c>
      <c r="G57" s="21" t="n">
        <v>1.04267484E10</v>
      </c>
      <c r="H57" s="22" t="n">
        <f>7016410900</f>
        <v>7.0164109E9</v>
      </c>
    </row>
    <row r="58" spans="1:8" ht="24.9" customHeight="1">
      <c r="A58" s="51"/>
      <c r="B58" s="57"/>
      <c r="C58" s="39"/>
      <c r="D58" s="20" t="s">
        <v>17</v>
      </c>
      <c r="E58" s="21" t="n">
        <v>17948.0</v>
      </c>
      <c r="F58" s="22" t="n">
        <f>10045</f>
        <v>10045.0</v>
      </c>
      <c r="G58" s="21" t="n">
        <v>1.309251312E10</v>
      </c>
      <c r="H58" s="22" t="n">
        <f>7299862620</f>
        <v>7.29986262E9</v>
      </c>
    </row>
    <row r="59" spans="1:8" ht="24.9" customHeight="1">
      <c r="A59" s="51"/>
      <c r="B59" s="57"/>
      <c r="C59" s="39"/>
      <c r="D59" s="24" t="s">
        <v>18</v>
      </c>
      <c r="E59" s="25" t="n">
        <v>33282.0</v>
      </c>
      <c r="F59" s="26" t="n">
        <f>19702</f>
        <v>19702.0</v>
      </c>
      <c r="G59" s="25" t="n">
        <v>2.428561392E10</v>
      </c>
      <c r="H59" s="26" t="n">
        <f>14317028420</f>
        <v>1.431702842E10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237.0</v>
      </c>
      <c r="F60" s="18" t="n">
        <f>5</f>
        <v>5.0</v>
      </c>
      <c r="G60" s="17" t="n">
        <v>1.2081561E9</v>
      </c>
      <c r="H60" s="18" t="n">
        <f>25475000</f>
        <v>2.5475E7</v>
      </c>
    </row>
    <row r="61" spans="1:8" ht="24.9" customHeight="1">
      <c r="A61" s="51"/>
      <c r="B61" s="57"/>
      <c r="C61" s="39"/>
      <c r="D61" s="20" t="s">
        <v>16</v>
      </c>
      <c r="E61" s="21" t="n">
        <v>30.0</v>
      </c>
      <c r="F61" s="22" t="n">
        <f>1</f>
        <v>1.0</v>
      </c>
      <c r="G61" s="21" t="n">
        <v>1.522497E8</v>
      </c>
      <c r="H61" s="22" t="n">
        <f>5076500</f>
        <v>5076500.0</v>
      </c>
    </row>
    <row r="62" spans="1:8" ht="24.9" customHeight="1">
      <c r="A62" s="51"/>
      <c r="B62" s="57"/>
      <c r="C62" s="39"/>
      <c r="D62" s="20" t="s">
        <v>17</v>
      </c>
      <c r="E62" s="21" t="n">
        <v>12.0</v>
      </c>
      <c r="F62" s="22" t="n">
        <f>2</f>
        <v>2.0</v>
      </c>
      <c r="G62" s="21" t="n">
        <v>6.117719E7</v>
      </c>
      <c r="H62" s="22" t="n">
        <f>10182290</f>
        <v>1.018229E7</v>
      </c>
    </row>
    <row r="63" spans="1:8" ht="24.9" customHeight="1">
      <c r="A63" s="51"/>
      <c r="B63" s="57"/>
      <c r="C63" s="39"/>
      <c r="D63" s="24" t="s">
        <v>18</v>
      </c>
      <c r="E63" s="25" t="n">
        <v>279.0</v>
      </c>
      <c r="F63" s="26" t="n">
        <f>8</f>
        <v>8.0</v>
      </c>
      <c r="G63" s="25" t="n">
        <v>1.42158299E9</v>
      </c>
      <c r="H63" s="26" t="n">
        <f>40733790</f>
        <v>4.073379E7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5.0</v>
      </c>
      <c r="F72" s="18" t="n">
        <f>0</f>
        <v>0.0</v>
      </c>
      <c r="G72" s="17" t="n">
        <v>5475000.0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5.0</v>
      </c>
      <c r="F75" s="26" t="n">
        <f>0</f>
        <v>0.0</v>
      </c>
      <c r="G75" s="25" t="n">
        <v>5475000.0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370000.0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126.0</v>
      </c>
      <c r="F77" s="22" t="n">
        <f>0</f>
        <v>0.0</v>
      </c>
      <c r="G77" s="21" t="n">
        <v>4.60735E7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15.0</v>
      </c>
      <c r="F78" s="22" t="n">
        <f>0</f>
        <v>0.0</v>
      </c>
      <c r="G78" s="21" t="n">
        <v>5505000.0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142.0</v>
      </c>
      <c r="F79" s="26" t="n">
        <f>0</f>
        <v>0.0</v>
      </c>
      <c r="G79" s="25" t="n">
        <v>5.19485E7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142.0</v>
      </c>
      <c r="F92" s="18" t="n">
        <f>0</f>
        <v>0.0</v>
      </c>
      <c r="G92" s="17" t="n">
        <v>2.269928E8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1600400.0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143.0</v>
      </c>
      <c r="F95" s="26" t="n">
        <f>0</f>
        <v>0.0</v>
      </c>
      <c r="G95" s="25" t="n">
        <v>2.285932E8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55.0</v>
      </c>
      <c r="F96" s="18" t="n">
        <f>0</f>
        <v>0.0</v>
      </c>
      <c r="G96" s="17" t="n">
        <v>1.296693E8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55.0</v>
      </c>
      <c r="F99" s="26" t="n">
        <f>0</f>
        <v>0.0</v>
      </c>
      <c r="G99" s="25" t="n">
        <v>1.296693E8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700.0</v>
      </c>
      <c r="F100" s="18" t="n">
        <f>0</f>
        <v>0.0</v>
      </c>
      <c r="G100" s="17" t="n">
        <v>1.2911106E9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50.0</v>
      </c>
      <c r="F102" s="22" t="n">
        <f>0</f>
        <v>0.0</v>
      </c>
      <c r="G102" s="21" t="n">
        <v>9.2405E7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750.0</v>
      </c>
      <c r="F103" s="26" t="n">
        <f>0</f>
        <v>0.0</v>
      </c>
      <c r="G103" s="25" t="n">
        <v>1.3835156E9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42942.0</v>
      </c>
      <c r="F108" s="18" t="n">
        <f>18008</f>
        <v>18008.0</v>
      </c>
      <c r="G108" s="17" t="n">
        <v>5.493904405E12</v>
      </c>
      <c r="H108" s="18" t="n">
        <f>2301559805000</f>
        <v>2.301559805E12</v>
      </c>
    </row>
    <row r="109" spans="1:8" ht="24.9" customHeight="1">
      <c r="A109" s="51"/>
      <c r="B109" s="57"/>
      <c r="C109" s="39"/>
      <c r="D109" s="20" t="s">
        <v>16</v>
      </c>
      <c r="E109" s="21" t="n">
        <v>32743.0</v>
      </c>
      <c r="F109" s="22" t="n">
        <f>12667</f>
        <v>12667.0</v>
      </c>
      <c r="G109" s="21" t="n">
        <v>4.189478745E12</v>
      </c>
      <c r="H109" s="22" t="n">
        <f>1619102215000</f>
        <v>1.619102215E12</v>
      </c>
    </row>
    <row r="110" spans="1:8" ht="24.9" customHeight="1">
      <c r="A110" s="51"/>
      <c r="B110" s="57"/>
      <c r="C110" s="39"/>
      <c r="D110" s="20" t="s">
        <v>17</v>
      </c>
      <c r="E110" s="21" t="n">
        <v>68899.0</v>
      </c>
      <c r="F110" s="22" t="n">
        <f>31794</f>
        <v>31794.0</v>
      </c>
      <c r="G110" s="21" t="n">
        <v>8.8323102324E12</v>
      </c>
      <c r="H110" s="22" t="n">
        <f>4071283152400</f>
        <v>4.0712831524E12</v>
      </c>
    </row>
    <row r="111" spans="1:8" ht="24.9" customHeight="1">
      <c r="A111" s="51"/>
      <c r="B111" s="57"/>
      <c r="C111" s="39"/>
      <c r="D111" s="24" t="s">
        <v>18</v>
      </c>
      <c r="E111" s="25" t="n">
        <v>144584.0</v>
      </c>
      <c r="F111" s="26" t="n">
        <f>62469</f>
        <v>62469.0</v>
      </c>
      <c r="G111" s="25" t="n">
        <v>1.85156933824E13</v>
      </c>
      <c r="H111" s="26" t="n">
        <f>7991945172400</f>
        <v>7.9919451724E12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1.2831E7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1.284E7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2.5671E7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2000.0</v>
      </c>
      <c r="F116" s="18" t="n">
        <f>2000</f>
        <v>2000.0</v>
      </c>
      <c r="G116" s="17" t="n">
        <v>1.829E10</v>
      </c>
      <c r="H116" s="18" t="n">
        <f>18290000000</f>
        <v>1.829E10</v>
      </c>
    </row>
    <row r="117" spans="1:8" ht="24.9" customHeight="1">
      <c r="A117" s="51"/>
      <c r="B117" s="57"/>
      <c r="C117" s="39"/>
      <c r="D117" s="20" t="s">
        <v>16</v>
      </c>
      <c r="E117" s="21" t="n">
        <v>2000.0</v>
      </c>
      <c r="F117" s="22" t="n">
        <f>0</f>
        <v>0.0</v>
      </c>
      <c r="G117" s="21" t="n">
        <v>1.836E10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1396.0</v>
      </c>
      <c r="F118" s="22" t="n">
        <f>0</f>
        <v>0.0</v>
      </c>
      <c r="G118" s="21" t="n">
        <v>1.2831575E10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5396.0</v>
      </c>
      <c r="F119" s="26" t="n">
        <f>2000</f>
        <v>2000.0</v>
      </c>
      <c r="G119" s="25" t="n">
        <v>4.9481575E10</v>
      </c>
      <c r="H119" s="26" t="n">
        <f>18290000000</f>
        <v>1.829E10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471.0</v>
      </c>
      <c r="F120" s="18" t="n">
        <f>0</f>
        <v>0.0</v>
      </c>
      <c r="G120" s="17" t="n">
        <v>1.1649578125E10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112.0</v>
      </c>
      <c r="F121" s="22" t="n">
        <f>0</f>
        <v>0.0</v>
      </c>
      <c r="G121" s="21" t="n">
        <v>2.7725625E9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1181.0</v>
      </c>
      <c r="F122" s="22" t="n">
        <f>0</f>
        <v>0.0</v>
      </c>
      <c r="G122" s="21" t="n">
        <v>2.9222490625E10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1764.0</v>
      </c>
      <c r="F123" s="26" t="n">
        <f>0</f>
        <v>0.0</v>
      </c>
      <c r="G123" s="25" t="n">
        <v>4.364463125E10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7268.0</v>
      </c>
      <c r="F124" s="18" t="n">
        <f>0</f>
        <v>0.0</v>
      </c>
      <c r="G124" s="17" t="n">
        <v>1.65563002E11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2645.0</v>
      </c>
      <c r="F125" s="22" t="n">
        <f>0</f>
        <v>0.0</v>
      </c>
      <c r="G125" s="21" t="n">
        <v>6.0309976E10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2413.0</v>
      </c>
      <c r="F126" s="22" t="n">
        <f>0</f>
        <v>0.0</v>
      </c>
      <c r="G126" s="21" t="n">
        <v>5.5258827E10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12326.0</v>
      </c>
      <c r="F127" s="26" t="n">
        <f>0</f>
        <v>0.0</v>
      </c>
      <c r="G127" s="25" t="n">
        <v>2.81131805E11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91.0</v>
      </c>
      <c r="F128" s="18" t="n">
        <f>0</f>
        <v>0.0</v>
      </c>
      <c r="G128" s="17" t="n">
        <v>2.075696E8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34.0</v>
      </c>
      <c r="F129" s="22" t="n">
        <f>0</f>
        <v>0.0</v>
      </c>
      <c r="G129" s="21" t="n">
        <v>7.78439E7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78.0</v>
      </c>
      <c r="F130" s="22" t="n">
        <f>0</f>
        <v>0.0</v>
      </c>
      <c r="G130" s="21" t="n">
        <v>1.791317E8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203.0</v>
      </c>
      <c r="F131" s="26" t="n">
        <f>0</f>
        <v>0.0</v>
      </c>
      <c r="G131" s="25" t="n">
        <v>4.645452E8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7170.0</v>
      </c>
      <c r="F132" s="18" t="n">
        <f>0</f>
        <v>0.0</v>
      </c>
      <c r="G132" s="17" t="n">
        <v>1.6371697E10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1627.0</v>
      </c>
      <c r="F133" s="22" t="n">
        <f>0</f>
        <v>0.0</v>
      </c>
      <c r="G133" s="21" t="n">
        <v>3.72397595E9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2505.0</v>
      </c>
      <c r="F134" s="22" t="n">
        <f>0</f>
        <v>0.0</v>
      </c>
      <c r="G134" s="21" t="n">
        <v>5.75044785E9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11302.0</v>
      </c>
      <c r="F135" s="26" t="n">
        <f>0</f>
        <v>0.0</v>
      </c>
      <c r="G135" s="25" t="n">
        <v>2.58461208E10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106.0</v>
      </c>
      <c r="F136" s="18" t="n">
        <f>0</f>
        <v>0.0</v>
      </c>
      <c r="G136" s="17" t="n">
        <v>2.399097E8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21.0</v>
      </c>
      <c r="F137" s="22" t="n">
        <f>0</f>
        <v>0.0</v>
      </c>
      <c r="G137" s="21" t="n">
        <v>4.77468E7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26.0</v>
      </c>
      <c r="F138" s="22" t="n">
        <f>0</f>
        <v>0.0</v>
      </c>
      <c r="G138" s="21" t="n">
        <v>5.92038E7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153.0</v>
      </c>
      <c r="F139" s="26" t="n">
        <f>0</f>
        <v>0.0</v>
      </c>
      <c r="G139" s="25" t="n">
        <v>3.468603E8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4.0</v>
      </c>
      <c r="F140" s="18" t="n">
        <f>0</f>
        <v>0.0</v>
      </c>
      <c r="G140" s="17" t="n">
        <v>4.1997E7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1.05E7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2.0</v>
      </c>
      <c r="F142" s="22" t="n">
        <f>0</f>
        <v>0.0</v>
      </c>
      <c r="G142" s="21" t="n">
        <v>2.1078E7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7.0</v>
      </c>
      <c r="F143" s="26" t="n">
        <f>0</f>
        <v>0.0</v>
      </c>
      <c r="G143" s="25" t="n">
        <v>7.3575E7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1389.0</v>
      </c>
      <c r="F144" s="18" t="n">
        <f>0</f>
        <v>0.0</v>
      </c>
      <c r="G144" s="17" t="n">
        <v>6.1733915E9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1023.0</v>
      </c>
      <c r="F145" s="22" t="n">
        <f>0</f>
        <v>0.0</v>
      </c>
      <c r="G145" s="21" t="n">
        <v>4.5299485E9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1951.0</v>
      </c>
      <c r="F146" s="22" t="n">
        <f>0</f>
        <v>0.0</v>
      </c>
      <c r="G146" s="21" t="n">
        <v>8.626836E9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4363.0</v>
      </c>
      <c r="F147" s="26" t="n">
        <f>0</f>
        <v>0.0</v>
      </c>
      <c r="G147" s="25" t="n">
        <v>1.9330176E10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106.0</v>
      </c>
      <c r="F148" s="18" t="n">
        <f>0</f>
        <v>0.0</v>
      </c>
      <c r="G148" s="17" t="n">
        <v>9.59936E7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245.0</v>
      </c>
      <c r="F149" s="22" t="n">
        <f>0</f>
        <v>0.0</v>
      </c>
      <c r="G149" s="21" t="n">
        <v>2.216261E8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270.0</v>
      </c>
      <c r="F150" s="22" t="n">
        <f>0</f>
        <v>0.0</v>
      </c>
      <c r="G150" s="21" t="n">
        <v>2.438272E8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621.0</v>
      </c>
      <c r="F151" s="26" t="n">
        <f>0</f>
        <v>0.0</v>
      </c>
      <c r="G151" s="25" t="n">
        <v>5.614469E8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288.0</v>
      </c>
      <c r="F152" s="18" t="n">
        <f>0</f>
        <v>0.0</v>
      </c>
      <c r="G152" s="17" t="n">
        <v>2.5713775E8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334.0</v>
      </c>
      <c r="F153" s="22" t="n">
        <f>0</f>
        <v>0.0</v>
      </c>
      <c r="G153" s="21" t="n">
        <v>2.96719E8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545.0</v>
      </c>
      <c r="F154" s="22" t="n">
        <f>0</f>
        <v>0.0</v>
      </c>
      <c r="G154" s="21" t="n">
        <v>4.8347755E8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1167.0</v>
      </c>
      <c r="F155" s="26" t="n">
        <f>0</f>
        <v>0.0</v>
      </c>
      <c r="G155" s="25" t="n">
        <v>1.0373343E9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165.0</v>
      </c>
      <c r="F156" s="18" t="n">
        <f>0</f>
        <v>0.0</v>
      </c>
      <c r="G156" s="17" t="n">
        <v>1.486323E8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748.0</v>
      </c>
      <c r="F157" s="22" t="n">
        <f>0</f>
        <v>0.0</v>
      </c>
      <c r="G157" s="21" t="n">
        <v>6.73732E8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2228.0</v>
      </c>
      <c r="F158" s="22" t="n">
        <f>0</f>
        <v>0.0</v>
      </c>
      <c r="G158" s="21" t="n">
        <v>1.9848425E9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3141.0</v>
      </c>
      <c r="F159" s="26" t="n">
        <f>0</f>
        <v>0.0</v>
      </c>
      <c r="G159" s="25" t="n">
        <v>2.8072068E9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33.0</v>
      </c>
      <c r="F168" s="18" t="n">
        <f>0</f>
        <v>0.0</v>
      </c>
      <c r="G168" s="17" t="n">
        <v>6.9759E7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109.0</v>
      </c>
      <c r="F169" s="22" t="n">
        <f>5</f>
        <v>5.0</v>
      </c>
      <c r="G169" s="21" t="n">
        <v>2.312505E8</v>
      </c>
      <c r="H169" s="22" t="n">
        <f>10310000</f>
        <v>1.031E7</v>
      </c>
    </row>
    <row r="170" spans="1:8" ht="24.9" customHeight="1">
      <c r="A170" s="51"/>
      <c r="B170" s="57"/>
      <c r="C170" s="39"/>
      <c r="D170" s="20" t="s">
        <v>17</v>
      </c>
      <c r="E170" s="21" t="n">
        <v>129.0</v>
      </c>
      <c r="F170" s="22" t="n">
        <f>0</f>
        <v>0.0</v>
      </c>
      <c r="G170" s="21" t="n">
        <v>2.72261E8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271.0</v>
      </c>
      <c r="F171" s="26" t="n">
        <f>5</f>
        <v>5.0</v>
      </c>
      <c r="G171" s="25" t="n">
        <v>5.732705E8</v>
      </c>
      <c r="H171" s="26" t="n">
        <f>10310000</f>
        <v>1.031E7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48.0</v>
      </c>
      <c r="F178" s="22" t="n">
        <f>0</f>
        <v>0.0</v>
      </c>
      <c r="G178" s="21" t="n">
        <v>8.5028E7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48.0</v>
      </c>
      <c r="F179" s="26" t="n">
        <f>0</f>
        <v>0.0</v>
      </c>
      <c r="G179" s="25" t="n">
        <v>8.5028E7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646.0</v>
      </c>
      <c r="F204" s="18" t="n">
        <f>0</f>
        <v>0.0</v>
      </c>
      <c r="G204" s="17" t="n">
        <v>2.65323E9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366.0</v>
      </c>
      <c r="F205" s="22" t="n">
        <f>0</f>
        <v>0.0</v>
      </c>
      <c r="G205" s="21" t="n">
        <v>1.5071645E9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4778.0</v>
      </c>
      <c r="F206" s="22" t="n">
        <f>3</f>
        <v>3.0</v>
      </c>
      <c r="G206" s="21" t="n">
        <v>1.9492944E10</v>
      </c>
      <c r="H206" s="22" t="n">
        <f>12247500</f>
        <v>1.22475E7</v>
      </c>
    </row>
    <row r="207" spans="1:8" ht="24.9" customHeight="1">
      <c r="A207" s="57"/>
      <c r="B207" s="59"/>
      <c r="C207" s="39"/>
      <c r="D207" s="24" t="s">
        <v>18</v>
      </c>
      <c r="E207" s="25" t="n">
        <v>5790.0</v>
      </c>
      <c r="F207" s="26" t="n">
        <f>3</f>
        <v>3.0</v>
      </c>
      <c r="G207" s="25" t="n">
        <v>2.36533385E10</v>
      </c>
      <c r="H207" s="26" t="n">
        <f>12247500</f>
        <v>1.22475E7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46182.0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46182.0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5592</f>
        <v>5592.0</v>
      </c>
      <c r="E12" s="35" t="n">
        <f>2044</f>
        <v>2044.0</v>
      </c>
      <c r="F12" s="17" t="n">
        <f>5483</f>
        <v>5483.0</v>
      </c>
      <c r="G12" s="35" t="n">
        <f>1331</f>
        <v>1331.0</v>
      </c>
      <c r="H12" s="17" t="n">
        <f>11075</f>
        <v>11075.0</v>
      </c>
      <c r="I12" s="35" t="n">
        <f>3375</f>
        <v>3375.0</v>
      </c>
      <c r="J12" s="17" t="n">
        <f>2040171980</f>
        <v>2.04017198E9</v>
      </c>
      <c r="K12" s="35" t="n">
        <f>1050526980</f>
        <v>1.05052698E9</v>
      </c>
      <c r="L12" s="17" t="n">
        <f>1446755320</f>
        <v>1.44675532E9</v>
      </c>
      <c r="M12" s="35" t="n">
        <f>438345320</f>
        <v>4.3834532E8</v>
      </c>
      <c r="N12" s="17" t="n">
        <f>3486927300</f>
        <v>3.4869273E9</v>
      </c>
      <c r="O12" s="35" t="n">
        <f>1488872300</f>
        <v>1.4888723E9</v>
      </c>
    </row>
    <row r="13" spans="1:15" ht="24.9" customHeight="1">
      <c r="A13" s="38"/>
      <c r="B13" s="62"/>
      <c r="C13" s="20" t="s">
        <v>16</v>
      </c>
      <c r="D13" s="21" t="n">
        <f>7343</f>
        <v>7343.0</v>
      </c>
      <c r="E13" s="36" t="n">
        <f>2802</f>
        <v>2802.0</v>
      </c>
      <c r="F13" s="21" t="n">
        <f>5422</f>
        <v>5422.0</v>
      </c>
      <c r="G13" s="36" t="n">
        <f>732</f>
        <v>732.0</v>
      </c>
      <c r="H13" s="21" t="n">
        <f>12765</f>
        <v>12765.0</v>
      </c>
      <c r="I13" s="36" t="n">
        <f>3534</f>
        <v>3534.0</v>
      </c>
      <c r="J13" s="21" t="n">
        <f>3191809210</f>
        <v>3.19180921E9</v>
      </c>
      <c r="K13" s="36" t="n">
        <f>2072890210</f>
        <v>2.07289021E9</v>
      </c>
      <c r="L13" s="21" t="n">
        <f>1204303740</f>
        <v>1.20430374E9</v>
      </c>
      <c r="M13" s="36" t="n">
        <f>106018740</f>
        <v>1.0601874E8</v>
      </c>
      <c r="N13" s="21" t="n">
        <f>4396112950</f>
        <v>4.39611295E9</v>
      </c>
      <c r="O13" s="36" t="n">
        <f>2178908950</f>
        <v>2.17890895E9</v>
      </c>
    </row>
    <row r="14" spans="1:15" ht="24.9" customHeight="1">
      <c r="A14" s="38"/>
      <c r="B14" s="62"/>
      <c r="C14" s="20" t="s">
        <v>17</v>
      </c>
      <c r="D14" s="21" t="n">
        <f>15578</f>
        <v>15578.0</v>
      </c>
      <c r="E14" s="36" t="n">
        <f>9623</f>
        <v>9623.0</v>
      </c>
      <c r="F14" s="21" t="n">
        <f>9249</f>
        <v>9249.0</v>
      </c>
      <c r="G14" s="36" t="n">
        <f>5226</f>
        <v>5226.0</v>
      </c>
      <c r="H14" s="21" t="n">
        <f>24827</f>
        <v>24827.0</v>
      </c>
      <c r="I14" s="36" t="n">
        <f>14849</f>
        <v>14849.0</v>
      </c>
      <c r="J14" s="21" t="n">
        <f>12478540823</f>
        <v>1.2478540823E10</v>
      </c>
      <c r="K14" s="36" t="n">
        <f>11207093823</f>
        <v>1.1207093823E10</v>
      </c>
      <c r="L14" s="21" t="n">
        <f>11432787930</f>
        <v>1.143278793E10</v>
      </c>
      <c r="M14" s="36" t="n">
        <f>10130678930</f>
        <v>1.013067893E10</v>
      </c>
      <c r="N14" s="21" t="n">
        <f>23911328753</f>
        <v>2.3911328753E10</v>
      </c>
      <c r="O14" s="36" t="n">
        <f>21337772753</f>
        <v>2.1337772753E10</v>
      </c>
    </row>
    <row r="15" spans="1:15" ht="24.9" customHeight="1">
      <c r="A15" s="38"/>
      <c r="B15" s="62"/>
      <c r="C15" s="24" t="s">
        <v>18</v>
      </c>
      <c r="D15" s="25" t="n">
        <f>28513</f>
        <v>28513.0</v>
      </c>
      <c r="E15" s="37" t="n">
        <f>14469</f>
        <v>14469.0</v>
      </c>
      <c r="F15" s="25" t="n">
        <f>20154</f>
        <v>20154.0</v>
      </c>
      <c r="G15" s="37" t="n">
        <f>7289</f>
        <v>7289.0</v>
      </c>
      <c r="H15" s="25" t="n">
        <f>48667</f>
        <v>48667.0</v>
      </c>
      <c r="I15" s="37" t="n">
        <f>21758</f>
        <v>21758.0</v>
      </c>
      <c r="J15" s="25" t="n">
        <f>17710522013</f>
        <v>1.7710522013E10</v>
      </c>
      <c r="K15" s="37" t="n">
        <f>14330511013</f>
        <v>1.4330511013E10</v>
      </c>
      <c r="L15" s="25" t="n">
        <f>14083846990</f>
        <v>1.408384699E10</v>
      </c>
      <c r="M15" s="37" t="n">
        <f>10675042990</f>
        <v>1.067504299E10</v>
      </c>
      <c r="N15" s="25" t="n">
        <f>31794369003</f>
        <v>3.1794369003E10</v>
      </c>
      <c r="O15" s="37" t="n">
        <f>25005554003</f>
        <v>2.5005554003E10</v>
      </c>
    </row>
    <row r="16" spans="1:15" ht="24.9" customHeight="1">
      <c r="A16" s="38"/>
      <c r="B16" s="61" t="s">
        <v>105</v>
      </c>
      <c r="C16" s="16" t="s">
        <v>15</v>
      </c>
      <c r="D16" s="17" t="n">
        <f>11854</f>
        <v>11854.0</v>
      </c>
      <c r="E16" s="35" t="n">
        <f>1130</f>
        <v>1130.0</v>
      </c>
      <c r="F16" s="17" t="n">
        <f>9829</f>
        <v>9829.0</v>
      </c>
      <c r="G16" s="35" t="n">
        <f>520</f>
        <v>520.0</v>
      </c>
      <c r="H16" s="17" t="n">
        <f>21683</f>
        <v>21683.0</v>
      </c>
      <c r="I16" s="35" t="n">
        <f>1650</f>
        <v>1650.0</v>
      </c>
      <c r="J16" s="17" t="n">
        <f>468013970</f>
        <v>4.6801397E8</v>
      </c>
      <c r="K16" s="35" t="n">
        <f>15303870</f>
        <v>1.530387E7</v>
      </c>
      <c r="L16" s="17" t="n">
        <f>565957500</f>
        <v>5.659575E8</v>
      </c>
      <c r="M16" s="35" t="n">
        <f>7643800</f>
        <v>7643800.0</v>
      </c>
      <c r="N16" s="17" t="n">
        <f>1033971470</f>
        <v>1.03397147E9</v>
      </c>
      <c r="O16" s="35" t="n">
        <f>22947670</f>
        <v>2.294767E7</v>
      </c>
    </row>
    <row r="17" spans="1:15" ht="24.9" customHeight="1">
      <c r="A17" s="38"/>
      <c r="B17" s="62"/>
      <c r="C17" s="20" t="s">
        <v>16</v>
      </c>
      <c r="D17" s="21" t="n">
        <f>7917</f>
        <v>7917.0</v>
      </c>
      <c r="E17" s="36" t="n">
        <f>270</f>
        <v>270.0</v>
      </c>
      <c r="F17" s="21" t="n">
        <f>7276</f>
        <v>7276.0</v>
      </c>
      <c r="G17" s="36" t="n">
        <f>320</f>
        <v>320.0</v>
      </c>
      <c r="H17" s="21" t="n">
        <f>15193</f>
        <v>15193.0</v>
      </c>
      <c r="I17" s="36" t="n">
        <f>590</f>
        <v>590.0</v>
      </c>
      <c r="J17" s="21" t="n">
        <f>192671140</f>
        <v>1.9267114E8</v>
      </c>
      <c r="K17" s="36" t="n">
        <f>4636740</f>
        <v>4636740.0</v>
      </c>
      <c r="L17" s="21" t="n">
        <f>203809910</f>
        <v>2.0380991E8</v>
      </c>
      <c r="M17" s="36" t="n">
        <f>3773610</f>
        <v>3773610.0</v>
      </c>
      <c r="N17" s="21" t="n">
        <f>396481050</f>
        <v>3.9648105E8</v>
      </c>
      <c r="O17" s="36" t="n">
        <f>8410350</f>
        <v>8410350.0</v>
      </c>
    </row>
    <row r="18" spans="1:15" ht="24.9" customHeight="1">
      <c r="A18" s="38"/>
      <c r="B18" s="62"/>
      <c r="C18" s="20" t="s">
        <v>17</v>
      </c>
      <c r="D18" s="21" t="n">
        <f>6701</f>
        <v>6701.0</v>
      </c>
      <c r="E18" s="36" t="n">
        <f>720</f>
        <v>720.0</v>
      </c>
      <c r="F18" s="21" t="n">
        <f>5757</f>
        <v>5757.0</v>
      </c>
      <c r="G18" s="36" t="n">
        <f>850</f>
        <v>850.0</v>
      </c>
      <c r="H18" s="21" t="n">
        <f>12458</f>
        <v>12458.0</v>
      </c>
      <c r="I18" s="36" t="n">
        <f>1570</f>
        <v>1570.0</v>
      </c>
      <c r="J18" s="21" t="n">
        <f>201611450</f>
        <v>2.0161145E8</v>
      </c>
      <c r="K18" s="36" t="n">
        <f>44789250</f>
        <v>4.478925E7</v>
      </c>
      <c r="L18" s="21" t="n">
        <f>231563870</f>
        <v>2.3156387E8</v>
      </c>
      <c r="M18" s="36" t="n">
        <f>63598670</f>
        <v>6.359867E7</v>
      </c>
      <c r="N18" s="21" t="n">
        <f>433175320</f>
        <v>4.3317532E8</v>
      </c>
      <c r="O18" s="36" t="n">
        <f>108387920</f>
        <v>1.0838792E8</v>
      </c>
    </row>
    <row r="19" spans="1:15" ht="24.9" customHeight="1">
      <c r="A19" s="38"/>
      <c r="B19" s="62"/>
      <c r="C19" s="24" t="s">
        <v>18</v>
      </c>
      <c r="D19" s="25" t="n">
        <f>26472</f>
        <v>26472.0</v>
      </c>
      <c r="E19" s="37" t="n">
        <f>2120</f>
        <v>2120.0</v>
      </c>
      <c r="F19" s="25" t="n">
        <f>22862</f>
        <v>22862.0</v>
      </c>
      <c r="G19" s="37" t="n">
        <f>1690</f>
        <v>1690.0</v>
      </c>
      <c r="H19" s="25" t="n">
        <f>49334</f>
        <v>49334.0</v>
      </c>
      <c r="I19" s="37" t="n">
        <f>3810</f>
        <v>3810.0</v>
      </c>
      <c r="J19" s="25" t="n">
        <f>862296560</f>
        <v>8.6229656E8</v>
      </c>
      <c r="K19" s="37" t="n">
        <f>64729860</f>
        <v>6.472986E7</v>
      </c>
      <c r="L19" s="25" t="n">
        <f>1001331280</f>
        <v>1.00133128E9</v>
      </c>
      <c r="M19" s="37" t="n">
        <f>75016080</f>
        <v>7.501608E7</v>
      </c>
      <c r="N19" s="25" t="n">
        <f>1863627840</f>
        <v>1.86362784E9</v>
      </c>
      <c r="O19" s="37" t="n">
        <f>139745940</f>
        <v>1.3974594E8</v>
      </c>
    </row>
    <row r="20" spans="1:15" ht="24.9" customHeight="1">
      <c r="A20" s="38"/>
      <c r="B20" s="61" t="s">
        <v>106</v>
      </c>
      <c r="C20" s="16" t="s">
        <v>15</v>
      </c>
      <c r="D20" s="17" t="n">
        <f>17</f>
        <v>17.0</v>
      </c>
      <c r="E20" s="35" t="n">
        <f>17</f>
        <v>17.0</v>
      </c>
      <c r="F20" s="17" t="n">
        <f>0</f>
        <v>0.0</v>
      </c>
      <c r="G20" s="35" t="n">
        <f>0</f>
        <v>0.0</v>
      </c>
      <c r="H20" s="17" t="n">
        <f>17</f>
        <v>17.0</v>
      </c>
      <c r="I20" s="35" t="n">
        <f>17</f>
        <v>17.0</v>
      </c>
      <c r="J20" s="17" t="n">
        <f>9373200</f>
        <v>9373200.0</v>
      </c>
      <c r="K20" s="35" t="n">
        <f>9373200</f>
        <v>9373200.0</v>
      </c>
      <c r="L20" s="17" t="n">
        <f>0</f>
        <v>0.0</v>
      </c>
      <c r="M20" s="35" t="n">
        <f>0</f>
        <v>0.0</v>
      </c>
      <c r="N20" s="17" t="n">
        <f>9373200</f>
        <v>9373200.0</v>
      </c>
      <c r="O20" s="35" t="n">
        <f>9373200</f>
        <v>9373200.0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3522</f>
        <v>3522.0</v>
      </c>
      <c r="E22" s="36" t="n">
        <f>3482</f>
        <v>3482.0</v>
      </c>
      <c r="F22" s="21" t="n">
        <f>390</f>
        <v>390.0</v>
      </c>
      <c r="G22" s="36" t="n">
        <f>350</f>
        <v>350.0</v>
      </c>
      <c r="H22" s="21" t="n">
        <f>3912</f>
        <v>3912.0</v>
      </c>
      <c r="I22" s="36" t="n">
        <f>3832</f>
        <v>3832.0</v>
      </c>
      <c r="J22" s="21" t="n">
        <f>1417235400</f>
        <v>1.4172354E9</v>
      </c>
      <c r="K22" s="36" t="n">
        <f>1412395400</f>
        <v>1.4123954E9</v>
      </c>
      <c r="L22" s="21" t="n">
        <f>2575400000</f>
        <v>2.5754E9</v>
      </c>
      <c r="M22" s="36" t="n">
        <f>2563400000</f>
        <v>2.5634E9</v>
      </c>
      <c r="N22" s="21" t="n">
        <f>3992635400</f>
        <v>3.9926354E9</v>
      </c>
      <c r="O22" s="36" t="n">
        <f>3975795400</f>
        <v>3.9757954E9</v>
      </c>
    </row>
    <row r="23" spans="1:15" ht="24.9" customHeight="1">
      <c r="A23" s="38"/>
      <c r="B23" s="62"/>
      <c r="C23" s="24" t="s">
        <v>18</v>
      </c>
      <c r="D23" s="25" t="n">
        <f>3539</f>
        <v>3539.0</v>
      </c>
      <c r="E23" s="37" t="n">
        <f>3499</f>
        <v>3499.0</v>
      </c>
      <c r="F23" s="25" t="n">
        <f>390</f>
        <v>390.0</v>
      </c>
      <c r="G23" s="37" t="n">
        <f>350</f>
        <v>350.0</v>
      </c>
      <c r="H23" s="25" t="n">
        <f>3929</f>
        <v>3929.0</v>
      </c>
      <c r="I23" s="37" t="n">
        <f>3849</f>
        <v>3849.0</v>
      </c>
      <c r="J23" s="25" t="n">
        <f>1426608600</f>
        <v>1.4266086E9</v>
      </c>
      <c r="K23" s="37" t="n">
        <f>1421768600</f>
        <v>1.4217686E9</v>
      </c>
      <c r="L23" s="25" t="n">
        <f>2575400000</f>
        <v>2.5754E9</v>
      </c>
      <c r="M23" s="37" t="n">
        <f>2563400000</f>
        <v>2.5634E9</v>
      </c>
      <c r="N23" s="25" t="n">
        <f>4002008600</f>
        <v>4.0020086E9</v>
      </c>
      <c r="O23" s="37" t="n">
        <f>3985168600</f>
        <v>3.9851686E9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2</f>
        <v>2.0</v>
      </c>
      <c r="G37" s="22" t="n">
        <f>0</f>
        <v>0.0</v>
      </c>
      <c r="H37" s="21" t="n">
        <f>2</f>
        <v>2.0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260000</f>
        <v>260000.0</v>
      </c>
      <c r="M37" s="22" t="n">
        <f>0</f>
        <v>0.0</v>
      </c>
      <c r="N37" s="21" t="n">
        <f>260000</f>
        <v>260000.0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71</f>
        <v>71.0</v>
      </c>
      <c r="E38" s="36" t="n">
        <f>50</f>
        <v>50.0</v>
      </c>
      <c r="F38" s="21" t="n">
        <f>166</f>
        <v>166.0</v>
      </c>
      <c r="G38" s="36" t="n">
        <f>50</f>
        <v>50.0</v>
      </c>
      <c r="H38" s="21" t="n">
        <f>237</f>
        <v>237.0</v>
      </c>
      <c r="I38" s="36" t="n">
        <f>100</f>
        <v>100.0</v>
      </c>
      <c r="J38" s="21" t="n">
        <f>12710000</f>
        <v>1.271E7</v>
      </c>
      <c r="K38" s="36" t="n">
        <f>9250000</f>
        <v>9250000.0</v>
      </c>
      <c r="L38" s="21" t="n">
        <f>31830000</f>
        <v>3.183E7</v>
      </c>
      <c r="M38" s="36" t="n">
        <f>9000000</f>
        <v>9000000.0</v>
      </c>
      <c r="N38" s="21" t="n">
        <f>44540000</f>
        <v>4.454E7</v>
      </c>
      <c r="O38" s="36" t="n">
        <f>18250000</f>
        <v>1.825E7</v>
      </c>
    </row>
    <row r="39" spans="1:15" ht="24.9" customHeight="1">
      <c r="A39" s="38"/>
      <c r="B39" s="62"/>
      <c r="C39" s="24" t="s">
        <v>18</v>
      </c>
      <c r="D39" s="25" t="n">
        <f>71</f>
        <v>71.0</v>
      </c>
      <c r="E39" s="37" t="n">
        <f>50</f>
        <v>50.0</v>
      </c>
      <c r="F39" s="25" t="n">
        <f>168</f>
        <v>168.0</v>
      </c>
      <c r="G39" s="37" t="n">
        <f>50</f>
        <v>50.0</v>
      </c>
      <c r="H39" s="25" t="n">
        <f>239</f>
        <v>239.0</v>
      </c>
      <c r="I39" s="37" t="n">
        <f>100</f>
        <v>100.0</v>
      </c>
      <c r="J39" s="25" t="n">
        <f>12710000</f>
        <v>1.271E7</v>
      </c>
      <c r="K39" s="37" t="n">
        <f>9250000</f>
        <v>9250000.0</v>
      </c>
      <c r="L39" s="25" t="n">
        <f>32090000</f>
        <v>3.209E7</v>
      </c>
      <c r="M39" s="37" t="n">
        <f>9000000</f>
        <v>9000000.0</v>
      </c>
      <c r="N39" s="25" t="n">
        <f>44800000</f>
        <v>4.48E7</v>
      </c>
      <c r="O39" s="37" t="n">
        <f>18250000</f>
        <v>1.825E7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3303</f>
        <v>3303.0</v>
      </c>
      <c r="E41" s="36" t="n">
        <f>500</f>
        <v>500.0</v>
      </c>
      <c r="F41" s="21" t="n">
        <f>27744</f>
        <v>27744.0</v>
      </c>
      <c r="G41" s="36" t="n">
        <f>0</f>
        <v>0.0</v>
      </c>
      <c r="H41" s="21" t="n">
        <f>31047</f>
        <v>31047.0</v>
      </c>
      <c r="I41" s="36" t="n">
        <f>500</f>
        <v>500.0</v>
      </c>
      <c r="J41" s="21" t="n">
        <f>13075150</f>
        <v>1.307515E7</v>
      </c>
      <c r="K41" s="36" t="n">
        <f>5300000</f>
        <v>5300000.0</v>
      </c>
      <c r="L41" s="21" t="n">
        <f>44259950</f>
        <v>4.425995E7</v>
      </c>
      <c r="M41" s="36" t="n">
        <f>0</f>
        <v>0.0</v>
      </c>
      <c r="N41" s="21" t="n">
        <f>57335100</f>
        <v>5.73351E7</v>
      </c>
      <c r="O41" s="36" t="n">
        <f>5300000</f>
        <v>5300000.0</v>
      </c>
    </row>
    <row r="42" spans="1:15" ht="24.9" customHeight="1">
      <c r="A42" s="38"/>
      <c r="B42" s="62"/>
      <c r="C42" s="20" t="s">
        <v>17</v>
      </c>
      <c r="D42" s="21" t="n">
        <f>1309</f>
        <v>1309.0</v>
      </c>
      <c r="E42" s="36" t="n">
        <f>110</f>
        <v>110.0</v>
      </c>
      <c r="F42" s="21" t="n">
        <f>1134</f>
        <v>1134.0</v>
      </c>
      <c r="G42" s="36" t="n">
        <f>110</f>
        <v>110.0</v>
      </c>
      <c r="H42" s="21" t="n">
        <f>2443</f>
        <v>2443.0</v>
      </c>
      <c r="I42" s="36" t="n">
        <f>220</f>
        <v>220.0</v>
      </c>
      <c r="J42" s="21" t="n">
        <f>162961110</f>
        <v>1.6296111E8</v>
      </c>
      <c r="K42" s="36" t="n">
        <f>39930000</f>
        <v>3.993E7</v>
      </c>
      <c r="L42" s="21" t="n">
        <f>61805328</f>
        <v>6.1805328E7</v>
      </c>
      <c r="M42" s="36" t="n">
        <f>39930000</f>
        <v>3.993E7</v>
      </c>
      <c r="N42" s="21" t="n">
        <f>224766438</f>
        <v>2.24766438E8</v>
      </c>
      <c r="O42" s="36" t="n">
        <f>79860000</f>
        <v>7.986E7</v>
      </c>
    </row>
    <row r="43" spans="1:15" ht="24.9" customHeight="1">
      <c r="A43" s="38"/>
      <c r="B43" s="62"/>
      <c r="C43" s="24" t="s">
        <v>18</v>
      </c>
      <c r="D43" s="25" t="n">
        <f>4612</f>
        <v>4612.0</v>
      </c>
      <c r="E43" s="37" t="n">
        <f>610</f>
        <v>610.0</v>
      </c>
      <c r="F43" s="25" t="n">
        <f>28878</f>
        <v>28878.0</v>
      </c>
      <c r="G43" s="37" t="n">
        <f>110</f>
        <v>110.0</v>
      </c>
      <c r="H43" s="25" t="n">
        <f>33490</f>
        <v>33490.0</v>
      </c>
      <c r="I43" s="37" t="n">
        <f>720</f>
        <v>720.0</v>
      </c>
      <c r="J43" s="25" t="n">
        <f>176036260</f>
        <v>1.7603626E8</v>
      </c>
      <c r="K43" s="37" t="n">
        <f>45230000</f>
        <v>4.523E7</v>
      </c>
      <c r="L43" s="25" t="n">
        <f>106065278</f>
        <v>1.06065278E8</v>
      </c>
      <c r="M43" s="37" t="n">
        <f>39930000</f>
        <v>3.993E7</v>
      </c>
      <c r="N43" s="25" t="n">
        <f>282101538</f>
        <v>2.82101538E8</v>
      </c>
      <c r="O43" s="37" t="n">
        <f>85160000</f>
        <v>8.516E7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