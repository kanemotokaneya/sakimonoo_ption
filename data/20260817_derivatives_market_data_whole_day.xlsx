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<sst xmlns="http://schemas.openxmlformats.org/spreadsheetml/2006/main" count="528" uniqueCount="129">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</sst>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DATE(2026,08,17)</f>
        <v>46251.0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DATE(2026,08,17)</f>
        <v>46251.0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432867.0</f>
        <v>432867.0</v>
      </c>
      <c r="E12" s="18" t="n">
        <f>21646.0</f>
        <v>21646.0</v>
      </c>
      <c r="F12" s="19" t="n">
        <f>1.0</f>
        <v>1.0</v>
      </c>
      <c r="G12" s="17" t="n">
        <f>3160294684217.0</f>
        <v>3.160294684217E12</v>
      </c>
      <c r="H12" s="18" t="n">
        <f>206984845942.0</f>
        <v>2.06984845942E11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287822.0</f>
        <v>287822.0</v>
      </c>
      <c r="E13" s="22" t="n">
        <f>13384.0</f>
        <v>13384.0</v>
      </c>
      <c r="F13" s="23" t="n">
        <f>1.0</f>
        <v>1.0</v>
      </c>
      <c r="G13" s="21" t="n">
        <f>3322752399032.0</f>
        <v>3.322752399032E12</v>
      </c>
      <c r="H13" s="22" t="n">
        <f>237311544232.0</f>
        <v>2.37311544232E11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282470.0</f>
        <v>282470.0</v>
      </c>
      <c r="E14" s="22" t="n">
        <f>21332.0</f>
        <v>21332.0</v>
      </c>
      <c r="F14" s="23" t="n">
        <f>1.0</f>
        <v>1.0</v>
      </c>
      <c r="G14" s="21" t="n">
        <f>4132280436052.0</f>
        <v>4.132280436052E12</v>
      </c>
      <c r="H14" s="22" t="n">
        <f>696310454972.0</f>
        <v>6.96310454972E11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1003159.0</f>
        <v>1003159.0</v>
      </c>
      <c r="E15" s="26" t="n">
        <f>56362.0</f>
        <v>56362.0</v>
      </c>
      <c r="F15" s="27" t="n">
        <f>1.0</f>
        <v>1.0</v>
      </c>
      <c r="G15" s="25" t="n">
        <f>10615327519301.0</f>
        <v>1.0615327519301E13</v>
      </c>
      <c r="H15" s="26" t="n">
        <f>1140606845146.0</f>
        <v>1.140606845146E12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9726.0</f>
        <v>9726.0</v>
      </c>
      <c r="E16" s="18" t="n">
        <f>62.0</f>
        <v>62.0</v>
      </c>
      <c r="F16" s="19" t="n">
        <f>0.022</f>
        <v>0.022</v>
      </c>
      <c r="G16" s="17" t="n">
        <f>1154836294375.0</f>
        <v>1.154836294375E12</v>
      </c>
      <c r="H16" s="18" t="n">
        <f>7841820000.0</f>
        <v>7.84182E9</v>
      </c>
      <c r="I16" s="19" t="n">
        <f>0.365</f>
        <v>0.365</v>
      </c>
    </row>
    <row r="17" spans="1:9" ht="24.9" customHeight="1">
      <c r="A17" s="41"/>
      <c r="B17" s="39"/>
      <c r="C17" s="20" t="s">
        <v>16</v>
      </c>
      <c r="D17" s="21" t="n">
        <f>14510.0</f>
        <v>14510.0</v>
      </c>
      <c r="E17" s="22" t="n">
        <f>992.0</f>
        <v>992.0</v>
      </c>
      <c r="F17" s="23" t="n">
        <f>0.05</f>
        <v>0.05</v>
      </c>
      <c r="G17" s="21" t="n">
        <f>1711259905000.0</f>
        <v>1.711259905E12</v>
      </c>
      <c r="H17" s="22" t="n">
        <f>125230410000.0</f>
        <v>1.2523041E11</v>
      </c>
      <c r="I17" s="23" t="n">
        <f>0.515</f>
        <v>0.515</v>
      </c>
    </row>
    <row r="18" spans="1:9" ht="24.9" customHeight="1">
      <c r="A18" s="41"/>
      <c r="B18" s="39"/>
      <c r="C18" s="20" t="s">
        <v>17</v>
      </c>
      <c r="D18" s="21" t="n">
        <f>13232.0</f>
        <v>13232.0</v>
      </c>
      <c r="E18" s="22" t="n">
        <f>969.0</f>
        <v>969.0</v>
      </c>
      <c r="F18" s="23" t="n">
        <f>0.047</f>
        <v>0.047</v>
      </c>
      <c r="G18" s="21" t="n">
        <f>1590461968500.0</f>
        <v>1.5904619685E12</v>
      </c>
      <c r="H18" s="22" t="n">
        <f>122222860000.0</f>
        <v>1.2222286E11</v>
      </c>
      <c r="I18" s="23" t="n">
        <f>0.385</f>
        <v>0.385</v>
      </c>
    </row>
    <row r="19" spans="1:9" ht="24.9" customHeight="1">
      <c r="A19" s="41"/>
      <c r="B19" s="39"/>
      <c r="C19" s="24" t="s">
        <v>18</v>
      </c>
      <c r="D19" s="25" t="n">
        <f>37468.0</f>
        <v>37468.0</v>
      </c>
      <c r="E19" s="26" t="n">
        <f>2023.0</f>
        <v>2023.0</v>
      </c>
      <c r="F19" s="27" t="n">
        <f>0.037</f>
        <v>0.037</v>
      </c>
      <c r="G19" s="25" t="n">
        <f>4456558167875.0</f>
        <v>4.456558167875E12</v>
      </c>
      <c r="H19" s="26" t="n">
        <f>255295090000.0</f>
        <v>2.5529509E11</v>
      </c>
      <c r="I19" s="27" t="n">
        <f>0.42</f>
        <v>0.42</v>
      </c>
    </row>
    <row r="20" spans="1:9" ht="24.9" customHeight="1">
      <c r="A20" s="41"/>
      <c r="B20" s="39" t="s">
        <v>21</v>
      </c>
      <c r="C20" s="16" t="s">
        <v>15</v>
      </c>
      <c r="D20" s="17" t="n">
        <f>411069.0</f>
        <v>411069.0</v>
      </c>
      <c r="E20" s="18" t="n">
        <f>21584.0</f>
        <v>21584.0</v>
      </c>
      <c r="F20" s="19" t="n">
        <f>0.95</f>
        <v>0.95</v>
      </c>
      <c r="G20" s="17" t="n">
        <f>1886237093292.0</f>
        <v>1.886237093292E12</v>
      </c>
      <c r="H20" s="18" t="n">
        <f>199143025942.0</f>
        <v>1.99143025942E11</v>
      </c>
      <c r="I20" s="19" t="n">
        <f>0.597</f>
        <v>0.597</v>
      </c>
    </row>
    <row r="21" spans="1:9" ht="24.9" customHeight="1">
      <c r="A21" s="41"/>
      <c r="B21" s="39"/>
      <c r="C21" s="20" t="s">
        <v>16</v>
      </c>
      <c r="D21" s="21" t="n">
        <f>266636.0</f>
        <v>266636.0</v>
      </c>
      <c r="E21" s="22" t="n">
        <f>12392.0</f>
        <v>12392.0</v>
      </c>
      <c r="F21" s="23" t="n">
        <f>0.926</f>
        <v>0.926</v>
      </c>
      <c r="G21" s="21" t="n">
        <f>1540358876182.0</f>
        <v>1.540358876182E12</v>
      </c>
      <c r="H21" s="22" t="n">
        <f>112081134232.0</f>
        <v>1.12081134232E11</v>
      </c>
      <c r="I21" s="23" t="n">
        <f>0.464</f>
        <v>0.464</v>
      </c>
    </row>
    <row r="22" spans="1:9" ht="24.9" customHeight="1">
      <c r="A22" s="41"/>
      <c r="B22" s="39"/>
      <c r="C22" s="20" t="s">
        <v>17</v>
      </c>
      <c r="D22" s="21" t="n">
        <f>261989.0</f>
        <v>261989.0</v>
      </c>
      <c r="E22" s="22" t="n">
        <f>20363.0</f>
        <v>20363.0</v>
      </c>
      <c r="F22" s="23" t="n">
        <f>0.927</f>
        <v>0.927</v>
      </c>
      <c r="G22" s="21" t="n">
        <f>2487596190672.0</f>
        <v>2.487596190672E12</v>
      </c>
      <c r="H22" s="22" t="n">
        <f>574087594972.0</f>
        <v>5.74087594972E11</v>
      </c>
      <c r="I22" s="23" t="n">
        <f>0.602</f>
        <v>0.602</v>
      </c>
    </row>
    <row r="23" spans="1:9" ht="24.9" customHeight="1">
      <c r="A23" s="41"/>
      <c r="B23" s="39"/>
      <c r="C23" s="24" t="s">
        <v>18</v>
      </c>
      <c r="D23" s="25" t="n">
        <f>939694.0</f>
        <v>939694.0</v>
      </c>
      <c r="E23" s="26" t="n">
        <f>54339.0</f>
        <v>54339.0</v>
      </c>
      <c r="F23" s="27" t="n">
        <f>0.937</f>
        <v>0.937</v>
      </c>
      <c r="G23" s="25" t="n">
        <f>5914192160146.0</f>
        <v>5.914192160146E12</v>
      </c>
      <c r="H23" s="26" t="n">
        <f>885311755146.0</f>
        <v>8.85311755146E11</v>
      </c>
      <c r="I23" s="27" t="n">
        <f>0.557</f>
        <v>0.557</v>
      </c>
    </row>
    <row r="24" spans="1:9" ht="24.9" customHeight="1">
      <c r="A24" s="41"/>
      <c r="B24" s="39" t="s">
        <v>22</v>
      </c>
      <c r="C24" s="16" t="s">
        <v>15</v>
      </c>
      <c r="D24" s="17" t="n">
        <f>11692.0</f>
        <v>11692.0</v>
      </c>
      <c r="E24" s="18" t="n">
        <f>0.0</f>
        <v>0.0</v>
      </c>
      <c r="F24" s="19" t="n">
        <f>0.027</f>
        <v>0.027</v>
      </c>
      <c r="G24" s="17" t="n">
        <f>117803637550.0</f>
        <v>1.1780363755E11</v>
      </c>
      <c r="H24" s="18" t="n">
        <f>0.0</f>
        <v>0.0</v>
      </c>
      <c r="I24" s="19" t="n">
        <f>0.037</f>
        <v>0.037</v>
      </c>
    </row>
    <row r="25" spans="1:9" ht="24.9" customHeight="1">
      <c r="A25" s="41"/>
      <c r="B25" s="39"/>
      <c r="C25" s="20" t="s">
        <v>16</v>
      </c>
      <c r="D25" s="21" t="n">
        <f>6543.0</f>
        <v>6543.0</v>
      </c>
      <c r="E25" s="22" t="n">
        <f>0.0</f>
        <v>0.0</v>
      </c>
      <c r="F25" s="23" t="n">
        <f>0.023</f>
        <v>0.023</v>
      </c>
      <c r="G25" s="21" t="n">
        <f>70635575350.0</f>
        <v>7.063557535E10</v>
      </c>
      <c r="H25" s="22" t="n">
        <f>0.0</f>
        <v>0.0</v>
      </c>
      <c r="I25" s="23" t="n">
        <f>0.021</f>
        <v>0.021</v>
      </c>
    </row>
    <row r="26" spans="1:9" ht="24.9" customHeight="1">
      <c r="A26" s="41"/>
      <c r="B26" s="39"/>
      <c r="C26" s="20" t="s">
        <v>17</v>
      </c>
      <c r="D26" s="21" t="n">
        <f>5766.0</f>
        <v>5766.0</v>
      </c>
      <c r="E26" s="22" t="n">
        <f>0.0</f>
        <v>0.0</v>
      </c>
      <c r="F26" s="23" t="n">
        <f>0.02</f>
        <v>0.02</v>
      </c>
      <c r="G26" s="21" t="n">
        <f>48702239400.0</f>
        <v>4.87022394E10</v>
      </c>
      <c r="H26" s="22" t="n">
        <f>0.0</f>
        <v>0.0</v>
      </c>
      <c r="I26" s="23" t="n">
        <f>0.012</f>
        <v>0.012</v>
      </c>
    </row>
    <row r="27" spans="1:9" ht="24.9" customHeight="1">
      <c r="A27" s="42"/>
      <c r="B27" s="39"/>
      <c r="C27" s="24" t="s">
        <v>18</v>
      </c>
      <c r="D27" s="25" t="n">
        <f>24001.0</f>
        <v>24001.0</v>
      </c>
      <c r="E27" s="26" t="n">
        <f>0.0</f>
        <v>0.0</v>
      </c>
      <c r="F27" s="27" t="n">
        <f>0.024</f>
        <v>0.024</v>
      </c>
      <c r="G27" s="25" t="n">
        <f>237141452300.0</f>
        <v>2.371414523E11</v>
      </c>
      <c r="H27" s="26" t="n">
        <f>0.0</f>
        <v>0.0</v>
      </c>
      <c r="I27" s="27" t="n">
        <f>0.022</f>
        <v>0.022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380.0</f>
        <v>380.0</v>
      </c>
      <c r="E28" s="18" t="n">
        <f>0.0</f>
        <v>0.0</v>
      </c>
      <c r="F28" s="19" t="n">
        <f>0.001</f>
        <v>0.001</v>
      </c>
      <c r="G28" s="17" t="n">
        <f>1417659000.0</f>
        <v>1.417659E9</v>
      </c>
      <c r="H28" s="18" t="n">
        <f>0.0</f>
        <v>0.0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133.0</f>
        <v>133.0</v>
      </c>
      <c r="E29" s="22" t="n">
        <f>0.0</f>
        <v>0.0</v>
      </c>
      <c r="F29" s="23" t="n">
        <f>0.0</f>
        <v>0.0</v>
      </c>
      <c r="G29" s="21" t="n">
        <f>498042500.0</f>
        <v>4.980425E8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1483.0</f>
        <v>1483.0</v>
      </c>
      <c r="E30" s="22" t="n">
        <f>0.0</f>
        <v>0.0</v>
      </c>
      <c r="F30" s="23" t="n">
        <f>0.005</f>
        <v>0.005</v>
      </c>
      <c r="G30" s="21" t="n">
        <f>5520037480.0</f>
        <v>5.52003748E9</v>
      </c>
      <c r="H30" s="22" t="n">
        <f>0.0</f>
        <v>0.0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1996.0</f>
        <v>1996.0</v>
      </c>
      <c r="E31" s="26" t="n">
        <f>0.0</f>
        <v>0.0</v>
      </c>
      <c r="F31" s="27" t="n">
        <f>0.002</f>
        <v>0.002</v>
      </c>
      <c r="G31" s="25" t="n">
        <f>7435738980.0</f>
        <v>7.43573898E9</v>
      </c>
      <c r="H31" s="26" t="n">
        <f>0.0</f>
        <v>0.0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46251.0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46251.0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36119</f>
        <v>36119.0</v>
      </c>
      <c r="E11" s="18" t="n">
        <f>6187</f>
        <v>6187.0</v>
      </c>
      <c r="F11" s="19" t="n">
        <f>1</f>
        <v>1.0</v>
      </c>
      <c r="G11" s="17" t="n">
        <f>15266383649</f>
        <v>1.5266383649E10</v>
      </c>
      <c r="H11" s="18" t="n">
        <f>7960219049</f>
        <v>7.960219049E9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20877</f>
        <v>20877.0</v>
      </c>
      <c r="E12" s="22" t="n">
        <f>3919</f>
        <v>3919.0</v>
      </c>
      <c r="F12" s="23" t="n">
        <f>1</f>
        <v>1.0</v>
      </c>
      <c r="G12" s="21" t="n">
        <f>4552369428</f>
        <v>4.552369428E9</v>
      </c>
      <c r="H12" s="22" t="n">
        <f>3176176450</f>
        <v>3.17617645E9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45542</f>
        <v>45542.0</v>
      </c>
      <c r="E13" s="22" t="n">
        <f>21994</f>
        <v>21994.0</v>
      </c>
      <c r="F13" s="23" t="n">
        <f>1</f>
        <v>1.0</v>
      </c>
      <c r="G13" s="21" t="n">
        <f>21630161525</f>
        <v>2.1630161525E10</v>
      </c>
      <c r="H13" s="22" t="n">
        <f>19006783147</f>
        <v>1.9006783147E10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102538</f>
        <v>102538.0</v>
      </c>
      <c r="E14" s="26" t="n">
        <f>32100</f>
        <v>32100.0</v>
      </c>
      <c r="F14" s="27" t="n">
        <f>1</f>
        <v>1.0</v>
      </c>
      <c r="G14" s="25" t="n">
        <f>41448914602</f>
        <v>4.1448914602E10</v>
      </c>
      <c r="H14" s="26" t="n">
        <f>30143178646</f>
        <v>3.0143178646E10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0</f>
        <v>0.0</v>
      </c>
      <c r="E15" s="18" t="n">
        <f>0</f>
        <v>0.0</v>
      </c>
      <c r="F15" s="19" t="n">
        <f>0</f>
        <v>0.0</v>
      </c>
      <c r="G15" s="17" t="n">
        <f>0</f>
        <v>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218</f>
        <v>218.0</v>
      </c>
      <c r="E16" s="22" t="n">
        <f>0</f>
        <v>0.0</v>
      </c>
      <c r="F16" s="23" t="n">
        <f>0.01</f>
        <v>0.01</v>
      </c>
      <c r="G16" s="21" t="n">
        <f>28850000</f>
        <v>2.885E7</v>
      </c>
      <c r="H16" s="22" t="n">
        <f>0</f>
        <v>0.0</v>
      </c>
      <c r="I16" s="23" t="n">
        <f>0.006</f>
        <v>0.006</v>
      </c>
    </row>
    <row r="17" spans="1:9" ht="24.9" customHeight="1">
      <c r="A17" s="41"/>
      <c r="B17" s="39"/>
      <c r="C17" s="20" t="s">
        <v>17</v>
      </c>
      <c r="D17" s="21" t="n">
        <f>166</f>
        <v>166.0</v>
      </c>
      <c r="E17" s="22" t="n">
        <f>0</f>
        <v>0.0</v>
      </c>
      <c r="F17" s="23" t="n">
        <f>0.004</f>
        <v>0.004</v>
      </c>
      <c r="G17" s="21" t="n">
        <f>10420000</f>
        <v>1.042E7</v>
      </c>
      <c r="H17" s="22" t="n">
        <f>0</f>
        <v>0.0</v>
      </c>
      <c r="I17" s="23" t="n">
        <f>0</f>
        <v>0.0</v>
      </c>
    </row>
    <row r="18" spans="1:9" ht="24.9" customHeight="1">
      <c r="A18" s="41"/>
      <c r="B18" s="39"/>
      <c r="C18" s="24" t="s">
        <v>18</v>
      </c>
      <c r="D18" s="25" t="n">
        <f>384</f>
        <v>384.0</v>
      </c>
      <c r="E18" s="26" t="n">
        <f>0</f>
        <v>0.0</v>
      </c>
      <c r="F18" s="27" t="n">
        <f>0.004</f>
        <v>0.004</v>
      </c>
      <c r="G18" s="25" t="n">
        <f>39270000</f>
        <v>3.927E7</v>
      </c>
      <c r="H18" s="26" t="n">
        <f>0</f>
        <v>0.0</v>
      </c>
      <c r="I18" s="27" t="n">
        <f>0.001</f>
        <v>0.001</v>
      </c>
    </row>
    <row r="19" spans="1:9" ht="24.9" customHeight="1">
      <c r="A19" s="41"/>
      <c r="B19" s="39" t="s">
        <v>31</v>
      </c>
      <c r="C19" s="16" t="s">
        <v>15</v>
      </c>
      <c r="D19" s="17" t="n">
        <f>36119</f>
        <v>36119.0</v>
      </c>
      <c r="E19" s="18" t="n">
        <f>6187</f>
        <v>6187.0</v>
      </c>
      <c r="F19" s="19" t="n">
        <f>1</f>
        <v>1.0</v>
      </c>
      <c r="G19" s="17" t="n">
        <f>15266383649</f>
        <v>1.5266383649E10</v>
      </c>
      <c r="H19" s="18" t="n">
        <f>7960219049</f>
        <v>7.960219049E9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17108</f>
        <v>17108.0</v>
      </c>
      <c r="E20" s="22" t="n">
        <f>3719</f>
        <v>3719.0</v>
      </c>
      <c r="F20" s="23" t="n">
        <f>0.819</f>
        <v>0.819</v>
      </c>
      <c r="G20" s="21" t="n">
        <f>4344103950</f>
        <v>4.34410395E9</v>
      </c>
      <c r="H20" s="22" t="n">
        <f>3015176450</f>
        <v>3.01517645E9</v>
      </c>
      <c r="I20" s="23" t="n">
        <f>0.954</f>
        <v>0.954</v>
      </c>
    </row>
    <row r="21" spans="1:9" ht="24.9" customHeight="1">
      <c r="A21" s="41"/>
      <c r="B21" s="39"/>
      <c r="C21" s="20" t="s">
        <v>17</v>
      </c>
      <c r="D21" s="21" t="n">
        <f>38708</f>
        <v>38708.0</v>
      </c>
      <c r="E21" s="22" t="n">
        <f>16794</f>
        <v>16794.0</v>
      </c>
      <c r="F21" s="23" t="n">
        <f>0.85</f>
        <v>0.85</v>
      </c>
      <c r="G21" s="21" t="n">
        <f>21359401447</f>
        <v>2.1359401447E10</v>
      </c>
      <c r="H21" s="22" t="n">
        <f>18769133147</f>
        <v>1.8769133147E10</v>
      </c>
      <c r="I21" s="23" t="n">
        <f>0.987</f>
        <v>0.987</v>
      </c>
    </row>
    <row r="22" spans="1:9" ht="24.9" customHeight="1">
      <c r="A22" s="41"/>
      <c r="B22" s="39"/>
      <c r="C22" s="24" t="s">
        <v>18</v>
      </c>
      <c r="D22" s="25" t="n">
        <f>91935</f>
        <v>91935.0</v>
      </c>
      <c r="E22" s="26" t="n">
        <f>26700</f>
        <v>26700.0</v>
      </c>
      <c r="F22" s="27" t="n">
        <f>0.897</f>
        <v>0.897</v>
      </c>
      <c r="G22" s="25" t="n">
        <f>40969889046</f>
        <v>4.0969889046E10</v>
      </c>
      <c r="H22" s="26" t="n">
        <f>29744528646</f>
        <v>2.9744528646E10</v>
      </c>
      <c r="I22" s="27" t="n">
        <f>0.988</f>
        <v>0.988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3551</f>
        <v>3551.0</v>
      </c>
      <c r="E24" s="22" t="n">
        <f>200</f>
        <v>200.0</v>
      </c>
      <c r="F24" s="23" t="n">
        <f>0.17</f>
        <v>0.17</v>
      </c>
      <c r="G24" s="21" t="n">
        <f>179415478</f>
        <v>1.79415478E8</v>
      </c>
      <c r="H24" s="22" t="n">
        <f>161000000</f>
        <v>1.61E8</v>
      </c>
      <c r="I24" s="23" t="n">
        <f>0.039</f>
        <v>0.039</v>
      </c>
    </row>
    <row r="25" spans="1:9" ht="24.9" customHeight="1">
      <c r="A25" s="41"/>
      <c r="B25" s="39"/>
      <c r="C25" s="20" t="s">
        <v>17</v>
      </c>
      <c r="D25" s="21" t="n">
        <f>6668</f>
        <v>6668.0</v>
      </c>
      <c r="E25" s="22" t="n">
        <f>5200</f>
        <v>5200.0</v>
      </c>
      <c r="F25" s="23" t="n">
        <f>0.146</f>
        <v>0.146</v>
      </c>
      <c r="G25" s="21" t="n">
        <f>260340078</f>
        <v>2.60340078E8</v>
      </c>
      <c r="H25" s="22" t="n">
        <f>237650000</f>
        <v>2.3765E8</v>
      </c>
      <c r="I25" s="23" t="n">
        <f>0.012</f>
        <v>0.012</v>
      </c>
    </row>
    <row r="26" spans="1:9" ht="24.9" customHeight="1">
      <c r="A26" s="41"/>
      <c r="B26" s="39"/>
      <c r="C26" s="24" t="s">
        <v>18</v>
      </c>
      <c r="D26" s="25" t="n">
        <f>10219</f>
        <v>10219.0</v>
      </c>
      <c r="E26" s="26" t="n">
        <f>5400</f>
        <v>5400.0</v>
      </c>
      <c r="F26" s="27" t="n">
        <f>0.1</f>
        <v>0.1</v>
      </c>
      <c r="G26" s="25" t="n">
        <f>439755556</f>
        <v>4.39755556E8</v>
      </c>
      <c r="H26" s="26" t="n">
        <f>398650000</f>
        <v>3.9865E8</v>
      </c>
      <c r="I26" s="27" t="n">
        <f>0.011</f>
        <v>0.011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46251.0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46251.0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5490.0</v>
      </c>
      <c r="F12" s="18" t="n">
        <f>808</f>
        <v>808.0</v>
      </c>
      <c r="G12" s="17" t="n">
        <v>3.775047372E11</v>
      </c>
      <c r="H12" s="18" t="n">
        <f>55540866200</f>
        <v>5.55408662E10</v>
      </c>
    </row>
    <row r="13" spans="1:8" ht="24.9" customHeight="1">
      <c r="A13" s="51"/>
      <c r="B13" s="57"/>
      <c r="C13" s="39"/>
      <c r="D13" s="20" t="s">
        <v>16</v>
      </c>
      <c r="E13" s="21" t="n">
        <v>4572.0</v>
      </c>
      <c r="F13" s="22" t="n">
        <f>328</f>
        <v>328.0</v>
      </c>
      <c r="G13" s="21" t="n">
        <v>3.146541541E11</v>
      </c>
      <c r="H13" s="22" t="n">
        <f>22558591100</f>
        <v>2.25585911E10</v>
      </c>
    </row>
    <row r="14" spans="1:8" ht="24.9" customHeight="1">
      <c r="A14" s="51"/>
      <c r="B14" s="57"/>
      <c r="C14" s="39"/>
      <c r="D14" s="20" t="s">
        <v>17</v>
      </c>
      <c r="E14" s="21" t="n">
        <v>12981.0</v>
      </c>
      <c r="F14" s="22" t="n">
        <f>4784</f>
        <v>4784.0</v>
      </c>
      <c r="G14" s="21" t="n">
        <v>8.96470188052E11</v>
      </c>
      <c r="H14" s="22" t="n">
        <f>330629863052</f>
        <v>3.30629863052E11</v>
      </c>
    </row>
    <row r="15" spans="1:8" ht="24.9" customHeight="1">
      <c r="A15" s="51"/>
      <c r="B15" s="57"/>
      <c r="C15" s="39"/>
      <c r="D15" s="24" t="s">
        <v>18</v>
      </c>
      <c r="E15" s="25" t="n">
        <v>23043.0</v>
      </c>
      <c r="F15" s="26" t="n">
        <f>5920</f>
        <v>5920.0</v>
      </c>
      <c r="G15" s="25" t="n">
        <v>1.588629079352E12</v>
      </c>
      <c r="H15" s="26" t="n">
        <f>408729320352</f>
        <v>4.08729320352E11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148036.0</v>
      </c>
      <c r="F16" s="18" t="n">
        <f>20391</f>
        <v>20391.0</v>
      </c>
      <c r="G16" s="17" t="n">
        <v>1.01793235646E12</v>
      </c>
      <c r="H16" s="18" t="n">
        <f>140229469460</f>
        <v>1.4022946946E11</v>
      </c>
    </row>
    <row r="17" spans="1:8" ht="24.9" customHeight="1">
      <c r="A17" s="51"/>
      <c r="B17" s="57"/>
      <c r="C17" s="39"/>
      <c r="D17" s="20" t="s">
        <v>16</v>
      </c>
      <c r="E17" s="21" t="n">
        <v>102440.0</v>
      </c>
      <c r="F17" s="22" t="n">
        <f>11439</f>
        <v>11439.0</v>
      </c>
      <c r="G17" s="21" t="n">
        <v>7.0502296668E11</v>
      </c>
      <c r="H17" s="22" t="n">
        <f>78718620180</f>
        <v>7.871862018E10</v>
      </c>
    </row>
    <row r="18" spans="1:8" ht="24.9" customHeight="1">
      <c r="A18" s="51"/>
      <c r="B18" s="57"/>
      <c r="C18" s="39"/>
      <c r="D18" s="20" t="s">
        <v>17</v>
      </c>
      <c r="E18" s="21" t="n">
        <v>98663.0</v>
      </c>
      <c r="F18" s="22" t="n">
        <f>10298</f>
        <v>10298.0</v>
      </c>
      <c r="G18" s="21" t="n">
        <v>6.8049658155E11</v>
      </c>
      <c r="H18" s="22" t="n">
        <f>70978513550</f>
        <v>7.097851355E10</v>
      </c>
    </row>
    <row r="19" spans="1:8" ht="24.9" customHeight="1">
      <c r="A19" s="51"/>
      <c r="B19" s="57"/>
      <c r="C19" s="39"/>
      <c r="D19" s="24" t="s">
        <v>18</v>
      </c>
      <c r="E19" s="25" t="n">
        <v>349139.0</v>
      </c>
      <c r="F19" s="26" t="n">
        <f>42128</f>
        <v>42128.0</v>
      </c>
      <c r="G19" s="25" t="n">
        <v>2.40345190469E12</v>
      </c>
      <c r="H19" s="26" t="n">
        <f>289926603190</f>
        <v>2.8992660319E11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245371.0</v>
      </c>
      <c r="F20" s="18" t="str">
        <f>"－"</f>
        <v>－</v>
      </c>
      <c r="G20" s="17" t="n">
        <v>1.687303359E11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143255.0</v>
      </c>
      <c r="F21" s="22" t="str">
        <f>"－"</f>
        <v>－</v>
      </c>
      <c r="G21" s="21" t="n">
        <v>9.859866515E10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124595.0</v>
      </c>
      <c r="F22" s="22" t="str">
        <f>"－"</f>
        <v>－</v>
      </c>
      <c r="G22" s="21" t="n">
        <v>8.59097595E10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513221.0</v>
      </c>
      <c r="F23" s="26" t="str">
        <f>"－"</f>
        <v>－</v>
      </c>
      <c r="G23" s="25" t="n">
        <v>3.5323876055E11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7216.0</v>
      </c>
      <c r="F24" s="18" t="n">
        <f>50</f>
        <v>50.0</v>
      </c>
      <c r="G24" s="17" t="n">
        <v>3.031530765E11</v>
      </c>
      <c r="H24" s="18" t="n">
        <f>2100306500</f>
        <v>2.1003065E9</v>
      </c>
    </row>
    <row r="25" spans="1:8" ht="24.9" customHeight="1">
      <c r="A25" s="51"/>
      <c r="B25" s="57"/>
      <c r="C25" s="39"/>
      <c r="D25" s="20" t="s">
        <v>16</v>
      </c>
      <c r="E25" s="21" t="n">
        <v>9459.0</v>
      </c>
      <c r="F25" s="22" t="n">
        <f>206</f>
        <v>206.0</v>
      </c>
      <c r="G25" s="21" t="n">
        <v>3.96354089362E11</v>
      </c>
      <c r="H25" s="22" t="n">
        <f>8648189362</f>
        <v>8.648189362E9</v>
      </c>
    </row>
    <row r="26" spans="1:8" ht="24.9" customHeight="1">
      <c r="A26" s="51"/>
      <c r="B26" s="57"/>
      <c r="C26" s="39"/>
      <c r="D26" s="20" t="s">
        <v>17</v>
      </c>
      <c r="E26" s="21" t="n">
        <v>19185.0</v>
      </c>
      <c r="F26" s="22" t="n">
        <f>4056</f>
        <v>4056.0</v>
      </c>
      <c r="G26" s="21" t="n">
        <v>8.023753806E11</v>
      </c>
      <c r="H26" s="22" t="n">
        <f>169590700600</f>
        <v>1.695907006E11</v>
      </c>
    </row>
    <row r="27" spans="1:8" ht="24.9" customHeight="1">
      <c r="A27" s="51"/>
      <c r="B27" s="57"/>
      <c r="C27" s="39"/>
      <c r="D27" s="24" t="s">
        <v>18</v>
      </c>
      <c r="E27" s="25" t="n">
        <v>35860.0</v>
      </c>
      <c r="F27" s="26" t="n">
        <f>4312</f>
        <v>4312.0</v>
      </c>
      <c r="G27" s="25" t="n">
        <v>1.501882546462E12</v>
      </c>
      <c r="H27" s="26" t="n">
        <f>180339196462</f>
        <v>1.80339196462E11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3944.0</v>
      </c>
      <c r="F28" s="18" t="n">
        <f>214</f>
        <v>214.0</v>
      </c>
      <c r="G28" s="17" t="n">
        <v>1.65687426E10</v>
      </c>
      <c r="H28" s="18" t="n">
        <f>898961850</f>
        <v>8.9896185E8</v>
      </c>
    </row>
    <row r="29" spans="1:8" ht="24.9" customHeight="1">
      <c r="A29" s="51"/>
      <c r="B29" s="57"/>
      <c r="C29" s="39"/>
      <c r="D29" s="20" t="s">
        <v>16</v>
      </c>
      <c r="E29" s="21" t="n">
        <v>4784.0</v>
      </c>
      <c r="F29" s="22" t="n">
        <f>236</f>
        <v>236.0</v>
      </c>
      <c r="G29" s="21" t="n">
        <v>2.00604854E10</v>
      </c>
      <c r="H29" s="22" t="n">
        <f>989216400</f>
        <v>9.892164E8</v>
      </c>
    </row>
    <row r="30" spans="1:8" ht="24.9" customHeight="1">
      <c r="A30" s="51"/>
      <c r="B30" s="57"/>
      <c r="C30" s="39"/>
      <c r="D30" s="20" t="s">
        <v>17</v>
      </c>
      <c r="E30" s="21" t="n">
        <v>4306.0</v>
      </c>
      <c r="F30" s="22" t="n">
        <f>292</f>
        <v>292.0</v>
      </c>
      <c r="G30" s="21" t="n">
        <v>1.801206184E10</v>
      </c>
      <c r="H30" s="22" t="n">
        <f>1221912840</f>
        <v>1.22191284E9</v>
      </c>
    </row>
    <row r="31" spans="1:8" ht="24.9" customHeight="1">
      <c r="A31" s="51"/>
      <c r="B31" s="57"/>
      <c r="C31" s="39"/>
      <c r="D31" s="24" t="s">
        <v>18</v>
      </c>
      <c r="E31" s="25" t="n">
        <v>13034.0</v>
      </c>
      <c r="F31" s="26" t="n">
        <f>742</f>
        <v>742.0</v>
      </c>
      <c r="G31" s="25" t="n">
        <v>5.464128984E10</v>
      </c>
      <c r="H31" s="26" t="n">
        <f>3110091090</f>
        <v>3.11009109E9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283.0</v>
      </c>
      <c r="F36" s="18" t="n">
        <f>82</f>
        <v>82.0</v>
      </c>
      <c r="G36" s="17" t="n">
        <v>1.074203702E9</v>
      </c>
      <c r="H36" s="18" t="n">
        <f>311326202</f>
        <v>3.11326202E8</v>
      </c>
    </row>
    <row r="37" spans="1:8" ht="24.9" customHeight="1">
      <c r="A37" s="51"/>
      <c r="B37" s="57"/>
      <c r="C37" s="39"/>
      <c r="D37" s="20" t="s">
        <v>16</v>
      </c>
      <c r="E37" s="21" t="n">
        <v>949.0</v>
      </c>
      <c r="F37" s="22" t="n">
        <f>2</f>
        <v>2.0</v>
      </c>
      <c r="G37" s="21" t="n">
        <v>3.59233099E9</v>
      </c>
      <c r="H37" s="22" t="n">
        <f>7545990</f>
        <v>7545990.0</v>
      </c>
    </row>
    <row r="38" spans="1:8" ht="24.9" customHeight="1">
      <c r="A38" s="51"/>
      <c r="B38" s="57"/>
      <c r="C38" s="39"/>
      <c r="D38" s="20" t="s">
        <v>17</v>
      </c>
      <c r="E38" s="21" t="n">
        <v>481.0</v>
      </c>
      <c r="F38" s="22" t="n">
        <f>4</f>
        <v>4.0</v>
      </c>
      <c r="G38" s="21" t="n">
        <v>1.817651E9</v>
      </c>
      <c r="H38" s="22" t="n">
        <f>15076000</f>
        <v>1.5076E7</v>
      </c>
    </row>
    <row r="39" spans="1:8" ht="24.9" customHeight="1">
      <c r="A39" s="51"/>
      <c r="B39" s="57"/>
      <c r="C39" s="39"/>
      <c r="D39" s="24" t="s">
        <v>18</v>
      </c>
      <c r="E39" s="25" t="n">
        <v>1713.0</v>
      </c>
      <c r="F39" s="26" t="n">
        <f>88</f>
        <v>88.0</v>
      </c>
      <c r="G39" s="25" t="n">
        <v>6.484185692E9</v>
      </c>
      <c r="H39" s="26" t="n">
        <f>333948192</f>
        <v>3.33948192E8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147.0</v>
      </c>
      <c r="F45" s="22" t="n">
        <f>147</f>
        <v>147.0</v>
      </c>
      <c r="G45" s="21" t="n">
        <v>1.124109E9</v>
      </c>
      <c r="H45" s="22" t="n">
        <f>1124109000</f>
        <v>1.124109E9</v>
      </c>
    </row>
    <row r="46" spans="1:8" ht="24.9" customHeight="1">
      <c r="A46" s="51"/>
      <c r="B46" s="57"/>
      <c r="C46" s="39"/>
      <c r="D46" s="20" t="s">
        <v>17</v>
      </c>
      <c r="E46" s="21" t="n">
        <v>0.0</v>
      </c>
      <c r="F46" s="22" t="n">
        <f>0</f>
        <v>0.0</v>
      </c>
      <c r="G46" s="21" t="n">
        <v>0.0</v>
      </c>
      <c r="H46" s="22" t="n">
        <f>0</f>
        <v>0.0</v>
      </c>
    </row>
    <row r="47" spans="1:8" ht="24.9" customHeight="1">
      <c r="A47" s="51"/>
      <c r="B47" s="57"/>
      <c r="C47" s="39"/>
      <c r="D47" s="24" t="s">
        <v>18</v>
      </c>
      <c r="E47" s="25" t="n">
        <v>147.0</v>
      </c>
      <c r="F47" s="26" t="n">
        <f>147</f>
        <v>147.0</v>
      </c>
      <c r="G47" s="25" t="n">
        <v>1.124109E9</v>
      </c>
      <c r="H47" s="26" t="n">
        <f>1124109000</f>
        <v>1.124109E9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27.0</v>
      </c>
      <c r="F48" s="18" t="n">
        <f>27</f>
        <v>27.0</v>
      </c>
      <c r="G48" s="17" t="n">
        <v>4.848593E7</v>
      </c>
      <c r="H48" s="18" t="n">
        <f>48485930</f>
        <v>4.848593E7</v>
      </c>
    </row>
    <row r="49" spans="1:8" ht="24.9" customHeight="1">
      <c r="A49" s="51"/>
      <c r="B49" s="57"/>
      <c r="C49" s="39"/>
      <c r="D49" s="20" t="s">
        <v>16</v>
      </c>
      <c r="E49" s="21" t="n">
        <v>59.0</v>
      </c>
      <c r="F49" s="22" t="n">
        <f>0</f>
        <v>0.0</v>
      </c>
      <c r="G49" s="21" t="n">
        <v>1.064045E8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1054.0</v>
      </c>
      <c r="F50" s="22" t="n">
        <f>906</f>
        <v>906.0</v>
      </c>
      <c r="G50" s="21" t="n">
        <v>1.89567528E9</v>
      </c>
      <c r="H50" s="22" t="n">
        <f>1629501780</f>
        <v>1.62950178E9</v>
      </c>
    </row>
    <row r="51" spans="1:8" ht="24.9" customHeight="1">
      <c r="A51" s="51"/>
      <c r="B51" s="57"/>
      <c r="C51" s="39"/>
      <c r="D51" s="24" t="s">
        <v>18</v>
      </c>
      <c r="E51" s="25" t="n">
        <v>1140.0</v>
      </c>
      <c r="F51" s="26" t="n">
        <f>933</f>
        <v>933.0</v>
      </c>
      <c r="G51" s="25" t="n">
        <v>2.05056571E9</v>
      </c>
      <c r="H51" s="26" t="n">
        <f>1677987710</f>
        <v>1.67798771E9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402.0</v>
      </c>
      <c r="F56" s="18" t="n">
        <f>11</f>
        <v>11.0</v>
      </c>
      <c r="G56" s="17" t="n">
        <v>3.001471E8</v>
      </c>
      <c r="H56" s="18" t="n">
        <f>8224100</f>
        <v>8224100.0</v>
      </c>
    </row>
    <row r="57" spans="1:8" ht="24.9" customHeight="1">
      <c r="A57" s="51"/>
      <c r="B57" s="57"/>
      <c r="C57" s="39"/>
      <c r="D57" s="20" t="s">
        <v>16</v>
      </c>
      <c r="E57" s="21" t="n">
        <v>914.0</v>
      </c>
      <c r="F57" s="22" t="n">
        <f>32</f>
        <v>32.0</v>
      </c>
      <c r="G57" s="21" t="n">
        <v>6.889181E8</v>
      </c>
      <c r="H57" s="22" t="n">
        <f>24103100</f>
        <v>2.41031E7</v>
      </c>
    </row>
    <row r="58" spans="1:8" ht="24.9" customHeight="1">
      <c r="A58" s="51"/>
      <c r="B58" s="57"/>
      <c r="C58" s="39"/>
      <c r="D58" s="20" t="s">
        <v>17</v>
      </c>
      <c r="E58" s="21" t="n">
        <v>680.0</v>
      </c>
      <c r="F58" s="22" t="n">
        <f>22</f>
        <v>22.0</v>
      </c>
      <c r="G58" s="21" t="n">
        <v>5.1211815E8</v>
      </c>
      <c r="H58" s="22" t="n">
        <f>16652150</f>
        <v>1.665215E7</v>
      </c>
    </row>
    <row r="59" spans="1:8" ht="24.9" customHeight="1">
      <c r="A59" s="51"/>
      <c r="B59" s="57"/>
      <c r="C59" s="39"/>
      <c r="D59" s="24" t="s">
        <v>18</v>
      </c>
      <c r="E59" s="25" t="n">
        <v>1996.0</v>
      </c>
      <c r="F59" s="26" t="n">
        <f>65</f>
        <v>65.0</v>
      </c>
      <c r="G59" s="25" t="n">
        <v>1.50118335E9</v>
      </c>
      <c r="H59" s="26" t="n">
        <f>48979350</f>
        <v>4.897935E7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115.0</v>
      </c>
      <c r="F60" s="18" t="n">
        <f>1</f>
        <v>1.0</v>
      </c>
      <c r="G60" s="17" t="n">
        <v>6.192269E8</v>
      </c>
      <c r="H60" s="18" t="n">
        <f>5385700</f>
        <v>5385700.0</v>
      </c>
    </row>
    <row r="61" spans="1:8" ht="24.9" customHeight="1">
      <c r="A61" s="51"/>
      <c r="B61" s="57"/>
      <c r="C61" s="39"/>
      <c r="D61" s="20" t="s">
        <v>16</v>
      </c>
      <c r="E61" s="21" t="n">
        <v>15.0</v>
      </c>
      <c r="F61" s="22" t="n">
        <f>2</f>
        <v>2.0</v>
      </c>
      <c r="G61" s="21" t="n">
        <v>8.06577E7</v>
      </c>
      <c r="H61" s="22" t="n">
        <f>10759100</f>
        <v>1.07591E7</v>
      </c>
    </row>
    <row r="62" spans="1:8" ht="24.9" customHeight="1">
      <c r="A62" s="51"/>
      <c r="B62" s="57"/>
      <c r="C62" s="39"/>
      <c r="D62" s="20" t="s">
        <v>17</v>
      </c>
      <c r="E62" s="21" t="n">
        <v>18.0</v>
      </c>
      <c r="F62" s="22" t="n">
        <f>1</f>
        <v>1.0</v>
      </c>
      <c r="G62" s="21" t="n">
        <v>9.67551E7</v>
      </c>
      <c r="H62" s="22" t="n">
        <f>5375000</f>
        <v>5375000.0</v>
      </c>
    </row>
    <row r="63" spans="1:8" ht="24.9" customHeight="1">
      <c r="A63" s="51"/>
      <c r="B63" s="57"/>
      <c r="C63" s="39"/>
      <c r="D63" s="24" t="s">
        <v>18</v>
      </c>
      <c r="E63" s="25" t="n">
        <v>148.0</v>
      </c>
      <c r="F63" s="26" t="n">
        <f>4</f>
        <v>4.0</v>
      </c>
      <c r="G63" s="25" t="n">
        <v>7.966397E8</v>
      </c>
      <c r="H63" s="26" t="n">
        <f>21519800</f>
        <v>2.15198E7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11.0</v>
      </c>
      <c r="F77" s="22" t="n">
        <f>0</f>
        <v>0.0</v>
      </c>
      <c r="G77" s="21" t="n">
        <v>3730000.0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25.0</v>
      </c>
      <c r="F78" s="22" t="n">
        <f>0</f>
        <v>0.0</v>
      </c>
      <c r="G78" s="21" t="n">
        <v>8432500.0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36.0</v>
      </c>
      <c r="F79" s="26" t="n">
        <f>0</f>
        <v>0.0</v>
      </c>
      <c r="G79" s="25" t="n">
        <v>1.21625E7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169.0</v>
      </c>
      <c r="F92" s="18" t="n">
        <f>0</f>
        <v>0.0</v>
      </c>
      <c r="G92" s="17" t="n">
        <v>2.680122E8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1.0</v>
      </c>
      <c r="F93" s="22" t="n">
        <f>0</f>
        <v>0.0</v>
      </c>
      <c r="G93" s="21" t="n">
        <v>1586800.0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1.0</v>
      </c>
      <c r="F94" s="22" t="n">
        <f>0</f>
        <v>0.0</v>
      </c>
      <c r="G94" s="21" t="n">
        <v>1587100.0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171.0</v>
      </c>
      <c r="F95" s="26" t="n">
        <f>0</f>
        <v>0.0</v>
      </c>
      <c r="G95" s="25" t="n">
        <v>2.711861E8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16.0</v>
      </c>
      <c r="F96" s="18" t="n">
        <f>0</f>
        <v>0.0</v>
      </c>
      <c r="G96" s="17" t="n">
        <v>3.77688E7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30.0</v>
      </c>
      <c r="F97" s="22" t="n">
        <f>0</f>
        <v>0.0</v>
      </c>
      <c r="G97" s="21" t="n">
        <v>7.07784E7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0.0</v>
      </c>
      <c r="F98" s="22" t="n">
        <f>0</f>
        <v>0.0</v>
      </c>
      <c r="G98" s="21" t="n">
        <v>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46.0</v>
      </c>
      <c r="F99" s="26" t="n">
        <f>0</f>
        <v>0.0</v>
      </c>
      <c r="G99" s="25" t="n">
        <v>1.085472E8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0.0</v>
      </c>
      <c r="F100" s="18" t="n">
        <f>0</f>
        <v>0.0</v>
      </c>
      <c r="G100" s="17" t="n">
        <v>0.0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0.0</v>
      </c>
      <c r="F103" s="26" t="n">
        <f>0</f>
        <v>0.0</v>
      </c>
      <c r="G103" s="25" t="n">
        <v>0.0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8990.0</v>
      </c>
      <c r="F108" s="18" t="n">
        <f>62</f>
        <v>62.0</v>
      </c>
      <c r="G108" s="17" t="n">
        <v>1.13670735E12</v>
      </c>
      <c r="H108" s="18" t="n">
        <f>7841820000</f>
        <v>7.84182E9</v>
      </c>
    </row>
    <row r="109" spans="1:8" ht="24.9" customHeight="1">
      <c r="A109" s="51"/>
      <c r="B109" s="57"/>
      <c r="C109" s="39"/>
      <c r="D109" s="20" t="s">
        <v>16</v>
      </c>
      <c r="E109" s="21" t="n">
        <v>13398.0</v>
      </c>
      <c r="F109" s="22" t="n">
        <f>992</f>
        <v>992.0</v>
      </c>
      <c r="G109" s="21" t="n">
        <v>1.69048138E12</v>
      </c>
      <c r="H109" s="22" t="n">
        <f>125230410000</f>
        <v>1.2523041E11</v>
      </c>
    </row>
    <row r="110" spans="1:8" ht="24.9" customHeight="1">
      <c r="A110" s="51"/>
      <c r="B110" s="57"/>
      <c r="C110" s="39"/>
      <c r="D110" s="20" t="s">
        <v>17</v>
      </c>
      <c r="E110" s="21" t="n">
        <v>12560.0</v>
      </c>
      <c r="F110" s="22" t="n">
        <f>969</f>
        <v>969.0</v>
      </c>
      <c r="G110" s="21" t="n">
        <v>1.58407931E12</v>
      </c>
      <c r="H110" s="22" t="n">
        <f>122222860000</f>
        <v>1.2222286E11</v>
      </c>
    </row>
    <row r="111" spans="1:8" ht="24.9" customHeight="1">
      <c r="A111" s="51"/>
      <c r="B111" s="57"/>
      <c r="C111" s="39"/>
      <c r="D111" s="24" t="s">
        <v>18</v>
      </c>
      <c r="E111" s="25" t="n">
        <v>34948.0</v>
      </c>
      <c r="F111" s="26" t="n">
        <f>2023</f>
        <v>2023.0</v>
      </c>
      <c r="G111" s="25" t="n">
        <v>4.41126804E12</v>
      </c>
      <c r="H111" s="26" t="n">
        <f>255295090000</f>
        <v>2.5529509E11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497.0</v>
      </c>
      <c r="F113" s="22" t="n">
        <f>0</f>
        <v>0.0</v>
      </c>
      <c r="G113" s="21" t="n">
        <v>6.272135E9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60.0</v>
      </c>
      <c r="F114" s="22" t="n">
        <f>0</f>
        <v>0.0</v>
      </c>
      <c r="G114" s="21" t="n">
        <v>7.56303E8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557.0</v>
      </c>
      <c r="F115" s="26" t="n">
        <f>0</f>
        <v>0.0</v>
      </c>
      <c r="G115" s="25" t="n">
        <v>7.028438E9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43.0</v>
      </c>
      <c r="F117" s="22" t="n">
        <f>0</f>
        <v>0.0</v>
      </c>
      <c r="G117" s="21" t="n">
        <v>3.8526E8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601.0</v>
      </c>
      <c r="F118" s="22" t="n">
        <f>0</f>
        <v>0.0</v>
      </c>
      <c r="G118" s="21" t="n">
        <v>5.355298E9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644.0</v>
      </c>
      <c r="F119" s="26" t="n">
        <f>0</f>
        <v>0.0</v>
      </c>
      <c r="G119" s="25" t="n">
        <v>5.740558E9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736.0</v>
      </c>
      <c r="F120" s="18" t="n">
        <f>0</f>
        <v>0.0</v>
      </c>
      <c r="G120" s="17" t="n">
        <v>1.8128944375E10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572.0</v>
      </c>
      <c r="F121" s="22" t="n">
        <f>0</f>
        <v>0.0</v>
      </c>
      <c r="G121" s="21" t="n">
        <v>1.412113E10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11.0</v>
      </c>
      <c r="F122" s="22" t="n">
        <f>0</f>
        <v>0.0</v>
      </c>
      <c r="G122" s="21" t="n">
        <v>2.710575E8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1319.0</v>
      </c>
      <c r="F123" s="26" t="n">
        <f>0</f>
        <v>0.0</v>
      </c>
      <c r="G123" s="25" t="n">
        <v>3.2521131875E10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4355.0</v>
      </c>
      <c r="F124" s="18" t="n">
        <f>0</f>
        <v>0.0</v>
      </c>
      <c r="G124" s="17" t="n">
        <v>9.9567301E10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2630.0</v>
      </c>
      <c r="F125" s="22" t="n">
        <f>0</f>
        <v>0.0</v>
      </c>
      <c r="G125" s="21" t="n">
        <v>6.0508264E10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1694.0</v>
      </c>
      <c r="F126" s="22" t="n">
        <f>0</f>
        <v>0.0</v>
      </c>
      <c r="G126" s="21" t="n">
        <v>3.8986796E10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8679.0</v>
      </c>
      <c r="F127" s="26" t="n">
        <f>0</f>
        <v>0.0</v>
      </c>
      <c r="G127" s="25" t="n">
        <v>1.99062361E11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48.0</v>
      </c>
      <c r="F128" s="18" t="n">
        <f>0</f>
        <v>0.0</v>
      </c>
      <c r="G128" s="17" t="n">
        <v>1.091361E8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41.0</v>
      </c>
      <c r="F129" s="22" t="n">
        <f>0</f>
        <v>0.0</v>
      </c>
      <c r="G129" s="21" t="n">
        <v>9.38624E7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199.0</v>
      </c>
      <c r="F130" s="22" t="n">
        <f>0</f>
        <v>0.0</v>
      </c>
      <c r="G130" s="21" t="n">
        <v>4.550518E8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288.0</v>
      </c>
      <c r="F131" s="26" t="n">
        <f>0</f>
        <v>0.0</v>
      </c>
      <c r="G131" s="25" t="n">
        <v>6.580503E8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6022.0</v>
      </c>
      <c r="F132" s="18" t="n">
        <f>0</f>
        <v>0.0</v>
      </c>
      <c r="G132" s="17" t="n">
        <v>1.38279867E10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2622.0</v>
      </c>
      <c r="F133" s="22" t="n">
        <f>0</f>
        <v>0.0</v>
      </c>
      <c r="G133" s="21" t="n">
        <v>6.05134175E9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2278.0</v>
      </c>
      <c r="F134" s="22" t="n">
        <f>0</f>
        <v>0.0</v>
      </c>
      <c r="G134" s="21" t="n">
        <v>5.25861485E9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10922.0</v>
      </c>
      <c r="F135" s="26" t="n">
        <f>0</f>
        <v>0.0</v>
      </c>
      <c r="G135" s="25" t="n">
        <v>2.51379433E10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55.0</v>
      </c>
      <c r="F136" s="18" t="n">
        <f>0</f>
        <v>0.0</v>
      </c>
      <c r="G136" s="17" t="n">
        <v>1.239706E8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27.0</v>
      </c>
      <c r="F137" s="22" t="n">
        <f>0</f>
        <v>0.0</v>
      </c>
      <c r="G137" s="21" t="n">
        <v>6.12196E7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22.0</v>
      </c>
      <c r="F138" s="22" t="n">
        <f>0</f>
        <v>0.0</v>
      </c>
      <c r="G138" s="21" t="n">
        <v>5.00069E7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104.0</v>
      </c>
      <c r="F139" s="26" t="n">
        <f>0</f>
        <v>0.0</v>
      </c>
      <c r="G139" s="25" t="n">
        <v>2.351971E8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849.0</v>
      </c>
      <c r="F144" s="18" t="n">
        <f>0</f>
        <v>0.0</v>
      </c>
      <c r="G144" s="17" t="n">
        <v>3.7430825E9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762.0</v>
      </c>
      <c r="F145" s="22" t="n">
        <f>0</f>
        <v>0.0</v>
      </c>
      <c r="G145" s="21" t="n">
        <v>3.39557E9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557.0</v>
      </c>
      <c r="F146" s="22" t="n">
        <f>0</f>
        <v>0.0</v>
      </c>
      <c r="G146" s="21" t="n">
        <v>2.476352E9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2168.0</v>
      </c>
      <c r="F147" s="26" t="n">
        <f>0</f>
        <v>0.0</v>
      </c>
      <c r="G147" s="25" t="n">
        <v>9.6150045E9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0.0</v>
      </c>
      <c r="F148" s="18" t="n">
        <f>0</f>
        <v>0.0</v>
      </c>
      <c r="G148" s="17" t="n">
        <v>0.0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55.0</v>
      </c>
      <c r="F149" s="22" t="n">
        <f>0</f>
        <v>0.0</v>
      </c>
      <c r="G149" s="21" t="n">
        <v>4.99453E7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154.0</v>
      </c>
      <c r="F150" s="22" t="n">
        <f>0</f>
        <v>0.0</v>
      </c>
      <c r="G150" s="21" t="n">
        <v>1.398295E8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209.0</v>
      </c>
      <c r="F151" s="26" t="n">
        <f>0</f>
        <v>0.0</v>
      </c>
      <c r="G151" s="25" t="n">
        <v>1.897748E8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231.0</v>
      </c>
      <c r="F152" s="18" t="n">
        <f>0</f>
        <v>0.0</v>
      </c>
      <c r="G152" s="17" t="n">
        <v>2.0365235E8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175.0</v>
      </c>
      <c r="F153" s="22" t="n">
        <f>0</f>
        <v>0.0</v>
      </c>
      <c r="G153" s="21" t="n">
        <v>1.559409E8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221.0</v>
      </c>
      <c r="F154" s="22" t="n">
        <f>0</f>
        <v>0.0</v>
      </c>
      <c r="G154" s="21" t="n">
        <v>1.9642955E8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627.0</v>
      </c>
      <c r="F155" s="26" t="n">
        <f>0</f>
        <v>0.0</v>
      </c>
      <c r="G155" s="25" t="n">
        <v>5.560228E8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41.0</v>
      </c>
      <c r="F156" s="18" t="n">
        <f>0</f>
        <v>0.0</v>
      </c>
      <c r="G156" s="17" t="n">
        <v>3.62818E7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139.0</v>
      </c>
      <c r="F157" s="22" t="n">
        <f>0</f>
        <v>0.0</v>
      </c>
      <c r="G157" s="21" t="n">
        <v>1.239129E8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185.0</v>
      </c>
      <c r="F158" s="22" t="n">
        <f>0</f>
        <v>0.0</v>
      </c>
      <c r="G158" s="21" t="n">
        <v>1.645748E8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365.0</v>
      </c>
      <c r="F159" s="26" t="n">
        <f>0</f>
        <v>0.0</v>
      </c>
      <c r="G159" s="25" t="n">
        <v>3.247695E8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91.0</v>
      </c>
      <c r="F168" s="18" t="n">
        <f>0</f>
        <v>0.0</v>
      </c>
      <c r="G168" s="17" t="n">
        <v>1.922265E8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92.0</v>
      </c>
      <c r="F169" s="22" t="n">
        <f>0</f>
        <v>0.0</v>
      </c>
      <c r="G169" s="21" t="n">
        <v>1.955185E8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456.0</v>
      </c>
      <c r="F170" s="22" t="n">
        <f>0</f>
        <v>0.0</v>
      </c>
      <c r="G170" s="21" t="n">
        <v>9.74584E8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639.0</v>
      </c>
      <c r="F171" s="26" t="n">
        <f>0</f>
        <v>0.0</v>
      </c>
      <c r="G171" s="25" t="n">
        <v>1.362329E9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0.0</v>
      </c>
      <c r="F178" s="22" t="n">
        <f>0</f>
        <v>0.0</v>
      </c>
      <c r="G178" s="21" t="n">
        <v>0.0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0.0</v>
      </c>
      <c r="F179" s="26" t="n">
        <f>0</f>
        <v>0.0</v>
      </c>
      <c r="G179" s="25" t="n">
        <v>0.0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380.0</v>
      </c>
      <c r="F204" s="18" t="n">
        <f>0</f>
        <v>0.0</v>
      </c>
      <c r="G204" s="17" t="n">
        <v>1.417659E9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133.0</v>
      </c>
      <c r="F205" s="22" t="n">
        <f>0</f>
        <v>0.0</v>
      </c>
      <c r="G205" s="21" t="n">
        <v>4.980425E8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1480.0</v>
      </c>
      <c r="F206" s="22" t="n">
        <f>0</f>
        <v>0.0</v>
      </c>
      <c r="G206" s="21" t="n">
        <v>5.515945E9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1993.0</v>
      </c>
      <c r="F207" s="26" t="n">
        <f>0</f>
        <v>0.0</v>
      </c>
      <c r="G207" s="25" t="n">
        <v>7.4316465E9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3.0</v>
      </c>
      <c r="F210" s="22" t="n">
        <f>0</f>
        <v>0.0</v>
      </c>
      <c r="G210" s="21" t="n">
        <v>4092480.0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3.0</v>
      </c>
      <c r="F211" s="26" t="n">
        <f>0</f>
        <v>0.0</v>
      </c>
      <c r="G211" s="25" t="n">
        <v>4092480.0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46251.0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46251.0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5117</f>
        <v>5117.0</v>
      </c>
      <c r="E12" s="35" t="n">
        <f>3151</f>
        <v>3151.0</v>
      </c>
      <c r="F12" s="17" t="n">
        <f>3104</f>
        <v>3104.0</v>
      </c>
      <c r="G12" s="35" t="n">
        <f>1693</f>
        <v>1693.0</v>
      </c>
      <c r="H12" s="17" t="n">
        <f>8221</f>
        <v>8221.0</v>
      </c>
      <c r="I12" s="35" t="n">
        <f>4844</f>
        <v>4844.0</v>
      </c>
      <c r="J12" s="17" t="n">
        <f>5540609340</f>
        <v>5.54060934E9</v>
      </c>
      <c r="K12" s="35" t="n">
        <f>4671409340</f>
        <v>4.67140934E9</v>
      </c>
      <c r="L12" s="17" t="n">
        <f>4038842945</f>
        <v>4.038842945E9</v>
      </c>
      <c r="M12" s="35" t="n">
        <f>3116996945</f>
        <v>3.116996945E9</v>
      </c>
      <c r="N12" s="17" t="n">
        <f>9579452285</f>
        <v>9.579452285E9</v>
      </c>
      <c r="O12" s="35" t="n">
        <f>7788406285</f>
        <v>7.788406285E9</v>
      </c>
    </row>
    <row r="13" spans="1:15" ht="24.9" customHeight="1">
      <c r="A13" s="38"/>
      <c r="B13" s="62"/>
      <c r="C13" s="20" t="s">
        <v>16</v>
      </c>
      <c r="D13" s="21" t="n">
        <f>5107</f>
        <v>5107.0</v>
      </c>
      <c r="E13" s="36" t="n">
        <f>2706</f>
        <v>2706.0</v>
      </c>
      <c r="F13" s="21" t="n">
        <f>1654</f>
        <v>1654.0</v>
      </c>
      <c r="G13" s="36" t="n">
        <f>513</f>
        <v>513.0</v>
      </c>
      <c r="H13" s="21" t="n">
        <f>6761</f>
        <v>6761.0</v>
      </c>
      <c r="I13" s="36" t="n">
        <f>3219</f>
        <v>3219.0</v>
      </c>
      <c r="J13" s="21" t="n">
        <f>2447999550</f>
        <v>2.44799955E9</v>
      </c>
      <c r="K13" s="36" t="n">
        <f>1987316550</f>
        <v>1.98731655E9</v>
      </c>
      <c r="L13" s="21" t="n">
        <f>1563719350</f>
        <v>1.56371935E9</v>
      </c>
      <c r="M13" s="36" t="n">
        <f>1022869350</f>
        <v>1.02286935E9</v>
      </c>
      <c r="N13" s="21" t="n">
        <f>4011718900</f>
        <v>4.0117189E9</v>
      </c>
      <c r="O13" s="36" t="n">
        <f>3010185900</f>
        <v>3.0101859E9</v>
      </c>
    </row>
    <row r="14" spans="1:15" ht="24.9" customHeight="1">
      <c r="A14" s="38"/>
      <c r="B14" s="62"/>
      <c r="C14" s="20" t="s">
        <v>17</v>
      </c>
      <c r="D14" s="21" t="n">
        <f>11991</f>
        <v>11991.0</v>
      </c>
      <c r="E14" s="36" t="n">
        <f>8250</f>
        <v>8250.0</v>
      </c>
      <c r="F14" s="21" t="n">
        <f>6599</f>
        <v>6599.0</v>
      </c>
      <c r="G14" s="36" t="n">
        <f>4864</f>
        <v>4864.0</v>
      </c>
      <c r="H14" s="21" t="n">
        <f>18590</f>
        <v>18590.0</v>
      </c>
      <c r="I14" s="36" t="n">
        <f>13114</f>
        <v>13114.0</v>
      </c>
      <c r="J14" s="21" t="n">
        <f>10828644270</f>
        <v>1.082864427E10</v>
      </c>
      <c r="K14" s="36" t="n">
        <f>9767180270</f>
        <v>9.76718027E9</v>
      </c>
      <c r="L14" s="21" t="n">
        <f>8562992277</f>
        <v>8.562992277E9</v>
      </c>
      <c r="M14" s="36" t="n">
        <f>7633675277</f>
        <v>7.633675277E9</v>
      </c>
      <c r="N14" s="21" t="n">
        <f>19391636547</f>
        <v>1.9391636547E10</v>
      </c>
      <c r="O14" s="36" t="n">
        <f>17400855547</f>
        <v>1.7400855547E10</v>
      </c>
    </row>
    <row r="15" spans="1:15" ht="24.9" customHeight="1">
      <c r="A15" s="38"/>
      <c r="B15" s="62"/>
      <c r="C15" s="24" t="s">
        <v>18</v>
      </c>
      <c r="D15" s="25" t="n">
        <f>22215</f>
        <v>22215.0</v>
      </c>
      <c r="E15" s="37" t="n">
        <f>14107</f>
        <v>14107.0</v>
      </c>
      <c r="F15" s="25" t="n">
        <f>11357</f>
        <v>11357.0</v>
      </c>
      <c r="G15" s="37" t="n">
        <f>7070</f>
        <v>7070.0</v>
      </c>
      <c r="H15" s="25" t="n">
        <f>33572</f>
        <v>33572.0</v>
      </c>
      <c r="I15" s="37" t="n">
        <f>21177</f>
        <v>21177.0</v>
      </c>
      <c r="J15" s="25" t="n">
        <f>18817253160</f>
        <v>1.881725316E10</v>
      </c>
      <c r="K15" s="37" t="n">
        <f>16425906160</f>
        <v>1.642590616E10</v>
      </c>
      <c r="L15" s="25" t="n">
        <f>14165554572</f>
        <v>1.4165554572E10</v>
      </c>
      <c r="M15" s="37" t="n">
        <f>11773541572</f>
        <v>1.1773541572E10</v>
      </c>
      <c r="N15" s="25" t="n">
        <f>32982807732</f>
        <v>3.2982807732E10</v>
      </c>
      <c r="O15" s="37" t="n">
        <f>28199447732</f>
        <v>2.8199447732E10</v>
      </c>
    </row>
    <row r="16" spans="1:15" ht="24.9" customHeight="1">
      <c r="A16" s="38"/>
      <c r="B16" s="61" t="s">
        <v>105</v>
      </c>
      <c r="C16" s="16" t="s">
        <v>15</v>
      </c>
      <c r="D16" s="17" t="n">
        <f>15057</f>
        <v>15057.0</v>
      </c>
      <c r="E16" s="35" t="n">
        <f>870</f>
        <v>870.0</v>
      </c>
      <c r="F16" s="17" t="n">
        <f>12618</f>
        <v>12618.0</v>
      </c>
      <c r="G16" s="35" t="n">
        <f>250</f>
        <v>250.0</v>
      </c>
      <c r="H16" s="17" t="n">
        <f>27675</f>
        <v>27675.0</v>
      </c>
      <c r="I16" s="35" t="n">
        <f>1120</f>
        <v>1120.0</v>
      </c>
      <c r="J16" s="17" t="n">
        <f>2745907430</f>
        <v>2.74590743E9</v>
      </c>
      <c r="K16" s="35" t="n">
        <f>27230430</f>
        <v>2.723043E7</v>
      </c>
      <c r="L16" s="17" t="n">
        <f>2858448560</f>
        <v>2.85844856E9</v>
      </c>
      <c r="M16" s="35" t="n">
        <f>62006960</f>
        <v>6.200696E7</v>
      </c>
      <c r="N16" s="17" t="n">
        <f>5604355990</f>
        <v>5.60435599E9</v>
      </c>
      <c r="O16" s="35" t="n">
        <f>89237390</f>
        <v>8.923739E7</v>
      </c>
    </row>
    <row r="17" spans="1:15" ht="24.9" customHeight="1">
      <c r="A17" s="38"/>
      <c r="B17" s="62"/>
      <c r="C17" s="20" t="s">
        <v>16</v>
      </c>
      <c r="D17" s="21" t="n">
        <f>7799</f>
        <v>7799.0</v>
      </c>
      <c r="E17" s="36" t="n">
        <f>430</f>
        <v>430.0</v>
      </c>
      <c r="F17" s="21" t="n">
        <f>2548</f>
        <v>2548.0</v>
      </c>
      <c r="G17" s="36" t="n">
        <f>70</f>
        <v>70.0</v>
      </c>
      <c r="H17" s="21" t="n">
        <f>10347</f>
        <v>10347.0</v>
      </c>
      <c r="I17" s="36" t="n">
        <f>500</f>
        <v>500.0</v>
      </c>
      <c r="J17" s="21" t="n">
        <f>163155940</f>
        <v>1.6315594E8</v>
      </c>
      <c r="K17" s="36" t="n">
        <f>3833440</f>
        <v>3833440.0</v>
      </c>
      <c r="L17" s="21" t="n">
        <f>169229110</f>
        <v>1.6922911E8</v>
      </c>
      <c r="M17" s="36" t="n">
        <f>1157110</f>
        <v>1157110.0</v>
      </c>
      <c r="N17" s="21" t="n">
        <f>332385050</f>
        <v>3.3238505E8</v>
      </c>
      <c r="O17" s="36" t="n">
        <f>4990550</f>
        <v>4990550.0</v>
      </c>
    </row>
    <row r="18" spans="1:15" ht="24.9" customHeight="1">
      <c r="A18" s="38"/>
      <c r="B18" s="62"/>
      <c r="C18" s="20" t="s">
        <v>17</v>
      </c>
      <c r="D18" s="21" t="n">
        <f>13276</f>
        <v>13276.0</v>
      </c>
      <c r="E18" s="36" t="n">
        <f>1240</f>
        <v>1240.0</v>
      </c>
      <c r="F18" s="21" t="n">
        <f>4793</f>
        <v>4793.0</v>
      </c>
      <c r="G18" s="36" t="n">
        <f>400</f>
        <v>400.0</v>
      </c>
      <c r="H18" s="21" t="n">
        <f>18069</f>
        <v>18069.0</v>
      </c>
      <c r="I18" s="36" t="n">
        <f>1640</f>
        <v>1640.0</v>
      </c>
      <c r="J18" s="21" t="n">
        <f>335106190</f>
        <v>3.3510619E8</v>
      </c>
      <c r="K18" s="36" t="n">
        <f>29770390</f>
        <v>2.977039E7</v>
      </c>
      <c r="L18" s="21" t="n">
        <f>309543710</f>
        <v>3.0954371E8</v>
      </c>
      <c r="M18" s="36" t="n">
        <f>22172210</f>
        <v>2.217221E7</v>
      </c>
      <c r="N18" s="21" t="n">
        <f>644649900</f>
        <v>6.446499E8</v>
      </c>
      <c r="O18" s="36" t="n">
        <f>51942600</f>
        <v>5.19426E7</v>
      </c>
    </row>
    <row r="19" spans="1:15" ht="24.9" customHeight="1">
      <c r="A19" s="38"/>
      <c r="B19" s="62"/>
      <c r="C19" s="24" t="s">
        <v>18</v>
      </c>
      <c r="D19" s="25" t="n">
        <f>36132</f>
        <v>36132.0</v>
      </c>
      <c r="E19" s="37" t="n">
        <f>2540</f>
        <v>2540.0</v>
      </c>
      <c r="F19" s="25" t="n">
        <f>19959</f>
        <v>19959.0</v>
      </c>
      <c r="G19" s="37" t="n">
        <f>720</f>
        <v>720.0</v>
      </c>
      <c r="H19" s="25" t="n">
        <f>56091</f>
        <v>56091.0</v>
      </c>
      <c r="I19" s="37" t="n">
        <f>3260</f>
        <v>3260.0</v>
      </c>
      <c r="J19" s="25" t="n">
        <f>3244169560</f>
        <v>3.24416956E9</v>
      </c>
      <c r="K19" s="37" t="n">
        <f>60834260</f>
        <v>6.083426E7</v>
      </c>
      <c r="L19" s="25" t="n">
        <f>3337221380</f>
        <v>3.33722138E9</v>
      </c>
      <c r="M19" s="37" t="n">
        <f>85336280</f>
        <v>8.533628E7</v>
      </c>
      <c r="N19" s="25" t="n">
        <f>6581390940</f>
        <v>6.58139094E9</v>
      </c>
      <c r="O19" s="37" t="n">
        <f>146170540</f>
        <v>1.4617054E8</v>
      </c>
    </row>
    <row r="20" spans="1:15" ht="24.9" customHeight="1">
      <c r="A20" s="38"/>
      <c r="B20" s="61" t="s">
        <v>106</v>
      </c>
      <c r="C20" s="16" t="s">
        <v>15</v>
      </c>
      <c r="D20" s="17" t="n">
        <f>223</f>
        <v>223.0</v>
      </c>
      <c r="E20" s="35" t="n">
        <f>223</f>
        <v>223.0</v>
      </c>
      <c r="F20" s="17" t="n">
        <f>0</f>
        <v>0.0</v>
      </c>
      <c r="G20" s="35" t="n">
        <f>0</f>
        <v>0.0</v>
      </c>
      <c r="H20" s="17" t="n">
        <f>223</f>
        <v>223.0</v>
      </c>
      <c r="I20" s="35" t="n">
        <f>223</f>
        <v>223.0</v>
      </c>
      <c r="J20" s="17" t="n">
        <f>82575374</f>
        <v>8.2575374E7</v>
      </c>
      <c r="K20" s="35" t="n">
        <f>82575374</f>
        <v>8.2575374E7</v>
      </c>
      <c r="L20" s="17" t="n">
        <f>0</f>
        <v>0.0</v>
      </c>
      <c r="M20" s="35" t="n">
        <f>0</f>
        <v>0.0</v>
      </c>
      <c r="N20" s="17" t="n">
        <f>82575374</f>
        <v>8.2575374E7</v>
      </c>
      <c r="O20" s="35" t="n">
        <f>82575374</f>
        <v>8.2575374E7</v>
      </c>
    </row>
    <row r="21" spans="1:15" ht="24.9" customHeight="1">
      <c r="A21" s="38"/>
      <c r="B21" s="62"/>
      <c r="C21" s="20" t="s">
        <v>16</v>
      </c>
      <c r="D21" s="21" t="n">
        <f>0</f>
        <v>0.0</v>
      </c>
      <c r="E21" s="36" t="n">
        <f>0</f>
        <v>0.0</v>
      </c>
      <c r="F21" s="21" t="n">
        <f>0</f>
        <v>0.0</v>
      </c>
      <c r="G21" s="36" t="n">
        <f>0</f>
        <v>0.0</v>
      </c>
      <c r="H21" s="21" t="n">
        <f>0</f>
        <v>0.0</v>
      </c>
      <c r="I21" s="36" t="n">
        <f>0</f>
        <v>0.0</v>
      </c>
      <c r="J21" s="21" t="n">
        <f>0</f>
        <v>0.0</v>
      </c>
      <c r="K21" s="36" t="n">
        <f>0</f>
        <v>0.0</v>
      </c>
      <c r="L21" s="21" t="n">
        <f>0</f>
        <v>0.0</v>
      </c>
      <c r="M21" s="36" t="n">
        <f>0</f>
        <v>0.0</v>
      </c>
      <c r="N21" s="21" t="n">
        <f>0</f>
        <v>0.0</v>
      </c>
      <c r="O21" s="36" t="n">
        <f>0</f>
        <v>0.0</v>
      </c>
    </row>
    <row r="22" spans="1:15" ht="24.9" customHeight="1">
      <c r="A22" s="38"/>
      <c r="B22" s="62"/>
      <c r="C22" s="20" t="s">
        <v>17</v>
      </c>
      <c r="D22" s="21" t="n">
        <f>1705</f>
        <v>1705.0</v>
      </c>
      <c r="E22" s="36" t="n">
        <f>1705</f>
        <v>1705.0</v>
      </c>
      <c r="F22" s="21" t="n">
        <f>344</f>
        <v>344.0</v>
      </c>
      <c r="G22" s="36" t="n">
        <f>335</f>
        <v>335.0</v>
      </c>
      <c r="H22" s="21" t="n">
        <f>2049</f>
        <v>2049.0</v>
      </c>
      <c r="I22" s="36" t="n">
        <f>2040</f>
        <v>2040.0</v>
      </c>
      <c r="J22" s="21" t="n">
        <f>1162265000</f>
        <v>1.162265E9</v>
      </c>
      <c r="K22" s="36" t="n">
        <f>1162265000</f>
        <v>1.162265E9</v>
      </c>
      <c r="L22" s="21" t="n">
        <f>160850000</f>
        <v>1.6085E8</v>
      </c>
      <c r="M22" s="36" t="n">
        <f>154070000</f>
        <v>1.5407E8</v>
      </c>
      <c r="N22" s="21" t="n">
        <f>1323115000</f>
        <v>1.323115E9</v>
      </c>
      <c r="O22" s="36" t="n">
        <f>1316335000</f>
        <v>1.316335E9</v>
      </c>
    </row>
    <row r="23" spans="1:15" ht="24.9" customHeight="1">
      <c r="A23" s="38"/>
      <c r="B23" s="62"/>
      <c r="C23" s="24" t="s">
        <v>18</v>
      </c>
      <c r="D23" s="25" t="n">
        <f>1928</f>
        <v>1928.0</v>
      </c>
      <c r="E23" s="37" t="n">
        <f>1928</f>
        <v>1928.0</v>
      </c>
      <c r="F23" s="25" t="n">
        <f>344</f>
        <v>344.0</v>
      </c>
      <c r="G23" s="37" t="n">
        <f>335</f>
        <v>335.0</v>
      </c>
      <c r="H23" s="25" t="n">
        <f>2272</f>
        <v>2272.0</v>
      </c>
      <c r="I23" s="37" t="n">
        <f>2263</f>
        <v>2263.0</v>
      </c>
      <c r="J23" s="25" t="n">
        <f>1244840374</f>
        <v>1.244840374E9</v>
      </c>
      <c r="K23" s="37" t="n">
        <f>1244840374</f>
        <v>1.244840374E9</v>
      </c>
      <c r="L23" s="25" t="n">
        <f>160850000</f>
        <v>1.6085E8</v>
      </c>
      <c r="M23" s="37" t="n">
        <f>154070000</f>
        <v>1.5407E8</v>
      </c>
      <c r="N23" s="25" t="n">
        <f>1405690374</f>
        <v>1.405690374E9</v>
      </c>
      <c r="O23" s="37" t="n">
        <f>1398910374</f>
        <v>1.398910374E9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0</f>
        <v>0.0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0</f>
        <v>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75</f>
        <v>75.0</v>
      </c>
      <c r="E37" s="22" t="n">
        <f>0</f>
        <v>0.0</v>
      </c>
      <c r="F37" s="21" t="n">
        <f>143</f>
        <v>143.0</v>
      </c>
      <c r="G37" s="22" t="n">
        <f>0</f>
        <v>0.0</v>
      </c>
      <c r="H37" s="21" t="n">
        <f>218</f>
        <v>218.0</v>
      </c>
      <c r="I37" s="22" t="n">
        <f>0</f>
        <v>0.0</v>
      </c>
      <c r="J37" s="21" t="n">
        <f>3350000</f>
        <v>3350000.0</v>
      </c>
      <c r="K37" s="22" t="n">
        <f>0</f>
        <v>0.0</v>
      </c>
      <c r="L37" s="21" t="n">
        <f>25500000</f>
        <v>2.55E7</v>
      </c>
      <c r="M37" s="22" t="n">
        <f>0</f>
        <v>0.0</v>
      </c>
      <c r="N37" s="21" t="n">
        <f>28850000</f>
        <v>2.885E7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15</f>
        <v>15.0</v>
      </c>
      <c r="E38" s="36" t="n">
        <f>0</f>
        <v>0.0</v>
      </c>
      <c r="F38" s="21" t="n">
        <f>151</f>
        <v>151.0</v>
      </c>
      <c r="G38" s="36" t="n">
        <f>0</f>
        <v>0.0</v>
      </c>
      <c r="H38" s="21" t="n">
        <f>166</f>
        <v>166.0</v>
      </c>
      <c r="I38" s="36" t="n">
        <f>0</f>
        <v>0.0</v>
      </c>
      <c r="J38" s="21" t="n">
        <f>900000</f>
        <v>900000.0</v>
      </c>
      <c r="K38" s="36" t="n">
        <f>0</f>
        <v>0.0</v>
      </c>
      <c r="L38" s="21" t="n">
        <f>9520000</f>
        <v>9520000.0</v>
      </c>
      <c r="M38" s="36" t="n">
        <f>0</f>
        <v>0.0</v>
      </c>
      <c r="N38" s="21" t="n">
        <f>10420000</f>
        <v>1.042E7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90</f>
        <v>90.0</v>
      </c>
      <c r="E39" s="37" t="n">
        <f>0</f>
        <v>0.0</v>
      </c>
      <c r="F39" s="25" t="n">
        <f>294</f>
        <v>294.0</v>
      </c>
      <c r="G39" s="37" t="n">
        <f>0</f>
        <v>0.0</v>
      </c>
      <c r="H39" s="25" t="n">
        <f>384</f>
        <v>384.0</v>
      </c>
      <c r="I39" s="37" t="n">
        <f>0</f>
        <v>0.0</v>
      </c>
      <c r="J39" s="25" t="n">
        <f>4250000</f>
        <v>4250000.0</v>
      </c>
      <c r="K39" s="37" t="n">
        <f>0</f>
        <v>0.0</v>
      </c>
      <c r="L39" s="25" t="n">
        <f>35020000</f>
        <v>3.502E7</v>
      </c>
      <c r="M39" s="37" t="n">
        <f>0</f>
        <v>0.0</v>
      </c>
      <c r="N39" s="25" t="n">
        <f>39270000</f>
        <v>3.927E7</v>
      </c>
      <c r="O39" s="37" t="n">
        <f>0</f>
        <v>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620</f>
        <v>620.0</v>
      </c>
      <c r="E41" s="36" t="n">
        <f>100</f>
        <v>100.0</v>
      </c>
      <c r="F41" s="21" t="n">
        <f>2931</f>
        <v>2931.0</v>
      </c>
      <c r="G41" s="36" t="n">
        <f>100</f>
        <v>100.0</v>
      </c>
      <c r="H41" s="21" t="n">
        <f>3551</f>
        <v>3551.0</v>
      </c>
      <c r="I41" s="36" t="n">
        <f>200</f>
        <v>200.0</v>
      </c>
      <c r="J41" s="21" t="n">
        <f>86082145</f>
        <v>8.6082145E7</v>
      </c>
      <c r="K41" s="36" t="n">
        <f>72000000</f>
        <v>7.2E7</v>
      </c>
      <c r="L41" s="21" t="n">
        <f>93333333</f>
        <v>9.3333333E7</v>
      </c>
      <c r="M41" s="36" t="n">
        <f>89000000</f>
        <v>8.9E7</v>
      </c>
      <c r="N41" s="21" t="n">
        <f>179415478</f>
        <v>1.79415478E8</v>
      </c>
      <c r="O41" s="36" t="n">
        <f>161000000</f>
        <v>1.61E8</v>
      </c>
    </row>
    <row r="42" spans="1:15" ht="24.9" customHeight="1">
      <c r="A42" s="38"/>
      <c r="B42" s="62"/>
      <c r="C42" s="20" t="s">
        <v>17</v>
      </c>
      <c r="D42" s="21" t="n">
        <f>5337</f>
        <v>5337.0</v>
      </c>
      <c r="E42" s="36" t="n">
        <f>4600</f>
        <v>4600.0</v>
      </c>
      <c r="F42" s="21" t="n">
        <f>1331</f>
        <v>1331.0</v>
      </c>
      <c r="G42" s="36" t="n">
        <f>600</f>
        <v>600.0</v>
      </c>
      <c r="H42" s="21" t="n">
        <f>6668</f>
        <v>6668.0</v>
      </c>
      <c r="I42" s="36" t="n">
        <f>5200</f>
        <v>5200.0</v>
      </c>
      <c r="J42" s="21" t="n">
        <f>226258338</f>
        <v>2.26258338E8</v>
      </c>
      <c r="K42" s="36" t="n">
        <f>211250000</f>
        <v>2.1125E8</v>
      </c>
      <c r="L42" s="21" t="n">
        <f>34081740</f>
        <v>3.408174E7</v>
      </c>
      <c r="M42" s="36" t="n">
        <f>26400000</f>
        <v>2.64E7</v>
      </c>
      <c r="N42" s="21" t="n">
        <f>260340078</f>
        <v>2.60340078E8</v>
      </c>
      <c r="O42" s="36" t="n">
        <f>237650000</f>
        <v>2.3765E8</v>
      </c>
    </row>
    <row r="43" spans="1:15" ht="24.9" customHeight="1">
      <c r="A43" s="38"/>
      <c r="B43" s="62"/>
      <c r="C43" s="24" t="s">
        <v>18</v>
      </c>
      <c r="D43" s="25" t="n">
        <f>5957</f>
        <v>5957.0</v>
      </c>
      <c r="E43" s="37" t="n">
        <f>4700</f>
        <v>4700.0</v>
      </c>
      <c r="F43" s="25" t="n">
        <f>4262</f>
        <v>4262.0</v>
      </c>
      <c r="G43" s="37" t="n">
        <f>700</f>
        <v>700.0</v>
      </c>
      <c r="H43" s="25" t="n">
        <f>10219</f>
        <v>10219.0</v>
      </c>
      <c r="I43" s="37" t="n">
        <f>5400</f>
        <v>5400.0</v>
      </c>
      <c r="J43" s="25" t="n">
        <f>312340483</f>
        <v>3.12340483E8</v>
      </c>
      <c r="K43" s="37" t="n">
        <f>283250000</f>
        <v>2.8325E8</v>
      </c>
      <c r="L43" s="25" t="n">
        <f>127415073</f>
        <v>1.27415073E8</v>
      </c>
      <c r="M43" s="37" t="n">
        <f>115400000</f>
        <v>1.154E8</v>
      </c>
      <c r="N43" s="25" t="n">
        <f>439755556</f>
        <v>4.39755556E8</v>
      </c>
      <c r="O43" s="37" t="n">
        <f>398650000</f>
        <v>3.9865E8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