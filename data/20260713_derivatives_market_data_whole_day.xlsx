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<sst xmlns="http://schemas.openxmlformats.org/spreadsheetml/2006/main" count="528" uniqueCount="129">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</sst>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DATE(2026,07,13)</f>
        <v>46216.0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DATE(2026,07,13)</f>
        <v>46216.0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757558.0</f>
        <v>757558.0</v>
      </c>
      <c r="E12" s="18" t="n">
        <f>28561.0</f>
        <v>28561.0</v>
      </c>
      <c r="F12" s="19" t="n">
        <f>1.0</f>
        <v>1.0</v>
      </c>
      <c r="G12" s="17" t="n">
        <f>6306164564964.0</f>
        <v>6.306164564964E12</v>
      </c>
      <c r="H12" s="18" t="n">
        <f>343320082189.0</f>
        <v>3.43320082189E11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582671.0</f>
        <v>582671.0</v>
      </c>
      <c r="E13" s="22" t="n">
        <f>21574.0</f>
        <v>21574.0</v>
      </c>
      <c r="F13" s="23" t="n">
        <f>1.0</f>
        <v>1.0</v>
      </c>
      <c r="G13" s="21" t="n">
        <f>5811463251749.0</f>
        <v>5.811463251749E12</v>
      </c>
      <c r="H13" s="22" t="n">
        <f>361846292674.0</f>
        <v>3.61846292674E11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648825.0</f>
        <v>648825.0</v>
      </c>
      <c r="E14" s="22" t="n">
        <f>36670.0</f>
        <v>36670.0</v>
      </c>
      <c r="F14" s="23" t="n">
        <f>1.0</f>
        <v>1.0</v>
      </c>
      <c r="G14" s="21" t="n">
        <f>7570859796270.0</f>
        <v>7.57085979627E12</v>
      </c>
      <c r="H14" s="22" t="n">
        <f>919775012070.0</f>
        <v>9.1977501207E11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1989054.0</f>
        <v>1989054.0</v>
      </c>
      <c r="E15" s="26" t="n">
        <f>86805.0</f>
        <v>86805.0</v>
      </c>
      <c r="F15" s="27" t="n">
        <f>1.0</f>
        <v>1.0</v>
      </c>
      <c r="G15" s="25" t="n">
        <f>19688487612983.0</f>
        <v>1.9688487612983E13</v>
      </c>
      <c r="H15" s="26" t="n">
        <f>1624941386933.0</f>
        <v>1.624941386933E12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28335.0</f>
        <v>28335.0</v>
      </c>
      <c r="E16" s="18" t="n">
        <f>532.0</f>
        <v>532.0</v>
      </c>
      <c r="F16" s="19" t="n">
        <f>0.037</f>
        <v>0.037</v>
      </c>
      <c r="G16" s="17" t="n">
        <f>2715109313125.0</f>
        <v>2.715109313125E12</v>
      </c>
      <c r="H16" s="18" t="n">
        <f>67898160000.0</f>
        <v>6.789816E10</v>
      </c>
      <c r="I16" s="19" t="n">
        <f>0.431</f>
        <v>0.431</v>
      </c>
    </row>
    <row r="17" spans="1:9" ht="24.9" customHeight="1">
      <c r="A17" s="41"/>
      <c r="B17" s="39"/>
      <c r="C17" s="20" t="s">
        <v>16</v>
      </c>
      <c r="D17" s="21" t="n">
        <f>18746.0</f>
        <v>18746.0</v>
      </c>
      <c r="E17" s="22" t="n">
        <f>1014.0</f>
        <v>1014.0</v>
      </c>
      <c r="F17" s="23" t="n">
        <f>0.032</f>
        <v>0.032</v>
      </c>
      <c r="G17" s="21" t="n">
        <f>2300315888125.0</f>
        <v>2.300315888125E12</v>
      </c>
      <c r="H17" s="22" t="n">
        <f>129143870000.0</f>
        <v>1.2914387E11</v>
      </c>
      <c r="I17" s="23" t="n">
        <f>0.396</f>
        <v>0.396</v>
      </c>
    </row>
    <row r="18" spans="1:9" ht="24.9" customHeight="1">
      <c r="A18" s="41"/>
      <c r="B18" s="39"/>
      <c r="C18" s="20" t="s">
        <v>17</v>
      </c>
      <c r="D18" s="21" t="n">
        <f>19865.0</f>
        <v>19865.0</v>
      </c>
      <c r="E18" s="22" t="n">
        <f>1867.0</f>
        <v>1867.0</v>
      </c>
      <c r="F18" s="23" t="n">
        <f>0.031</f>
        <v>0.031</v>
      </c>
      <c r="G18" s="21" t="n">
        <f>2486556040000.0</f>
        <v>2.48655604E12</v>
      </c>
      <c r="H18" s="22" t="n">
        <f>237554810000.0</f>
        <v>2.3755481E11</v>
      </c>
      <c r="I18" s="23" t="n">
        <f>0.328</f>
        <v>0.328</v>
      </c>
    </row>
    <row r="19" spans="1:9" ht="24.9" customHeight="1">
      <c r="A19" s="41"/>
      <c r="B19" s="39"/>
      <c r="C19" s="24" t="s">
        <v>18</v>
      </c>
      <c r="D19" s="25" t="n">
        <f>66946.0</f>
        <v>66946.0</v>
      </c>
      <c r="E19" s="26" t="n">
        <f>3413.0</f>
        <v>3413.0</v>
      </c>
      <c r="F19" s="27" t="n">
        <f>0.034</f>
        <v>0.034</v>
      </c>
      <c r="G19" s="25" t="n">
        <f>7501981241250.0</f>
        <v>7.50198124125E12</v>
      </c>
      <c r="H19" s="26" t="n">
        <f>434596840000.0</f>
        <v>4.3459684E11</v>
      </c>
      <c r="I19" s="27" t="n">
        <f>0.381</f>
        <v>0.381</v>
      </c>
    </row>
    <row r="20" spans="1:9" ht="24.9" customHeight="1">
      <c r="A20" s="41"/>
      <c r="B20" s="39" t="s">
        <v>21</v>
      </c>
      <c r="C20" s="16" t="s">
        <v>15</v>
      </c>
      <c r="D20" s="17" t="n">
        <f>719819.0</f>
        <v>719819.0</v>
      </c>
      <c r="E20" s="18" t="n">
        <f>28029.0</f>
        <v>28029.0</v>
      </c>
      <c r="F20" s="19" t="n">
        <f>0.95</f>
        <v>0.95</v>
      </c>
      <c r="G20" s="17" t="n">
        <f>3492872082839.0</f>
        <v>3.492872082839E12</v>
      </c>
      <c r="H20" s="18" t="n">
        <f>275421922189.0</f>
        <v>2.75421922189E11</v>
      </c>
      <c r="I20" s="19" t="n">
        <f>0.554</f>
        <v>0.554</v>
      </c>
    </row>
    <row r="21" spans="1:9" ht="24.9" customHeight="1">
      <c r="A21" s="41"/>
      <c r="B21" s="39"/>
      <c r="C21" s="20" t="s">
        <v>16</v>
      </c>
      <c r="D21" s="21" t="n">
        <f>556946.0</f>
        <v>556946.0</v>
      </c>
      <c r="E21" s="22" t="n">
        <f>20560.0</f>
        <v>20560.0</v>
      </c>
      <c r="F21" s="23" t="n">
        <f>0.956</f>
        <v>0.956</v>
      </c>
      <c r="G21" s="21" t="n">
        <f>3442506723624.0</f>
        <v>3.442506723624E12</v>
      </c>
      <c r="H21" s="22" t="n">
        <f>232702422674.0</f>
        <v>2.32702422674E11</v>
      </c>
      <c r="I21" s="23" t="n">
        <f>0.592</f>
        <v>0.592</v>
      </c>
    </row>
    <row r="22" spans="1:9" ht="24.9" customHeight="1">
      <c r="A22" s="41"/>
      <c r="B22" s="39"/>
      <c r="C22" s="20" t="s">
        <v>17</v>
      </c>
      <c r="D22" s="21" t="n">
        <f>615728.0</f>
        <v>615728.0</v>
      </c>
      <c r="E22" s="22" t="n">
        <f>34759.0</f>
        <v>34759.0</v>
      </c>
      <c r="F22" s="23" t="n">
        <f>0.949</f>
        <v>0.949</v>
      </c>
      <c r="G22" s="21" t="n">
        <f>4963224160970.0</f>
        <v>4.96322416097E12</v>
      </c>
      <c r="H22" s="22" t="n">
        <f>682097304870.0</f>
        <v>6.8209730487E11</v>
      </c>
      <c r="I22" s="23" t="n">
        <f>0.656</f>
        <v>0.656</v>
      </c>
    </row>
    <row r="23" spans="1:9" ht="24.9" customHeight="1">
      <c r="A23" s="41"/>
      <c r="B23" s="39"/>
      <c r="C23" s="24" t="s">
        <v>18</v>
      </c>
      <c r="D23" s="25" t="n">
        <f>1892493.0</f>
        <v>1892493.0</v>
      </c>
      <c r="E23" s="26" t="n">
        <f>83348.0</f>
        <v>83348.0</v>
      </c>
      <c r="F23" s="27" t="n">
        <f>0.951</f>
        <v>0.951</v>
      </c>
      <c r="G23" s="25" t="n">
        <f>11898602967433.0</f>
        <v>1.1898602967433E13</v>
      </c>
      <c r="H23" s="26" t="n">
        <f>1190221649733.0</f>
        <v>1.190221649733E12</v>
      </c>
      <c r="I23" s="27" t="n">
        <f>0.604</f>
        <v>0.604</v>
      </c>
    </row>
    <row r="24" spans="1:9" ht="24.9" customHeight="1">
      <c r="A24" s="41"/>
      <c r="B24" s="39" t="s">
        <v>22</v>
      </c>
      <c r="C24" s="16" t="s">
        <v>15</v>
      </c>
      <c r="D24" s="17" t="n">
        <f>9041.0</f>
        <v>9041.0</v>
      </c>
      <c r="E24" s="18" t="n">
        <f>0.0</f>
        <v>0.0</v>
      </c>
      <c r="F24" s="19" t="n">
        <f>0.012</f>
        <v>0.012</v>
      </c>
      <c r="G24" s="17" t="n">
        <f>96869590500.0</f>
        <v>9.68695905E10</v>
      </c>
      <c r="H24" s="18" t="n">
        <f>0.0</f>
        <v>0.0</v>
      </c>
      <c r="I24" s="19" t="n">
        <f>0.015</f>
        <v>0.015</v>
      </c>
    </row>
    <row r="25" spans="1:9" ht="24.9" customHeight="1">
      <c r="A25" s="41"/>
      <c r="B25" s="39"/>
      <c r="C25" s="20" t="s">
        <v>16</v>
      </c>
      <c r="D25" s="21" t="n">
        <f>6730.0</f>
        <v>6730.0</v>
      </c>
      <c r="E25" s="22" t="n">
        <f>0.0</f>
        <v>0.0</v>
      </c>
      <c r="F25" s="23" t="n">
        <f>0.012</f>
        <v>0.012</v>
      </c>
      <c r="G25" s="21" t="n">
        <f>67711871500.0</f>
        <v>6.77118715E10</v>
      </c>
      <c r="H25" s="22" t="n">
        <f>0.0</f>
        <v>0.0</v>
      </c>
      <c r="I25" s="23" t="n">
        <f>0.012</f>
        <v>0.012</v>
      </c>
    </row>
    <row r="26" spans="1:9" ht="24.9" customHeight="1">
      <c r="A26" s="41"/>
      <c r="B26" s="39"/>
      <c r="C26" s="20" t="s">
        <v>17</v>
      </c>
      <c r="D26" s="21" t="n">
        <f>9738.0</f>
        <v>9738.0</v>
      </c>
      <c r="E26" s="22" t="n">
        <f>3.0</f>
        <v>3.0</v>
      </c>
      <c r="F26" s="23" t="n">
        <f>0.015</f>
        <v>0.015</v>
      </c>
      <c r="G26" s="21" t="n">
        <f>108087156100.0</f>
        <v>1.080871561E11</v>
      </c>
      <c r="H26" s="22" t="n">
        <f>64992000.0</f>
        <v>6.4992E7</v>
      </c>
      <c r="I26" s="23" t="n">
        <f>0.014</f>
        <v>0.014</v>
      </c>
    </row>
    <row r="27" spans="1:9" ht="24.9" customHeight="1">
      <c r="A27" s="42"/>
      <c r="B27" s="39"/>
      <c r="C27" s="24" t="s">
        <v>18</v>
      </c>
      <c r="D27" s="25" t="n">
        <f>25509.0</f>
        <v>25509.0</v>
      </c>
      <c r="E27" s="26" t="n">
        <f>3.0</f>
        <v>3.0</v>
      </c>
      <c r="F27" s="27" t="n">
        <f>0.013</f>
        <v>0.013</v>
      </c>
      <c r="G27" s="25" t="n">
        <f>272668618100.0</f>
        <v>2.726686181E11</v>
      </c>
      <c r="H27" s="26" t="n">
        <f>64992000.0</f>
        <v>6.4992E7</v>
      </c>
      <c r="I27" s="27" t="n">
        <f>0.014</f>
        <v>0.014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363.0</f>
        <v>363.0</v>
      </c>
      <c r="E28" s="18" t="n">
        <f>0.0</f>
        <v>0.0</v>
      </c>
      <c r="F28" s="19" t="n">
        <f>0.0</f>
        <v>0.0</v>
      </c>
      <c r="G28" s="17" t="n">
        <f>1313578500.0</f>
        <v>1.3135785E9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249.0</f>
        <v>249.0</v>
      </c>
      <c r="E29" s="22" t="n">
        <f>0.0</f>
        <v>0.0</v>
      </c>
      <c r="F29" s="23" t="n">
        <f>0.0</f>
        <v>0.0</v>
      </c>
      <c r="G29" s="21" t="n">
        <f>928768500.0</f>
        <v>9.287685E8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3494.0</f>
        <v>3494.0</v>
      </c>
      <c r="E30" s="22" t="n">
        <f>41.0</f>
        <v>41.0</v>
      </c>
      <c r="F30" s="23" t="n">
        <f>0.005</f>
        <v>0.005</v>
      </c>
      <c r="G30" s="21" t="n">
        <f>12992439200.0</f>
        <v>1.29924392E10</v>
      </c>
      <c r="H30" s="22" t="n">
        <f>57905200.0</f>
        <v>5.79052E7</v>
      </c>
      <c r="I30" s="23" t="n">
        <f>0.002</f>
        <v>0.002</v>
      </c>
    </row>
    <row r="31" spans="1:9" ht="24.9" customHeight="1">
      <c r="A31" s="38"/>
      <c r="B31" s="39"/>
      <c r="C31" s="24" t="s">
        <v>18</v>
      </c>
      <c r="D31" s="25" t="n">
        <f>4106.0</f>
        <v>4106.0</v>
      </c>
      <c r="E31" s="26" t="n">
        <f>41.0</f>
        <v>41.0</v>
      </c>
      <c r="F31" s="27" t="n">
        <f>0.002</f>
        <v>0.002</v>
      </c>
      <c r="G31" s="25" t="n">
        <f>15234786200.0</f>
        <v>1.52347862E10</v>
      </c>
      <c r="H31" s="26" t="n">
        <f>57905200.0</f>
        <v>5.79052E7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46216.0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46216.0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45348</f>
        <v>45348.0</v>
      </c>
      <c r="E11" s="18" t="n">
        <f>7413</f>
        <v>7413.0</v>
      </c>
      <c r="F11" s="19" t="n">
        <f>1</f>
        <v>1.0</v>
      </c>
      <c r="G11" s="17" t="n">
        <f>18639065370</f>
        <v>1.863906537E10</v>
      </c>
      <c r="H11" s="18" t="n">
        <f>8582996170</f>
        <v>8.58299617E9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45795</f>
        <v>45795.0</v>
      </c>
      <c r="E12" s="22" t="n">
        <f>3998</f>
        <v>3998.0</v>
      </c>
      <c r="F12" s="23" t="n">
        <f>1</f>
        <v>1.0</v>
      </c>
      <c r="G12" s="21" t="n">
        <f>5735935374</f>
        <v>5.735935374E9</v>
      </c>
      <c r="H12" s="22" t="n">
        <f>3253262848</f>
        <v>3.253262848E9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66195</f>
        <v>66195.0</v>
      </c>
      <c r="E13" s="22" t="n">
        <f>22415</f>
        <v>22415.0</v>
      </c>
      <c r="F13" s="23" t="n">
        <f>1</f>
        <v>1.0</v>
      </c>
      <c r="G13" s="21" t="n">
        <f>25898196016</f>
        <v>2.5898196016E10</v>
      </c>
      <c r="H13" s="22" t="n">
        <f>18126404998</f>
        <v>1.8126404998E10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157338</f>
        <v>157338.0</v>
      </c>
      <c r="E14" s="26" t="n">
        <f>33826</f>
        <v>33826.0</v>
      </c>
      <c r="F14" s="27" t="n">
        <f>1</f>
        <v>1.0</v>
      </c>
      <c r="G14" s="25" t="n">
        <f>50273196760</f>
        <v>5.027319676E10</v>
      </c>
      <c r="H14" s="26" t="n">
        <f>29962664016</f>
        <v>2.9962664016E10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94</f>
        <v>94.0</v>
      </c>
      <c r="E15" s="18" t="n">
        <f>0</f>
        <v>0.0</v>
      </c>
      <c r="F15" s="19" t="n">
        <f>0.002</f>
        <v>0.002</v>
      </c>
      <c r="G15" s="17" t="n">
        <f>16430000</f>
        <v>1.643E7</v>
      </c>
      <c r="H15" s="18" t="n">
        <f>0</f>
        <v>0.0</v>
      </c>
      <c r="I15" s="19" t="n">
        <f>0.001</f>
        <v>0.001</v>
      </c>
    </row>
    <row r="16" spans="1:9" ht="24.9" customHeight="1">
      <c r="A16" s="41"/>
      <c r="B16" s="39"/>
      <c r="C16" s="20" t="s">
        <v>16</v>
      </c>
      <c r="D16" s="21" t="n">
        <f>48</f>
        <v>48.0</v>
      </c>
      <c r="E16" s="22" t="n">
        <f>0</f>
        <v>0.0</v>
      </c>
      <c r="F16" s="23" t="n">
        <f>0.001</f>
        <v>0.001</v>
      </c>
      <c r="G16" s="21" t="n">
        <f>12360000</f>
        <v>1.236E7</v>
      </c>
      <c r="H16" s="22" t="n">
        <f>0</f>
        <v>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45</f>
        <v>45.0</v>
      </c>
      <c r="E17" s="22" t="n">
        <f>0</f>
        <v>0.0</v>
      </c>
      <c r="F17" s="23" t="n">
        <f>0.001</f>
        <v>0.001</v>
      </c>
      <c r="G17" s="21" t="n">
        <f>15200000</f>
        <v>1.52E7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187</f>
        <v>187.0</v>
      </c>
      <c r="E18" s="26" t="n">
        <f>0</f>
        <v>0.0</v>
      </c>
      <c r="F18" s="27" t="n">
        <f>0.001</f>
        <v>0.001</v>
      </c>
      <c r="G18" s="25" t="n">
        <f>43990000</f>
        <v>4.399E7</v>
      </c>
      <c r="H18" s="26" t="n">
        <f>0</f>
        <v>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45254</f>
        <v>45254.0</v>
      </c>
      <c r="E19" s="18" t="n">
        <f>7413</f>
        <v>7413.0</v>
      </c>
      <c r="F19" s="19" t="n">
        <f>0.998</f>
        <v>0.998</v>
      </c>
      <c r="G19" s="17" t="n">
        <f>18622635370</f>
        <v>1.862263537E10</v>
      </c>
      <c r="H19" s="18" t="n">
        <f>8582996170</f>
        <v>8.58299617E9</v>
      </c>
      <c r="I19" s="19" t="n">
        <f>0.999</f>
        <v>0.999</v>
      </c>
    </row>
    <row r="20" spans="1:9" ht="24.9" customHeight="1">
      <c r="A20" s="41"/>
      <c r="B20" s="39"/>
      <c r="C20" s="20" t="s">
        <v>16</v>
      </c>
      <c r="D20" s="21" t="n">
        <f>21291</f>
        <v>21291.0</v>
      </c>
      <c r="E20" s="22" t="n">
        <f>3998</f>
        <v>3998.0</v>
      </c>
      <c r="F20" s="23" t="n">
        <f>0.465</f>
        <v>0.465</v>
      </c>
      <c r="G20" s="21" t="n">
        <f>5566955148</f>
        <v>5.566955148E9</v>
      </c>
      <c r="H20" s="22" t="n">
        <f>3253262848</f>
        <v>3.253262848E9</v>
      </c>
      <c r="I20" s="23" t="n">
        <f>0.971</f>
        <v>0.971</v>
      </c>
    </row>
    <row r="21" spans="1:9" ht="24.9" customHeight="1">
      <c r="A21" s="41"/>
      <c r="B21" s="39"/>
      <c r="C21" s="20" t="s">
        <v>17</v>
      </c>
      <c r="D21" s="21" t="n">
        <f>42955</f>
        <v>42955.0</v>
      </c>
      <c r="E21" s="22" t="n">
        <f>14915</f>
        <v>14915.0</v>
      </c>
      <c r="F21" s="23" t="n">
        <f>0.649</f>
        <v>0.649</v>
      </c>
      <c r="G21" s="21" t="n">
        <f>25646003498</f>
        <v>2.5646003498E10</v>
      </c>
      <c r="H21" s="22" t="n">
        <f>17947604998</f>
        <v>1.7947604998E10</v>
      </c>
      <c r="I21" s="23" t="n">
        <f>0.99</f>
        <v>0.99</v>
      </c>
    </row>
    <row r="22" spans="1:9" ht="24.9" customHeight="1">
      <c r="A22" s="41"/>
      <c r="B22" s="39"/>
      <c r="C22" s="24" t="s">
        <v>18</v>
      </c>
      <c r="D22" s="25" t="n">
        <f>109500</f>
        <v>109500.0</v>
      </c>
      <c r="E22" s="26" t="n">
        <f>26326</f>
        <v>26326.0</v>
      </c>
      <c r="F22" s="27" t="n">
        <f>0.696</f>
        <v>0.696</v>
      </c>
      <c r="G22" s="25" t="n">
        <f>49835594016</f>
        <v>4.9835594016E10</v>
      </c>
      <c r="H22" s="26" t="n">
        <f>29783864016</f>
        <v>2.9783864016E10</v>
      </c>
      <c r="I22" s="27" t="n">
        <f>0.991</f>
        <v>0.991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24456</f>
        <v>24456.0</v>
      </c>
      <c r="E24" s="22" t="n">
        <f>0</f>
        <v>0.0</v>
      </c>
      <c r="F24" s="23" t="n">
        <f>0.534</f>
        <v>0.534</v>
      </c>
      <c r="G24" s="21" t="n">
        <f>156620226</f>
        <v>1.56620226E8</v>
      </c>
      <c r="H24" s="22" t="n">
        <f>0</f>
        <v>0.0</v>
      </c>
      <c r="I24" s="23" t="n">
        <f>0.027</f>
        <v>0.027</v>
      </c>
    </row>
    <row r="25" spans="1:9" ht="24.9" customHeight="1">
      <c r="A25" s="41"/>
      <c r="B25" s="39"/>
      <c r="C25" s="20" t="s">
        <v>17</v>
      </c>
      <c r="D25" s="21" t="n">
        <f>23195</f>
        <v>23195.0</v>
      </c>
      <c r="E25" s="22" t="n">
        <f>7500</f>
        <v>7500.0</v>
      </c>
      <c r="F25" s="23" t="n">
        <f>0.35</f>
        <v>0.35</v>
      </c>
      <c r="G25" s="21" t="n">
        <f>236992518</f>
        <v>2.36992518E8</v>
      </c>
      <c r="H25" s="22" t="n">
        <f>178800000</f>
        <v>1.788E8</v>
      </c>
      <c r="I25" s="23" t="n">
        <f>0.009</f>
        <v>0.009</v>
      </c>
    </row>
    <row r="26" spans="1:9" ht="24.9" customHeight="1">
      <c r="A26" s="41"/>
      <c r="B26" s="39"/>
      <c r="C26" s="24" t="s">
        <v>18</v>
      </c>
      <c r="D26" s="25" t="n">
        <f>47651</f>
        <v>47651.0</v>
      </c>
      <c r="E26" s="26" t="n">
        <f>7500</f>
        <v>7500.0</v>
      </c>
      <c r="F26" s="27" t="n">
        <f>0.303</f>
        <v>0.303</v>
      </c>
      <c r="G26" s="25" t="n">
        <f>393612744</f>
        <v>3.93612744E8</v>
      </c>
      <c r="H26" s="26" t="n">
        <f>178800000</f>
        <v>1.788E8</v>
      </c>
      <c r="I26" s="27" t="n">
        <f>0.008</f>
        <v>0.008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46216.0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46216.0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11976.0</v>
      </c>
      <c r="F12" s="18" t="n">
        <f>1280</f>
        <v>1280.0</v>
      </c>
      <c r="G12" s="17" t="n">
        <v>8.246438087E11</v>
      </c>
      <c r="H12" s="18" t="n">
        <f>88164642700</f>
        <v>8.81646427E10</v>
      </c>
    </row>
    <row r="13" spans="1:8" ht="24.9" customHeight="1">
      <c r="A13" s="51"/>
      <c r="B13" s="57"/>
      <c r="C13" s="39"/>
      <c r="D13" s="20" t="s">
        <v>16</v>
      </c>
      <c r="E13" s="21" t="n">
        <v>13073.0</v>
      </c>
      <c r="F13" s="22" t="n">
        <f>1439</f>
        <v>1439.0</v>
      </c>
      <c r="G13" s="21" t="n">
        <v>8.94110833E11</v>
      </c>
      <c r="H13" s="22" t="n">
        <f>98639953000</f>
        <v>9.8639953E10</v>
      </c>
    </row>
    <row r="14" spans="1:8" ht="24.9" customHeight="1">
      <c r="A14" s="51"/>
      <c r="B14" s="57"/>
      <c r="C14" s="39"/>
      <c r="D14" s="20" t="s">
        <v>17</v>
      </c>
      <c r="E14" s="21" t="n">
        <v>22058.0</v>
      </c>
      <c r="F14" s="22" t="n">
        <f>3556</f>
        <v>3556.0</v>
      </c>
      <c r="G14" s="21" t="n">
        <v>1.48459791356E12</v>
      </c>
      <c r="H14" s="22" t="n">
        <f>239671164560</f>
        <v>2.3967116456E11</v>
      </c>
    </row>
    <row r="15" spans="1:8" ht="24.9" customHeight="1">
      <c r="A15" s="51"/>
      <c r="B15" s="57"/>
      <c r="C15" s="39"/>
      <c r="D15" s="24" t="s">
        <v>18</v>
      </c>
      <c r="E15" s="25" t="n">
        <v>47107.0</v>
      </c>
      <c r="F15" s="26" t="n">
        <f>6275</f>
        <v>6275.0</v>
      </c>
      <c r="G15" s="25" t="n">
        <v>3.20335255526E12</v>
      </c>
      <c r="H15" s="26" t="n">
        <f>426475760260</f>
        <v>4.2647576026E11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248882.0</v>
      </c>
      <c r="F16" s="18" t="n">
        <f>25997</f>
        <v>25997.0</v>
      </c>
      <c r="G16" s="17" t="n">
        <v>1.714098110889E12</v>
      </c>
      <c r="H16" s="18" t="n">
        <f>179036941889</f>
        <v>1.79036941889E11</v>
      </c>
    </row>
    <row r="17" spans="1:8" ht="24.9" customHeight="1">
      <c r="A17" s="51"/>
      <c r="B17" s="57"/>
      <c r="C17" s="39"/>
      <c r="D17" s="20" t="s">
        <v>16</v>
      </c>
      <c r="E17" s="21" t="n">
        <v>236615.0</v>
      </c>
      <c r="F17" s="22" t="n">
        <f>18606</f>
        <v>18606.0</v>
      </c>
      <c r="G17" s="21" t="n">
        <v>1.61777404034E12</v>
      </c>
      <c r="H17" s="22" t="n">
        <f>127154741340</f>
        <v>1.2715474134E11</v>
      </c>
    </row>
    <row r="18" spans="1:8" ht="24.9" customHeight="1">
      <c r="A18" s="51"/>
      <c r="B18" s="57"/>
      <c r="C18" s="39"/>
      <c r="D18" s="20" t="s">
        <v>17</v>
      </c>
      <c r="E18" s="21" t="n">
        <v>254740.0</v>
      </c>
      <c r="F18" s="22" t="n">
        <f>23307</f>
        <v>23307.0</v>
      </c>
      <c r="G18" s="21" t="n">
        <v>1.71479658139E12</v>
      </c>
      <c r="H18" s="22" t="n">
        <f>156891119390</f>
        <v>1.5689111939E11</v>
      </c>
    </row>
    <row r="19" spans="1:8" ht="24.9" customHeight="1">
      <c r="A19" s="51"/>
      <c r="B19" s="57"/>
      <c r="C19" s="39"/>
      <c r="D19" s="24" t="s">
        <v>18</v>
      </c>
      <c r="E19" s="25" t="n">
        <v>740237.0</v>
      </c>
      <c r="F19" s="26" t="n">
        <f>67910</f>
        <v>67910.0</v>
      </c>
      <c r="G19" s="25" t="n">
        <v>5.046668732619E12</v>
      </c>
      <c r="H19" s="26" t="n">
        <f>463082802619</f>
        <v>4.63082802619E11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436291.0</v>
      </c>
      <c r="F20" s="18" t="str">
        <f>"－"</f>
        <v>－</v>
      </c>
      <c r="G20" s="17" t="n">
        <v>3.0051742E11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279443.0</v>
      </c>
      <c r="F21" s="22" t="str">
        <f>"－"</f>
        <v>－</v>
      </c>
      <c r="G21" s="21" t="n">
        <v>1.9101831635E11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288666.0</v>
      </c>
      <c r="F22" s="22" t="str">
        <f>"－"</f>
        <v>－</v>
      </c>
      <c r="G22" s="21" t="n">
        <v>1.9434396855E11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1004400.0</v>
      </c>
      <c r="F23" s="26" t="str">
        <f>"－"</f>
        <v>－</v>
      </c>
      <c r="G23" s="25" t="n">
        <v>6.858797049E11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15390.0</v>
      </c>
      <c r="F24" s="18" t="n">
        <f>143</f>
        <v>143.0</v>
      </c>
      <c r="G24" s="17" t="n">
        <v>6.263207176E11</v>
      </c>
      <c r="H24" s="18" t="n">
        <f>5792292600</f>
        <v>5.7922926E9</v>
      </c>
    </row>
    <row r="25" spans="1:8" ht="24.9" customHeight="1">
      <c r="A25" s="51"/>
      <c r="B25" s="57"/>
      <c r="C25" s="39"/>
      <c r="D25" s="20" t="s">
        <v>16</v>
      </c>
      <c r="E25" s="21" t="n">
        <v>17314.0</v>
      </c>
      <c r="F25" s="22" t="n">
        <f>139</f>
        <v>139.0</v>
      </c>
      <c r="G25" s="21" t="n">
        <v>7.01590299524E11</v>
      </c>
      <c r="H25" s="22" t="n">
        <f>5618249524</f>
        <v>5.618249524E9</v>
      </c>
    </row>
    <row r="26" spans="1:8" ht="24.9" customHeight="1">
      <c r="A26" s="51"/>
      <c r="B26" s="57"/>
      <c r="C26" s="39"/>
      <c r="D26" s="20" t="s">
        <v>17</v>
      </c>
      <c r="E26" s="21" t="n">
        <v>37990.0</v>
      </c>
      <c r="F26" s="22" t="n">
        <f>7024</f>
        <v>7024.0</v>
      </c>
      <c r="G26" s="21" t="n">
        <v>1.5257011157E12</v>
      </c>
      <c r="H26" s="22" t="n">
        <f>283267405700</f>
        <v>2.832674057E11</v>
      </c>
    </row>
    <row r="27" spans="1:8" ht="24.9" customHeight="1">
      <c r="A27" s="51"/>
      <c r="B27" s="57"/>
      <c r="C27" s="39"/>
      <c r="D27" s="24" t="s">
        <v>18</v>
      </c>
      <c r="E27" s="25" t="n">
        <v>70694.0</v>
      </c>
      <c r="F27" s="26" t="n">
        <f>7306</f>
        <v>7306.0</v>
      </c>
      <c r="G27" s="25" t="n">
        <v>2.853612132824E12</v>
      </c>
      <c r="H27" s="26" t="n">
        <f>294677947824</f>
        <v>2.94677947824E11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5501.0</v>
      </c>
      <c r="F28" s="18" t="n">
        <f>591</f>
        <v>591.0</v>
      </c>
      <c r="G28" s="17" t="n">
        <v>2.238367643E10</v>
      </c>
      <c r="H28" s="18" t="n">
        <f>2398698680</f>
        <v>2.39869868E9</v>
      </c>
    </row>
    <row r="29" spans="1:8" ht="24.9" customHeight="1">
      <c r="A29" s="51"/>
      <c r="B29" s="57"/>
      <c r="C29" s="39"/>
      <c r="D29" s="20" t="s">
        <v>16</v>
      </c>
      <c r="E29" s="21" t="n">
        <v>8297.0</v>
      </c>
      <c r="F29" s="22" t="n">
        <f>305</f>
        <v>305.0</v>
      </c>
      <c r="G29" s="21" t="n">
        <v>3.36193328E10</v>
      </c>
      <c r="H29" s="22" t="n">
        <f>1234289800</f>
        <v>1.2342898E9</v>
      </c>
    </row>
    <row r="30" spans="1:8" ht="24.9" customHeight="1">
      <c r="A30" s="51"/>
      <c r="B30" s="57"/>
      <c r="C30" s="39"/>
      <c r="D30" s="20" t="s">
        <v>17</v>
      </c>
      <c r="E30" s="21" t="n">
        <v>9491.0</v>
      </c>
      <c r="F30" s="22" t="n">
        <f>298</f>
        <v>298.0</v>
      </c>
      <c r="G30" s="21" t="n">
        <v>3.8094043E10</v>
      </c>
      <c r="H30" s="22" t="n">
        <f>1196048250</f>
        <v>1.19604825E9</v>
      </c>
    </row>
    <row r="31" spans="1:8" ht="24.9" customHeight="1">
      <c r="A31" s="51"/>
      <c r="B31" s="57"/>
      <c r="C31" s="39"/>
      <c r="D31" s="24" t="s">
        <v>18</v>
      </c>
      <c r="E31" s="25" t="n">
        <v>23289.0</v>
      </c>
      <c r="F31" s="26" t="n">
        <f>1194</f>
        <v>1194.0</v>
      </c>
      <c r="G31" s="25" t="n">
        <v>9.409705223E10</v>
      </c>
      <c r="H31" s="26" t="n">
        <f>4829036730</f>
        <v>4.82903673E9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632.0</v>
      </c>
      <c r="F36" s="18" t="n">
        <f>1</f>
        <v>1.0</v>
      </c>
      <c r="G36" s="17" t="n">
        <v>2.3312225E9</v>
      </c>
      <c r="H36" s="18" t="n">
        <f>3692500</f>
        <v>3692500.0</v>
      </c>
    </row>
    <row r="37" spans="1:8" ht="24.9" customHeight="1">
      <c r="A37" s="51"/>
      <c r="B37" s="57"/>
      <c r="C37" s="39"/>
      <c r="D37" s="20" t="s">
        <v>16</v>
      </c>
      <c r="E37" s="21" t="n">
        <v>917.0</v>
      </c>
      <c r="F37" s="22" t="n">
        <f>0</f>
        <v>0.0</v>
      </c>
      <c r="G37" s="21" t="n">
        <v>3.362677E9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957.0</v>
      </c>
      <c r="F38" s="22" t="n">
        <f>41</f>
        <v>41.0</v>
      </c>
      <c r="G38" s="21" t="n">
        <v>3.48088049E9</v>
      </c>
      <c r="H38" s="22" t="n">
        <f>150717490</f>
        <v>1.5071749E8</v>
      </c>
    </row>
    <row r="39" spans="1:8" ht="24.9" customHeight="1">
      <c r="A39" s="51"/>
      <c r="B39" s="57"/>
      <c r="C39" s="39"/>
      <c r="D39" s="24" t="s">
        <v>18</v>
      </c>
      <c r="E39" s="25" t="n">
        <v>2506.0</v>
      </c>
      <c r="F39" s="26" t="n">
        <f>42</f>
        <v>42.0</v>
      </c>
      <c r="G39" s="25" t="n">
        <v>9.17477999E9</v>
      </c>
      <c r="H39" s="26" t="n">
        <f>154409990</f>
        <v>1.5440999E8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4.0</v>
      </c>
      <c r="F48" s="18" t="n">
        <f>4</f>
        <v>4.0</v>
      </c>
      <c r="G48" s="17" t="n">
        <v>7260000.0</v>
      </c>
      <c r="H48" s="18" t="n">
        <f>7260000</f>
        <v>7260000.0</v>
      </c>
    </row>
    <row r="49" spans="1:8" ht="24.9" customHeight="1">
      <c r="A49" s="51"/>
      <c r="B49" s="57"/>
      <c r="C49" s="39"/>
      <c r="D49" s="20" t="s">
        <v>16</v>
      </c>
      <c r="E49" s="21" t="n">
        <v>61.0</v>
      </c>
      <c r="F49" s="22" t="n">
        <f>0</f>
        <v>0.0</v>
      </c>
      <c r="G49" s="21" t="n">
        <v>1.103885E8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541.0</v>
      </c>
      <c r="F50" s="22" t="n">
        <f>487</f>
        <v>487.0</v>
      </c>
      <c r="G50" s="21" t="n">
        <v>9.7707132E8</v>
      </c>
      <c r="H50" s="22" t="n">
        <f>879167820</f>
        <v>8.7916782E8</v>
      </c>
    </row>
    <row r="51" spans="1:8" ht="24.9" customHeight="1">
      <c r="A51" s="51"/>
      <c r="B51" s="57"/>
      <c r="C51" s="39"/>
      <c r="D51" s="24" t="s">
        <v>18</v>
      </c>
      <c r="E51" s="25" t="n">
        <v>606.0</v>
      </c>
      <c r="F51" s="26" t="n">
        <f>491</f>
        <v>491.0</v>
      </c>
      <c r="G51" s="25" t="n">
        <v>1.09471982E9</v>
      </c>
      <c r="H51" s="26" t="n">
        <f>886427820</f>
        <v>8.8642782E8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426.0</v>
      </c>
      <c r="F56" s="18" t="n">
        <f>11</f>
        <v>11.0</v>
      </c>
      <c r="G56" s="17" t="n">
        <v>3.028949E8</v>
      </c>
      <c r="H56" s="18" t="n">
        <f>7829900</f>
        <v>7829900.0</v>
      </c>
    </row>
    <row r="57" spans="1:8" ht="24.9" customHeight="1">
      <c r="A57" s="51"/>
      <c r="B57" s="57"/>
      <c r="C57" s="39"/>
      <c r="D57" s="20" t="s">
        <v>16</v>
      </c>
      <c r="E57" s="21" t="n">
        <v>1150.0</v>
      </c>
      <c r="F57" s="22" t="n">
        <f>70</f>
        <v>70.0</v>
      </c>
      <c r="G57" s="21" t="n">
        <v>8.192079E8</v>
      </c>
      <c r="H57" s="22" t="n">
        <f>49912900</f>
        <v>4.99129E7</v>
      </c>
    </row>
    <row r="58" spans="1:8" ht="24.9" customHeight="1">
      <c r="A58" s="51"/>
      <c r="B58" s="57"/>
      <c r="C58" s="39"/>
      <c r="D58" s="20" t="s">
        <v>17</v>
      </c>
      <c r="E58" s="21" t="n">
        <v>1080.0</v>
      </c>
      <c r="F58" s="22" t="n">
        <f>44</f>
        <v>44.0</v>
      </c>
      <c r="G58" s="21" t="n">
        <v>7.6103686E8</v>
      </c>
      <c r="H58" s="22" t="n">
        <f>31141860</f>
        <v>3.114186E7</v>
      </c>
    </row>
    <row r="59" spans="1:8" ht="24.9" customHeight="1">
      <c r="A59" s="51"/>
      <c r="B59" s="57"/>
      <c r="C59" s="39"/>
      <c r="D59" s="24" t="s">
        <v>18</v>
      </c>
      <c r="E59" s="25" t="n">
        <v>2656.0</v>
      </c>
      <c r="F59" s="26" t="n">
        <f>125</f>
        <v>125.0</v>
      </c>
      <c r="G59" s="25" t="n">
        <v>1.88313966E9</v>
      </c>
      <c r="H59" s="26" t="n">
        <f>88884660</f>
        <v>8.888466E7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200.0</v>
      </c>
      <c r="F60" s="18" t="n">
        <f>2</f>
        <v>2.0</v>
      </c>
      <c r="G60" s="17" t="n">
        <v>1.05685072E9</v>
      </c>
      <c r="H60" s="18" t="n">
        <f>10563920</f>
        <v>1.056392E7</v>
      </c>
    </row>
    <row r="61" spans="1:8" ht="24.9" customHeight="1">
      <c r="A61" s="51"/>
      <c r="B61" s="57"/>
      <c r="C61" s="39"/>
      <c r="D61" s="20" t="s">
        <v>16</v>
      </c>
      <c r="E61" s="21" t="n">
        <v>13.0</v>
      </c>
      <c r="F61" s="22" t="n">
        <f>1</f>
        <v>1.0</v>
      </c>
      <c r="G61" s="21" t="n">
        <v>6.864341E7</v>
      </c>
      <c r="H61" s="22" t="n">
        <f>5276110</f>
        <v>5276110.0</v>
      </c>
    </row>
    <row r="62" spans="1:8" ht="24.9" customHeight="1">
      <c r="A62" s="51"/>
      <c r="B62" s="57"/>
      <c r="C62" s="39"/>
      <c r="D62" s="20" t="s">
        <v>17</v>
      </c>
      <c r="E62" s="21" t="n">
        <v>25.0</v>
      </c>
      <c r="F62" s="22" t="n">
        <f>2</f>
        <v>2.0</v>
      </c>
      <c r="G62" s="21" t="n">
        <v>1.318228E8</v>
      </c>
      <c r="H62" s="22" t="n">
        <f>10539800</f>
        <v>1.05398E7</v>
      </c>
    </row>
    <row r="63" spans="1:8" ht="24.9" customHeight="1">
      <c r="A63" s="51"/>
      <c r="B63" s="57"/>
      <c r="C63" s="39"/>
      <c r="D63" s="24" t="s">
        <v>18</v>
      </c>
      <c r="E63" s="25" t="n">
        <v>238.0</v>
      </c>
      <c r="F63" s="26" t="n">
        <f>5</f>
        <v>5.0</v>
      </c>
      <c r="G63" s="25" t="n">
        <v>1.25731693E9</v>
      </c>
      <c r="H63" s="26" t="n">
        <f>26379830</f>
        <v>2.637983E7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1.0</v>
      </c>
      <c r="F76" s="18" t="n">
        <f>0</f>
        <v>0.0</v>
      </c>
      <c r="G76" s="17" t="n">
        <v>350500.0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54.0</v>
      </c>
      <c r="F77" s="22" t="n">
        <f>0</f>
        <v>0.0</v>
      </c>
      <c r="G77" s="21" t="n">
        <v>1.84705E7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14.0</v>
      </c>
      <c r="F78" s="22" t="n">
        <f>0</f>
        <v>0.0</v>
      </c>
      <c r="G78" s="21" t="n">
        <v>5221500.0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69.0</v>
      </c>
      <c r="F79" s="26" t="n">
        <f>0</f>
        <v>0.0</v>
      </c>
      <c r="G79" s="25" t="n">
        <v>2.40425E7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25.0</v>
      </c>
      <c r="F92" s="18" t="n">
        <f>0</f>
        <v>0.0</v>
      </c>
      <c r="G92" s="17" t="n">
        <v>4.023E7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9.0</v>
      </c>
      <c r="F93" s="22" t="n">
        <f>0</f>
        <v>0.0</v>
      </c>
      <c r="G93" s="21" t="n">
        <v>1.45143E7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80.0</v>
      </c>
      <c r="F94" s="22" t="n">
        <f>0</f>
        <v>0.0</v>
      </c>
      <c r="G94" s="21" t="n">
        <v>1.291578E8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114.0</v>
      </c>
      <c r="F95" s="26" t="n">
        <f>0</f>
        <v>0.0</v>
      </c>
      <c r="G95" s="25" t="n">
        <v>1.839021E8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491.0</v>
      </c>
      <c r="F96" s="18" t="n">
        <f>0</f>
        <v>0.0</v>
      </c>
      <c r="G96" s="17" t="n">
        <v>1.1695406E9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86.0</v>
      </c>
      <c r="F98" s="22" t="n">
        <f>0</f>
        <v>0.0</v>
      </c>
      <c r="G98" s="21" t="n">
        <v>2.05348E8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577.0</v>
      </c>
      <c r="F99" s="26" t="n">
        <f>0</f>
        <v>0.0</v>
      </c>
      <c r="G99" s="25" t="n">
        <v>1.3748886E9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19583.0</v>
      </c>
      <c r="F108" s="18" t="n">
        <f>532</f>
        <v>532.0</v>
      </c>
      <c r="G108" s="17" t="n">
        <v>2.49894215E12</v>
      </c>
      <c r="H108" s="18" t="n">
        <f>67898160000</f>
        <v>6.789816E10</v>
      </c>
    </row>
    <row r="109" spans="1:8" ht="24.9" customHeight="1">
      <c r="A109" s="51"/>
      <c r="B109" s="57"/>
      <c r="C109" s="39"/>
      <c r="D109" s="20" t="s">
        <v>16</v>
      </c>
      <c r="E109" s="21" t="n">
        <v>17897.0</v>
      </c>
      <c r="F109" s="22" t="n">
        <f>1014</f>
        <v>1014.0</v>
      </c>
      <c r="G109" s="21" t="n">
        <v>2.27936792E12</v>
      </c>
      <c r="H109" s="22" t="n">
        <f>129143870000</f>
        <v>1.2914387E11</v>
      </c>
    </row>
    <row r="110" spans="1:8" ht="24.9" customHeight="1">
      <c r="A110" s="51"/>
      <c r="B110" s="57"/>
      <c r="C110" s="39"/>
      <c r="D110" s="20" t="s">
        <v>17</v>
      </c>
      <c r="E110" s="21" t="n">
        <v>19474.0</v>
      </c>
      <c r="F110" s="22" t="n">
        <f>1867</f>
        <v>1867.0</v>
      </c>
      <c r="G110" s="21" t="n">
        <v>2.47690174E12</v>
      </c>
      <c r="H110" s="22" t="n">
        <f>237554810000</f>
        <v>2.3755481E11</v>
      </c>
    </row>
    <row r="111" spans="1:8" ht="24.9" customHeight="1">
      <c r="A111" s="51"/>
      <c r="B111" s="57"/>
      <c r="C111" s="39"/>
      <c r="D111" s="24" t="s">
        <v>18</v>
      </c>
      <c r="E111" s="25" t="n">
        <v>56954.0</v>
      </c>
      <c r="F111" s="26" t="n">
        <f>3413</f>
        <v>3413.0</v>
      </c>
      <c r="G111" s="25" t="n">
        <v>7.25521181E12</v>
      </c>
      <c r="H111" s="26" t="n">
        <f>434596840000</f>
        <v>4.3459684E11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0.0</v>
      </c>
      <c r="F113" s="22" t="n">
        <f>0</f>
        <v>0.0</v>
      </c>
      <c r="G113" s="21" t="n">
        <v>0.0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0.0</v>
      </c>
      <c r="F114" s="22" t="n">
        <f>0</f>
        <v>0.0</v>
      </c>
      <c r="G114" s="21" t="n">
        <v>0.0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0.0</v>
      </c>
      <c r="F115" s="26" t="n">
        <f>0</f>
        <v>0.0</v>
      </c>
      <c r="G115" s="25" t="n">
        <v>0.0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0.0</v>
      </c>
      <c r="F118" s="22" t="n">
        <f>0</f>
        <v>0.0</v>
      </c>
      <c r="G118" s="21" t="n">
        <v>0.0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0.0</v>
      </c>
      <c r="F119" s="26" t="n">
        <f>0</f>
        <v>0.0</v>
      </c>
      <c r="G119" s="25" t="n">
        <v>0.0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8752.0</v>
      </c>
      <c r="F120" s="18" t="n">
        <f>0</f>
        <v>0.0</v>
      </c>
      <c r="G120" s="17" t="n">
        <v>2.16167163125E11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849.0</v>
      </c>
      <c r="F121" s="22" t="n">
        <f>0</f>
        <v>0.0</v>
      </c>
      <c r="G121" s="21" t="n">
        <v>2.0947968125E10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391.0</v>
      </c>
      <c r="F122" s="22" t="n">
        <f>0</f>
        <v>0.0</v>
      </c>
      <c r="G122" s="21" t="n">
        <v>9.6543E9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9992.0</v>
      </c>
      <c r="F123" s="26" t="n">
        <f>0</f>
        <v>0.0</v>
      </c>
      <c r="G123" s="25" t="n">
        <v>2.4676943125E11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3879.0</v>
      </c>
      <c r="F124" s="18" t="n">
        <f>0</f>
        <v>0.0</v>
      </c>
      <c r="G124" s="17" t="n">
        <v>8.4637733E10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2687.0</v>
      </c>
      <c r="F125" s="22" t="n">
        <f>0</f>
        <v>0.0</v>
      </c>
      <c r="G125" s="21" t="n">
        <v>5.8394135E10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4467.0</v>
      </c>
      <c r="F126" s="22" t="n">
        <f>3</f>
        <v>3.0</v>
      </c>
      <c r="G126" s="21" t="n">
        <v>9.6680936E10</v>
      </c>
      <c r="H126" s="22" t="n">
        <f>64992000</f>
        <v>6.4992E7</v>
      </c>
    </row>
    <row r="127" spans="1:8" ht="24.9" customHeight="1">
      <c r="A127" s="51"/>
      <c r="B127" s="57"/>
      <c r="C127" s="39"/>
      <c r="D127" s="24" t="s">
        <v>18</v>
      </c>
      <c r="E127" s="25" t="n">
        <v>11033.0</v>
      </c>
      <c r="F127" s="26" t="n">
        <f>3</f>
        <v>3.0</v>
      </c>
      <c r="G127" s="25" t="n">
        <v>2.39712804E11</v>
      </c>
      <c r="H127" s="26" t="n">
        <f>64992000</f>
        <v>6.4992E7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86.0</v>
      </c>
      <c r="F128" s="18" t="n">
        <f>0</f>
        <v>0.0</v>
      </c>
      <c r="G128" s="17" t="n">
        <v>1.86452E8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44.0</v>
      </c>
      <c r="F129" s="22" t="n">
        <f>0</f>
        <v>0.0</v>
      </c>
      <c r="G129" s="21" t="n">
        <v>9.52563E7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82.0</v>
      </c>
      <c r="F130" s="22" t="n">
        <f>0</f>
        <v>0.0</v>
      </c>
      <c r="G130" s="21" t="n">
        <v>1.76621E8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212.0</v>
      </c>
      <c r="F131" s="26" t="n">
        <f>0</f>
        <v>0.0</v>
      </c>
      <c r="G131" s="25" t="n">
        <v>4.583293E8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4173.0</v>
      </c>
      <c r="F132" s="18" t="n">
        <f>0</f>
        <v>0.0</v>
      </c>
      <c r="G132" s="17" t="n">
        <v>9.1048472E9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2847.0</v>
      </c>
      <c r="F133" s="22" t="n">
        <f>0</f>
        <v>0.0</v>
      </c>
      <c r="G133" s="21" t="n">
        <v>6.1885284E9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2816.0</v>
      </c>
      <c r="F134" s="22" t="n">
        <f>0</f>
        <v>0.0</v>
      </c>
      <c r="G134" s="21" t="n">
        <v>6.09733895E9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9836.0</v>
      </c>
      <c r="F135" s="26" t="n">
        <f>0</f>
        <v>0.0</v>
      </c>
      <c r="G135" s="25" t="n">
        <v>2.139071455E10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28.0</v>
      </c>
      <c r="F136" s="18" t="n">
        <f>0</f>
        <v>0.0</v>
      </c>
      <c r="G136" s="17" t="n">
        <v>6.05329E7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5.0</v>
      </c>
      <c r="F137" s="22" t="n">
        <f>0</f>
        <v>0.0</v>
      </c>
      <c r="G137" s="21" t="n">
        <v>1.0749E7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32.0</v>
      </c>
      <c r="F138" s="22" t="n">
        <f>0</f>
        <v>0.0</v>
      </c>
      <c r="G138" s="21" t="n">
        <v>6.84343E7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65.0</v>
      </c>
      <c r="F139" s="26" t="n">
        <f>0</f>
        <v>0.0</v>
      </c>
      <c r="G139" s="25" t="n">
        <v>1.397162E8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1.0</v>
      </c>
      <c r="F142" s="22" t="n">
        <f>0</f>
        <v>0.0</v>
      </c>
      <c r="G142" s="21" t="n">
        <v>9300000.0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1.0</v>
      </c>
      <c r="F143" s="26" t="n">
        <f>0</f>
        <v>0.0</v>
      </c>
      <c r="G143" s="25" t="n">
        <v>9300000.0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642.0</v>
      </c>
      <c r="F144" s="18" t="n">
        <f>0</f>
        <v>0.0</v>
      </c>
      <c r="G144" s="17" t="n">
        <v>2.629964E9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610.0</v>
      </c>
      <c r="F145" s="22" t="n">
        <f>0</f>
        <v>0.0</v>
      </c>
      <c r="G145" s="21" t="n">
        <v>2.484312E9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926.0</v>
      </c>
      <c r="F146" s="22" t="n">
        <f>0</f>
        <v>0.0</v>
      </c>
      <c r="G146" s="21" t="n">
        <v>3.7568285E9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2178.0</v>
      </c>
      <c r="F147" s="26" t="n">
        <f>0</f>
        <v>0.0</v>
      </c>
      <c r="G147" s="25" t="n">
        <v>8.8711045E9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11.0</v>
      </c>
      <c r="F148" s="18" t="n">
        <f>0</f>
        <v>0.0</v>
      </c>
      <c r="G148" s="17" t="n">
        <v>9303100.0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197.0</v>
      </c>
      <c r="F149" s="22" t="n">
        <f>0</f>
        <v>0.0</v>
      </c>
      <c r="G149" s="21" t="n">
        <v>1.646707E8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186.0</v>
      </c>
      <c r="F150" s="22" t="n">
        <f>0</f>
        <v>0.0</v>
      </c>
      <c r="G150" s="21" t="n">
        <v>1.546124E8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394.0</v>
      </c>
      <c r="F151" s="26" t="n">
        <f>0</f>
        <v>0.0</v>
      </c>
      <c r="G151" s="25" t="n">
        <v>3.285862E8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140.0</v>
      </c>
      <c r="F152" s="18" t="n">
        <f>0</f>
        <v>0.0</v>
      </c>
      <c r="G152" s="17" t="n">
        <v>1.145509E8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117.0</v>
      </c>
      <c r="F153" s="22" t="n">
        <f>0</f>
        <v>0.0</v>
      </c>
      <c r="G153" s="21" t="n">
        <v>9.52953E7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317.0</v>
      </c>
      <c r="F154" s="22" t="n">
        <f>0</f>
        <v>0.0</v>
      </c>
      <c r="G154" s="21" t="n">
        <v>2.5700585E8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574.0</v>
      </c>
      <c r="F155" s="26" t="n">
        <f>0</f>
        <v>0.0</v>
      </c>
      <c r="G155" s="25" t="n">
        <v>4.6685205E8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36.0</v>
      </c>
      <c r="F156" s="18" t="n">
        <f>0</f>
        <v>0.0</v>
      </c>
      <c r="G156" s="17" t="n">
        <v>2.97204E7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148.0</v>
      </c>
      <c r="F157" s="22" t="n">
        <f>0</f>
        <v>0.0</v>
      </c>
      <c r="G157" s="21" t="n">
        <v>1.210703E8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798.0</v>
      </c>
      <c r="F158" s="22" t="n">
        <f>0</f>
        <v>0.0</v>
      </c>
      <c r="G158" s="21" t="n">
        <v>6.485406E8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982.0</v>
      </c>
      <c r="F159" s="26" t="n">
        <f>0</f>
        <v>0.0</v>
      </c>
      <c r="G159" s="25" t="n">
        <v>7.993313E8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46.0</v>
      </c>
      <c r="F168" s="18" t="n">
        <f>0</f>
        <v>0.0</v>
      </c>
      <c r="G168" s="17" t="n">
        <v>9.6487E7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75.0</v>
      </c>
      <c r="F169" s="22" t="n">
        <f>0</f>
        <v>0.0</v>
      </c>
      <c r="G169" s="21" t="n">
        <v>1.578545E8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113.0</v>
      </c>
      <c r="F170" s="22" t="n">
        <f>0</f>
        <v>0.0</v>
      </c>
      <c r="G170" s="21" t="n">
        <v>2.375385E8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234.0</v>
      </c>
      <c r="F171" s="26" t="n">
        <f>0</f>
        <v>0.0</v>
      </c>
      <c r="G171" s="25" t="n">
        <v>4.9188E8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0.0</v>
      </c>
      <c r="F179" s="26" t="n">
        <f>0</f>
        <v>0.0</v>
      </c>
      <c r="G179" s="25" t="n">
        <v>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363.0</v>
      </c>
      <c r="F204" s="18" t="n">
        <f>0</f>
        <v>0.0</v>
      </c>
      <c r="G204" s="17" t="n">
        <v>1.3135785E9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249.0</v>
      </c>
      <c r="F205" s="22" t="n">
        <f>0</f>
        <v>0.0</v>
      </c>
      <c r="G205" s="21" t="n">
        <v>9.287685E8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3454.0</v>
      </c>
      <c r="F206" s="22" t="n">
        <f>1</f>
        <v>1.0</v>
      </c>
      <c r="G206" s="21" t="n">
        <v>1.2938276E10</v>
      </c>
      <c r="H206" s="22" t="n">
        <f>3742000</f>
        <v>3742000.0</v>
      </c>
    </row>
    <row r="207" spans="1:8" ht="24.9" customHeight="1">
      <c r="A207" s="57"/>
      <c r="B207" s="59"/>
      <c r="C207" s="39"/>
      <c r="D207" s="24" t="s">
        <v>18</v>
      </c>
      <c r="E207" s="25" t="n">
        <v>4066.0</v>
      </c>
      <c r="F207" s="26" t="n">
        <f>1</f>
        <v>1.0</v>
      </c>
      <c r="G207" s="25" t="n">
        <v>1.5180623E10</v>
      </c>
      <c r="H207" s="26" t="n">
        <f>3742000</f>
        <v>3742000.0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40.0</v>
      </c>
      <c r="F210" s="22" t="n">
        <f>40</f>
        <v>40.0</v>
      </c>
      <c r="G210" s="21" t="n">
        <v>5.41632E7</v>
      </c>
      <c r="H210" s="22" t="n">
        <f>54163200</f>
        <v>5.41632E7</v>
      </c>
    </row>
    <row r="211" spans="1:8" ht="24.9" customHeight="1">
      <c r="A211" s="57"/>
      <c r="B211" s="59"/>
      <c r="C211" s="39"/>
      <c r="D211" s="24" t="s">
        <v>18</v>
      </c>
      <c r="E211" s="25" t="n">
        <v>40.0</v>
      </c>
      <c r="F211" s="26" t="n">
        <f>40</f>
        <v>40.0</v>
      </c>
      <c r="G211" s="25" t="n">
        <v>5.41632E7</v>
      </c>
      <c r="H211" s="26" t="n">
        <f>54163200</f>
        <v>5.41632E7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46216.0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46216.0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7811</f>
        <v>7811.0</v>
      </c>
      <c r="E12" s="35" t="n">
        <f>5871</f>
        <v>5871.0</v>
      </c>
      <c r="F12" s="17" t="n">
        <f>2201</f>
        <v>2201.0</v>
      </c>
      <c r="G12" s="35" t="n">
        <f>512</f>
        <v>512.0</v>
      </c>
      <c r="H12" s="17" t="n">
        <f>10012</f>
        <v>10012.0</v>
      </c>
      <c r="I12" s="35" t="n">
        <f>6383</f>
        <v>6383.0</v>
      </c>
      <c r="J12" s="17" t="n">
        <f>9394476460</f>
        <v>9.39447646E9</v>
      </c>
      <c r="K12" s="35" t="n">
        <f>8104791460</f>
        <v>8.10479146E9</v>
      </c>
      <c r="L12" s="17" t="n">
        <f>1674766030</f>
        <v>1.67476603E9</v>
      </c>
      <c r="M12" s="35" t="n">
        <f>395875030</f>
        <v>3.9587503E8</v>
      </c>
      <c r="N12" s="17" t="n">
        <f>11069242490</f>
        <v>1.106924249E10</v>
      </c>
      <c r="O12" s="35" t="n">
        <f>8500666490</f>
        <v>8.50066649E9</v>
      </c>
    </row>
    <row r="13" spans="1:15" ht="24.9" customHeight="1">
      <c r="A13" s="38"/>
      <c r="B13" s="62"/>
      <c r="C13" s="20" t="s">
        <v>16</v>
      </c>
      <c r="D13" s="21" t="n">
        <f>3774</f>
        <v>3774.0</v>
      </c>
      <c r="E13" s="36" t="n">
        <f>1674</f>
        <v>1674.0</v>
      </c>
      <c r="F13" s="21" t="n">
        <f>3010</f>
        <v>3010.0</v>
      </c>
      <c r="G13" s="36" t="n">
        <f>1124</f>
        <v>1124.0</v>
      </c>
      <c r="H13" s="21" t="n">
        <f>6784</f>
        <v>6784.0</v>
      </c>
      <c r="I13" s="36" t="n">
        <f>2798</f>
        <v>2798.0</v>
      </c>
      <c r="J13" s="21" t="n">
        <f>2648404270</f>
        <v>2.64840427E9</v>
      </c>
      <c r="K13" s="36" t="n">
        <f>1549226270</f>
        <v>1.54922627E9</v>
      </c>
      <c r="L13" s="21" t="n">
        <f>2248642028</f>
        <v>2.248642028E9</v>
      </c>
      <c r="M13" s="36" t="n">
        <f>1636076028</f>
        <v>1.636076028E9</v>
      </c>
      <c r="N13" s="21" t="n">
        <f>4897046298</f>
        <v>4.897046298E9</v>
      </c>
      <c r="O13" s="36" t="n">
        <f>3185302298</f>
        <v>3.185302298E9</v>
      </c>
    </row>
    <row r="14" spans="1:15" ht="24.9" customHeight="1">
      <c r="A14" s="38"/>
      <c r="B14" s="62"/>
      <c r="C14" s="20" t="s">
        <v>17</v>
      </c>
      <c r="D14" s="21" t="n">
        <f>13452</f>
        <v>13452.0</v>
      </c>
      <c r="E14" s="36" t="n">
        <f>7614</f>
        <v>7614.0</v>
      </c>
      <c r="F14" s="21" t="n">
        <f>7878</f>
        <v>7878.0</v>
      </c>
      <c r="G14" s="36" t="n">
        <f>5311</f>
        <v>5311.0</v>
      </c>
      <c r="H14" s="21" t="n">
        <f>21330</f>
        <v>21330.0</v>
      </c>
      <c r="I14" s="36" t="n">
        <f>12925</f>
        <v>12925.0</v>
      </c>
      <c r="J14" s="21" t="n">
        <f>14483734690</f>
        <v>1.448373469E10</v>
      </c>
      <c r="K14" s="36" t="n">
        <f>10352181690</f>
        <v>1.035218169E10</v>
      </c>
      <c r="L14" s="21" t="n">
        <f>9248799148</f>
        <v>9.248799148E9</v>
      </c>
      <c r="M14" s="36" t="n">
        <f>7036505148</f>
        <v>7.036505148E9</v>
      </c>
      <c r="N14" s="21" t="n">
        <f>23732533838</f>
        <v>2.3732533838E10</v>
      </c>
      <c r="O14" s="36" t="n">
        <f>17388686838</f>
        <v>1.7388686838E10</v>
      </c>
    </row>
    <row r="15" spans="1:15" ht="24.9" customHeight="1">
      <c r="A15" s="38"/>
      <c r="B15" s="62"/>
      <c r="C15" s="24" t="s">
        <v>18</v>
      </c>
      <c r="D15" s="25" t="n">
        <f>25037</f>
        <v>25037.0</v>
      </c>
      <c r="E15" s="37" t="n">
        <f>15159</f>
        <v>15159.0</v>
      </c>
      <c r="F15" s="25" t="n">
        <f>13089</f>
        <v>13089.0</v>
      </c>
      <c r="G15" s="37" t="n">
        <f>6947</f>
        <v>6947.0</v>
      </c>
      <c r="H15" s="25" t="n">
        <f>38126</f>
        <v>38126.0</v>
      </c>
      <c r="I15" s="37" t="n">
        <f>22106</f>
        <v>22106.0</v>
      </c>
      <c r="J15" s="25" t="n">
        <f>26526615420</f>
        <v>2.652661542E10</v>
      </c>
      <c r="K15" s="37" t="n">
        <f>20006199420</f>
        <v>2.000619942E10</v>
      </c>
      <c r="L15" s="25" t="n">
        <f>13172207206</f>
        <v>1.3172207206E10</v>
      </c>
      <c r="M15" s="37" t="n">
        <f>9068456206</f>
        <v>9.068456206E9</v>
      </c>
      <c r="N15" s="25" t="n">
        <f>39698822626</f>
        <v>3.9698822626E10</v>
      </c>
      <c r="O15" s="37" t="n">
        <f>29074655626</f>
        <v>2.9074655626E10</v>
      </c>
    </row>
    <row r="16" spans="1:15" ht="24.9" customHeight="1">
      <c r="A16" s="38"/>
      <c r="B16" s="61" t="s">
        <v>105</v>
      </c>
      <c r="C16" s="16" t="s">
        <v>15</v>
      </c>
      <c r="D16" s="17" t="n">
        <f>18398</f>
        <v>18398.0</v>
      </c>
      <c r="E16" s="35" t="n">
        <f>390</f>
        <v>390.0</v>
      </c>
      <c r="F16" s="17" t="n">
        <f>16844</f>
        <v>16844.0</v>
      </c>
      <c r="G16" s="35" t="n">
        <f>640</f>
        <v>640.0</v>
      </c>
      <c r="H16" s="17" t="n">
        <f>35242</f>
        <v>35242.0</v>
      </c>
      <c r="I16" s="35" t="n">
        <f>1030</f>
        <v>1030.0</v>
      </c>
      <c r="J16" s="17" t="n">
        <f>3780431140</f>
        <v>3.78043114E9</v>
      </c>
      <c r="K16" s="35" t="n">
        <f>40399940</f>
        <v>4.039994E7</v>
      </c>
      <c r="L16" s="17" t="n">
        <f>3772961740</f>
        <v>3.77296174E9</v>
      </c>
      <c r="M16" s="35" t="n">
        <f>41929740</f>
        <v>4.192974E7</v>
      </c>
      <c r="N16" s="17" t="n">
        <f>7553392880</f>
        <v>7.55339288E9</v>
      </c>
      <c r="O16" s="35" t="n">
        <f>82329680</f>
        <v>8.232968E7</v>
      </c>
    </row>
    <row r="17" spans="1:15" ht="24.9" customHeight="1">
      <c r="A17" s="38"/>
      <c r="B17" s="62"/>
      <c r="C17" s="20" t="s">
        <v>16</v>
      </c>
      <c r="D17" s="21" t="n">
        <f>8355</f>
        <v>8355.0</v>
      </c>
      <c r="E17" s="36" t="n">
        <f>840</f>
        <v>840.0</v>
      </c>
      <c r="F17" s="21" t="n">
        <f>6002</f>
        <v>6002.0</v>
      </c>
      <c r="G17" s="36" t="n">
        <f>210</f>
        <v>210.0</v>
      </c>
      <c r="H17" s="21" t="n">
        <f>14357</f>
        <v>14357.0</v>
      </c>
      <c r="I17" s="36" t="n">
        <f>1050</f>
        <v>1050.0</v>
      </c>
      <c r="J17" s="21" t="n">
        <f>321335560</f>
        <v>3.2133556E8</v>
      </c>
      <c r="K17" s="36" t="n">
        <f>8657260</f>
        <v>8657260.0</v>
      </c>
      <c r="L17" s="21" t="n">
        <f>290625290</f>
        <v>2.9062529E8</v>
      </c>
      <c r="M17" s="36" t="n">
        <f>1355290</f>
        <v>1355290.0</v>
      </c>
      <c r="N17" s="21" t="n">
        <f>611960850</f>
        <v>6.1196085E8</v>
      </c>
      <c r="O17" s="36" t="n">
        <f>10012550</f>
        <v>1.001255E7</v>
      </c>
    </row>
    <row r="18" spans="1:15" ht="24.9" customHeight="1">
      <c r="A18" s="38"/>
      <c r="B18" s="62"/>
      <c r="C18" s="20" t="s">
        <v>17</v>
      </c>
      <c r="D18" s="21" t="n">
        <f>9936</f>
        <v>9936.0</v>
      </c>
      <c r="E18" s="36" t="n">
        <f>620</f>
        <v>620.0</v>
      </c>
      <c r="F18" s="21" t="n">
        <f>11039</f>
        <v>11039.0</v>
      </c>
      <c r="G18" s="36" t="n">
        <f>720</f>
        <v>720.0</v>
      </c>
      <c r="H18" s="21" t="n">
        <f>20975</f>
        <v>20975.0</v>
      </c>
      <c r="I18" s="36" t="n">
        <f>1340</f>
        <v>1340.0</v>
      </c>
      <c r="J18" s="21" t="n">
        <f>690297260</f>
        <v>6.9029726E8</v>
      </c>
      <c r="K18" s="36" t="n">
        <f>17880360</f>
        <v>1.788036E7</v>
      </c>
      <c r="L18" s="21" t="n">
        <f>708922400</f>
        <v>7.089224E8</v>
      </c>
      <c r="M18" s="36" t="n">
        <f>26787800</f>
        <v>2.67878E7</v>
      </c>
      <c r="N18" s="21" t="n">
        <f>1399219660</f>
        <v>1.39921966E9</v>
      </c>
      <c r="O18" s="36" t="n">
        <f>44668160</f>
        <v>4.466816E7</v>
      </c>
    </row>
    <row r="19" spans="1:15" ht="24.9" customHeight="1">
      <c r="A19" s="38"/>
      <c r="B19" s="62"/>
      <c r="C19" s="24" t="s">
        <v>18</v>
      </c>
      <c r="D19" s="25" t="n">
        <f>36689</f>
        <v>36689.0</v>
      </c>
      <c r="E19" s="37" t="n">
        <f>1850</f>
        <v>1850.0</v>
      </c>
      <c r="F19" s="25" t="n">
        <f>33885</f>
        <v>33885.0</v>
      </c>
      <c r="G19" s="37" t="n">
        <f>1570</f>
        <v>1570.0</v>
      </c>
      <c r="H19" s="25" t="n">
        <f>70574</f>
        <v>70574.0</v>
      </c>
      <c r="I19" s="37" t="n">
        <f>3420</f>
        <v>3420.0</v>
      </c>
      <c r="J19" s="25" t="n">
        <f>4792063960</f>
        <v>4.79206396E9</v>
      </c>
      <c r="K19" s="37" t="n">
        <f>66937560</f>
        <v>6.693756E7</v>
      </c>
      <c r="L19" s="25" t="n">
        <f>4772509430</f>
        <v>4.77250943E9</v>
      </c>
      <c r="M19" s="37" t="n">
        <f>70072830</f>
        <v>7.007283E7</v>
      </c>
      <c r="N19" s="25" t="n">
        <f>9564573390</f>
        <v>9.56457339E9</v>
      </c>
      <c r="O19" s="37" t="n">
        <f>137010390</f>
        <v>1.3701039E8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150</f>
        <v>150.0</v>
      </c>
      <c r="E21" s="36" t="n">
        <f>150</f>
        <v>150.0</v>
      </c>
      <c r="F21" s="21" t="n">
        <f>0</f>
        <v>0.0</v>
      </c>
      <c r="G21" s="36" t="n">
        <f>0</f>
        <v>0.0</v>
      </c>
      <c r="H21" s="21" t="n">
        <f>150</f>
        <v>150.0</v>
      </c>
      <c r="I21" s="36" t="n">
        <f>150</f>
        <v>150.0</v>
      </c>
      <c r="J21" s="21" t="n">
        <f>57948000</f>
        <v>5.7948E7</v>
      </c>
      <c r="K21" s="36" t="n">
        <f>57948000</f>
        <v>5.7948E7</v>
      </c>
      <c r="L21" s="21" t="n">
        <f>0</f>
        <v>0.0</v>
      </c>
      <c r="M21" s="36" t="n">
        <f>0</f>
        <v>0.0</v>
      </c>
      <c r="N21" s="21" t="n">
        <f>57948000</f>
        <v>5.7948E7</v>
      </c>
      <c r="O21" s="36" t="n">
        <f>57948000</f>
        <v>5.7948E7</v>
      </c>
    </row>
    <row r="22" spans="1:15" ht="24.9" customHeight="1">
      <c r="A22" s="38"/>
      <c r="B22" s="62"/>
      <c r="C22" s="20" t="s">
        <v>17</v>
      </c>
      <c r="D22" s="21" t="n">
        <f>0</f>
        <v>0.0</v>
      </c>
      <c r="E22" s="36" t="n">
        <f>0</f>
        <v>0.0</v>
      </c>
      <c r="F22" s="21" t="n">
        <f>650</f>
        <v>650.0</v>
      </c>
      <c r="G22" s="36" t="n">
        <f>650</f>
        <v>650.0</v>
      </c>
      <c r="H22" s="21" t="n">
        <f>650</f>
        <v>650.0</v>
      </c>
      <c r="I22" s="36" t="n">
        <f>650</f>
        <v>650.0</v>
      </c>
      <c r="J22" s="21" t="n">
        <f>0</f>
        <v>0.0</v>
      </c>
      <c r="K22" s="36" t="n">
        <f>0</f>
        <v>0.0</v>
      </c>
      <c r="L22" s="21" t="n">
        <f>514250000</f>
        <v>5.1425E8</v>
      </c>
      <c r="M22" s="36" t="n">
        <f>514250000</f>
        <v>5.1425E8</v>
      </c>
      <c r="N22" s="21" t="n">
        <f>514250000</f>
        <v>5.1425E8</v>
      </c>
      <c r="O22" s="36" t="n">
        <f>514250000</f>
        <v>5.1425E8</v>
      </c>
    </row>
    <row r="23" spans="1:15" ht="24.9" customHeight="1">
      <c r="A23" s="38"/>
      <c r="B23" s="62"/>
      <c r="C23" s="24" t="s">
        <v>18</v>
      </c>
      <c r="D23" s="25" t="n">
        <f>150</f>
        <v>150.0</v>
      </c>
      <c r="E23" s="37" t="n">
        <f>150</f>
        <v>150.0</v>
      </c>
      <c r="F23" s="25" t="n">
        <f>650</f>
        <v>650.0</v>
      </c>
      <c r="G23" s="37" t="n">
        <f>650</f>
        <v>650.0</v>
      </c>
      <c r="H23" s="25" t="n">
        <f>800</f>
        <v>800.0</v>
      </c>
      <c r="I23" s="37" t="n">
        <f>800</f>
        <v>800.0</v>
      </c>
      <c r="J23" s="25" t="n">
        <f>57948000</f>
        <v>5.7948E7</v>
      </c>
      <c r="K23" s="37" t="n">
        <f>57948000</f>
        <v>5.7948E7</v>
      </c>
      <c r="L23" s="25" t="n">
        <f>514250000</f>
        <v>5.1425E8</v>
      </c>
      <c r="M23" s="37" t="n">
        <f>514250000</f>
        <v>5.1425E8</v>
      </c>
      <c r="N23" s="25" t="n">
        <f>572198000</f>
        <v>5.72198E8</v>
      </c>
      <c r="O23" s="37" t="n">
        <f>572198000</f>
        <v>5.72198E8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20</f>
        <v>20.0</v>
      </c>
      <c r="E36" s="18" t="n">
        <f>0</f>
        <v>0.0</v>
      </c>
      <c r="F36" s="17" t="n">
        <f>74</f>
        <v>74.0</v>
      </c>
      <c r="G36" s="18" t="n">
        <f>0</f>
        <v>0.0</v>
      </c>
      <c r="H36" s="17" t="n">
        <f>94</f>
        <v>94.0</v>
      </c>
      <c r="I36" s="18" t="n">
        <f>0</f>
        <v>0.0</v>
      </c>
      <c r="J36" s="17" t="n">
        <f>200000</f>
        <v>200000.0</v>
      </c>
      <c r="K36" s="18" t="n">
        <f>0</f>
        <v>0.0</v>
      </c>
      <c r="L36" s="17" t="n">
        <f>16230000</f>
        <v>1.623E7</v>
      </c>
      <c r="M36" s="18" t="n">
        <f>0</f>
        <v>0.0</v>
      </c>
      <c r="N36" s="17" t="n">
        <f>16430000</f>
        <v>1.643E7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21</f>
        <v>21.0</v>
      </c>
      <c r="E37" s="22" t="n">
        <f>0</f>
        <v>0.0</v>
      </c>
      <c r="F37" s="21" t="n">
        <f>27</f>
        <v>27.0</v>
      </c>
      <c r="G37" s="22" t="n">
        <f>0</f>
        <v>0.0</v>
      </c>
      <c r="H37" s="21" t="n">
        <f>48</f>
        <v>48.0</v>
      </c>
      <c r="I37" s="22" t="n">
        <f>0</f>
        <v>0.0</v>
      </c>
      <c r="J37" s="21" t="n">
        <f>3540000</f>
        <v>3540000.0</v>
      </c>
      <c r="K37" s="22" t="n">
        <f>0</f>
        <v>0.0</v>
      </c>
      <c r="L37" s="21" t="n">
        <f>8820000</f>
        <v>8820000.0</v>
      </c>
      <c r="M37" s="22" t="n">
        <f>0</f>
        <v>0.0</v>
      </c>
      <c r="N37" s="21" t="n">
        <f>12360000</f>
        <v>1.236E7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20</f>
        <v>20.0</v>
      </c>
      <c r="E38" s="36" t="n">
        <f>0</f>
        <v>0.0</v>
      </c>
      <c r="F38" s="21" t="n">
        <f>25</f>
        <v>25.0</v>
      </c>
      <c r="G38" s="36" t="n">
        <f>0</f>
        <v>0.0</v>
      </c>
      <c r="H38" s="21" t="n">
        <f>45</f>
        <v>45.0</v>
      </c>
      <c r="I38" s="36" t="n">
        <f>0</f>
        <v>0.0</v>
      </c>
      <c r="J38" s="21" t="n">
        <f>3800000</f>
        <v>3800000.0</v>
      </c>
      <c r="K38" s="36" t="n">
        <f>0</f>
        <v>0.0</v>
      </c>
      <c r="L38" s="21" t="n">
        <f>11400000</f>
        <v>1.14E7</v>
      </c>
      <c r="M38" s="36" t="n">
        <f>0</f>
        <v>0.0</v>
      </c>
      <c r="N38" s="21" t="n">
        <f>15200000</f>
        <v>1.52E7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61</f>
        <v>61.0</v>
      </c>
      <c r="E39" s="37" t="n">
        <f>0</f>
        <v>0.0</v>
      </c>
      <c r="F39" s="25" t="n">
        <f>126</f>
        <v>126.0</v>
      </c>
      <c r="G39" s="37" t="n">
        <f>0</f>
        <v>0.0</v>
      </c>
      <c r="H39" s="25" t="n">
        <f>187</f>
        <v>187.0</v>
      </c>
      <c r="I39" s="37" t="n">
        <f>0</f>
        <v>0.0</v>
      </c>
      <c r="J39" s="25" t="n">
        <f>7540000</f>
        <v>7540000.0</v>
      </c>
      <c r="K39" s="37" t="n">
        <f>0</f>
        <v>0.0</v>
      </c>
      <c r="L39" s="25" t="n">
        <f>36450000</f>
        <v>3.645E7</v>
      </c>
      <c r="M39" s="37" t="n">
        <f>0</f>
        <v>0.0</v>
      </c>
      <c r="N39" s="25" t="n">
        <f>43990000</f>
        <v>4.399E7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12623</f>
        <v>12623.0</v>
      </c>
      <c r="E41" s="36" t="n">
        <f>0</f>
        <v>0.0</v>
      </c>
      <c r="F41" s="21" t="n">
        <f>11833</f>
        <v>11833.0</v>
      </c>
      <c r="G41" s="36" t="n">
        <f>0</f>
        <v>0.0</v>
      </c>
      <c r="H41" s="21" t="n">
        <f>24456</f>
        <v>24456.0</v>
      </c>
      <c r="I41" s="36" t="n">
        <f>0</f>
        <v>0.0</v>
      </c>
      <c r="J41" s="21" t="n">
        <f>94506038</f>
        <v>9.4506038E7</v>
      </c>
      <c r="K41" s="36" t="n">
        <f>0</f>
        <v>0.0</v>
      </c>
      <c r="L41" s="21" t="n">
        <f>62114188</f>
        <v>6.2114188E7</v>
      </c>
      <c r="M41" s="36" t="n">
        <f>0</f>
        <v>0.0</v>
      </c>
      <c r="N41" s="21" t="n">
        <f>156620226</f>
        <v>1.56620226E8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16051</f>
        <v>16051.0</v>
      </c>
      <c r="E42" s="36" t="n">
        <f>4500</f>
        <v>4500.0</v>
      </c>
      <c r="F42" s="21" t="n">
        <f>7144</f>
        <v>7144.0</v>
      </c>
      <c r="G42" s="36" t="n">
        <f>3000</f>
        <v>3000.0</v>
      </c>
      <c r="H42" s="21" t="n">
        <f>23195</f>
        <v>23195.0</v>
      </c>
      <c r="I42" s="36" t="n">
        <f>7500</f>
        <v>7500.0</v>
      </c>
      <c r="J42" s="21" t="n">
        <f>138049795</f>
        <v>1.38049795E8</v>
      </c>
      <c r="K42" s="36" t="n">
        <f>90300000</f>
        <v>9.03E7</v>
      </c>
      <c r="L42" s="21" t="n">
        <f>98942723</f>
        <v>9.8942723E7</v>
      </c>
      <c r="M42" s="36" t="n">
        <f>88500000</f>
        <v>8.85E7</v>
      </c>
      <c r="N42" s="21" t="n">
        <f>236992518</f>
        <v>2.36992518E8</v>
      </c>
      <c r="O42" s="36" t="n">
        <f>178800000</f>
        <v>1.788E8</v>
      </c>
    </row>
    <row r="43" spans="1:15" ht="24.9" customHeight="1">
      <c r="A43" s="38"/>
      <c r="B43" s="62"/>
      <c r="C43" s="24" t="s">
        <v>18</v>
      </c>
      <c r="D43" s="25" t="n">
        <f>28674</f>
        <v>28674.0</v>
      </c>
      <c r="E43" s="37" t="n">
        <f>4500</f>
        <v>4500.0</v>
      </c>
      <c r="F43" s="25" t="n">
        <f>18977</f>
        <v>18977.0</v>
      </c>
      <c r="G43" s="37" t="n">
        <f>3000</f>
        <v>3000.0</v>
      </c>
      <c r="H43" s="25" t="n">
        <f>47651</f>
        <v>47651.0</v>
      </c>
      <c r="I43" s="37" t="n">
        <f>7500</f>
        <v>7500.0</v>
      </c>
      <c r="J43" s="25" t="n">
        <f>232555833</f>
        <v>2.32555833E8</v>
      </c>
      <c r="K43" s="37" t="n">
        <f>90300000</f>
        <v>9.03E7</v>
      </c>
      <c r="L43" s="25" t="n">
        <f>161056911</f>
        <v>1.61056911E8</v>
      </c>
      <c r="M43" s="37" t="n">
        <f>88500000</f>
        <v>8.85E7</v>
      </c>
      <c r="N43" s="25" t="n">
        <f>393612744</f>
        <v>3.93612744E8</v>
      </c>
      <c r="O43" s="37" t="n">
        <f>178800000</f>
        <v>1.788E8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