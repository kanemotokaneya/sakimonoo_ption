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<sst xmlns="http://schemas.openxmlformats.org/spreadsheetml/2006/main" count="528" uniqueCount="129">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</sst>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DATE(2026,07,24)</f>
        <v>46227.0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DATE(2026,07,24)</f>
        <v>46227.0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893862.0</f>
        <v>893862.0</v>
      </c>
      <c r="E12" s="18" t="n">
        <f>40900.0</f>
        <v>40900.0</v>
      </c>
      <c r="F12" s="19" t="n">
        <f>1.0</f>
        <v>1.0</v>
      </c>
      <c r="G12" s="17" t="n">
        <f>5662241606070.0</f>
        <v>5.66224160607E12</v>
      </c>
      <c r="H12" s="18" t="n">
        <f>380953943820.0</f>
        <v>3.8095394382E11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528657.0</f>
        <v>528657.0</v>
      </c>
      <c r="E13" s="22" t="n">
        <f>23895.0</f>
        <v>23895.0</v>
      </c>
      <c r="F13" s="23" t="n">
        <f>1.0</f>
        <v>1.0</v>
      </c>
      <c r="G13" s="21" t="n">
        <f>4766973726205.0</f>
        <v>4.766973726205E12</v>
      </c>
      <c r="H13" s="22" t="n">
        <f>414352827580.0</f>
        <v>4.1435282758E11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509395.0</f>
        <v>509395.0</v>
      </c>
      <c r="E14" s="22" t="n">
        <f>29687.0</f>
        <v>29687.0</v>
      </c>
      <c r="F14" s="23" t="n">
        <f>1.0</f>
        <v>1.0</v>
      </c>
      <c r="G14" s="21" t="n">
        <f>6056736562414.0</f>
        <v>6.056736562414E12</v>
      </c>
      <c r="H14" s="22" t="n">
        <f>945303485539.0</f>
        <v>9.45303485539E11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1931914.0</f>
        <v>1931914.0</v>
      </c>
      <c r="E15" s="26" t="n">
        <f>94482.0</f>
        <v>94482.0</v>
      </c>
      <c r="F15" s="27" t="n">
        <f>1.0</f>
        <v>1.0</v>
      </c>
      <c r="G15" s="25" t="n">
        <f>16485951894689.0</f>
        <v>1.6485951894689E13</v>
      </c>
      <c r="H15" s="26" t="n">
        <f>1740610256939.0</f>
        <v>1.740610256939E12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15680.0</f>
        <v>15680.0</v>
      </c>
      <c r="E16" s="18" t="n">
        <f>124.0</f>
        <v>124.0</v>
      </c>
      <c r="F16" s="19" t="n">
        <f>0.018</f>
        <v>0.018</v>
      </c>
      <c r="G16" s="17" t="n">
        <f>1224214303750.0</f>
        <v>1.22421430375E12</v>
      </c>
      <c r="H16" s="18" t="n">
        <f>15768215000.0</f>
        <v>1.5768215E10</v>
      </c>
      <c r="I16" s="19" t="n">
        <f>0.216</f>
        <v>0.216</v>
      </c>
    </row>
    <row r="17" spans="1:9" ht="24.9" customHeight="1">
      <c r="A17" s="41"/>
      <c r="B17" s="39"/>
      <c r="C17" s="20" t="s">
        <v>16</v>
      </c>
      <c r="D17" s="21" t="n">
        <f>14340.0</f>
        <v>14340.0</v>
      </c>
      <c r="E17" s="22" t="n">
        <f>1286.0</f>
        <v>1286.0</v>
      </c>
      <c r="F17" s="23" t="n">
        <f>0.027</f>
        <v>0.027</v>
      </c>
      <c r="G17" s="21" t="n">
        <f>1704705291625.0</f>
        <v>1.704705291625E12</v>
      </c>
      <c r="H17" s="22" t="n">
        <f>163348690000.0</f>
        <v>1.6334869E11</v>
      </c>
      <c r="I17" s="23" t="n">
        <f>0.358</f>
        <v>0.358</v>
      </c>
    </row>
    <row r="18" spans="1:9" ht="24.9" customHeight="1">
      <c r="A18" s="41"/>
      <c r="B18" s="39"/>
      <c r="C18" s="20" t="s">
        <v>17</v>
      </c>
      <c r="D18" s="21" t="n">
        <f>23901.0</f>
        <v>23901.0</v>
      </c>
      <c r="E18" s="22" t="n">
        <f>2710.0</f>
        <v>2710.0</v>
      </c>
      <c r="F18" s="23" t="n">
        <f>0.047</f>
        <v>0.047</v>
      </c>
      <c r="G18" s="21" t="n">
        <f>2372246895375.0</f>
        <v>2.372246895375E12</v>
      </c>
      <c r="H18" s="22" t="n">
        <f>343787960000.0</f>
        <v>3.4378796E11</v>
      </c>
      <c r="I18" s="23" t="n">
        <f>0.392</f>
        <v>0.392</v>
      </c>
    </row>
    <row r="19" spans="1:9" ht="24.9" customHeight="1">
      <c r="A19" s="41"/>
      <c r="B19" s="39"/>
      <c r="C19" s="24" t="s">
        <v>18</v>
      </c>
      <c r="D19" s="25" t="n">
        <f>53921.0</f>
        <v>53921.0</v>
      </c>
      <c r="E19" s="26" t="n">
        <f>4120.0</f>
        <v>4120.0</v>
      </c>
      <c r="F19" s="27" t="n">
        <f>0.028</f>
        <v>0.028</v>
      </c>
      <c r="G19" s="25" t="n">
        <f>5301166490750.0</f>
        <v>5.30116649075E12</v>
      </c>
      <c r="H19" s="26" t="n">
        <f>522904865000.0</f>
        <v>5.22904865E11</v>
      </c>
      <c r="I19" s="27" t="n">
        <f>0.322</f>
        <v>0.322</v>
      </c>
    </row>
    <row r="20" spans="1:9" ht="24.9" customHeight="1">
      <c r="A20" s="41"/>
      <c r="B20" s="39" t="s">
        <v>21</v>
      </c>
      <c r="C20" s="16" t="s">
        <v>15</v>
      </c>
      <c r="D20" s="17" t="n">
        <f>862445.0</f>
        <v>862445.0</v>
      </c>
      <c r="E20" s="18" t="n">
        <f>40776.0</f>
        <v>40776.0</v>
      </c>
      <c r="F20" s="19" t="n">
        <f>0.965</f>
        <v>0.965</v>
      </c>
      <c r="G20" s="17" t="n">
        <f>4289543392970.0</f>
        <v>4.28954339297E12</v>
      </c>
      <c r="H20" s="18" t="n">
        <f>365185728820.0</f>
        <v>3.6518572882E11</v>
      </c>
      <c r="I20" s="19" t="n">
        <f>0.758</f>
        <v>0.758</v>
      </c>
    </row>
    <row r="21" spans="1:9" ht="24.9" customHeight="1">
      <c r="A21" s="41"/>
      <c r="B21" s="39"/>
      <c r="C21" s="20" t="s">
        <v>16</v>
      </c>
      <c r="D21" s="21" t="n">
        <f>509587.0</f>
        <v>509587.0</v>
      </c>
      <c r="E21" s="22" t="n">
        <f>22609.0</f>
        <v>22609.0</v>
      </c>
      <c r="F21" s="23" t="n">
        <f>0.964</f>
        <v>0.964</v>
      </c>
      <c r="G21" s="21" t="n">
        <f>3016426112080.0</f>
        <v>3.01642611208E12</v>
      </c>
      <c r="H21" s="22" t="n">
        <f>251004137580.0</f>
        <v>2.5100413758E11</v>
      </c>
      <c r="I21" s="23" t="n">
        <f>0.633</f>
        <v>0.633</v>
      </c>
    </row>
    <row r="22" spans="1:9" ht="24.9" customHeight="1">
      <c r="A22" s="41"/>
      <c r="B22" s="39"/>
      <c r="C22" s="20" t="s">
        <v>17</v>
      </c>
      <c r="D22" s="21" t="n">
        <f>476213.0</f>
        <v>476213.0</v>
      </c>
      <c r="E22" s="22" t="n">
        <f>26809.0</f>
        <v>26809.0</v>
      </c>
      <c r="F22" s="23" t="n">
        <f>0.935</f>
        <v>0.935</v>
      </c>
      <c r="G22" s="21" t="n">
        <f>3621331418639.0</f>
        <v>3.621331418639E12</v>
      </c>
      <c r="H22" s="22" t="n">
        <f>601178195539.0</f>
        <v>6.01178195539E11</v>
      </c>
      <c r="I22" s="23" t="n">
        <f>0.598</f>
        <v>0.598</v>
      </c>
    </row>
    <row r="23" spans="1:9" ht="24.9" customHeight="1">
      <c r="A23" s="41"/>
      <c r="B23" s="39"/>
      <c r="C23" s="24" t="s">
        <v>18</v>
      </c>
      <c r="D23" s="25" t="n">
        <f>1848245.0</f>
        <v>1848245.0</v>
      </c>
      <c r="E23" s="26" t="n">
        <f>90194.0</f>
        <v>90194.0</v>
      </c>
      <c r="F23" s="27" t="n">
        <f>0.957</f>
        <v>0.957</v>
      </c>
      <c r="G23" s="25" t="n">
        <f>10927300923689.0</f>
        <v>1.0927300923689E13</v>
      </c>
      <c r="H23" s="26" t="n">
        <f>1217368061939.0</f>
        <v>1.217368061939E12</v>
      </c>
      <c r="I23" s="27" t="n">
        <f>0.663</f>
        <v>0.663</v>
      </c>
    </row>
    <row r="24" spans="1:9" ht="24.9" customHeight="1">
      <c r="A24" s="41"/>
      <c r="B24" s="39" t="s">
        <v>22</v>
      </c>
      <c r="C24" s="16" t="s">
        <v>15</v>
      </c>
      <c r="D24" s="17" t="n">
        <f>14598.0</f>
        <v>14598.0</v>
      </c>
      <c r="E24" s="18" t="n">
        <f>0.0</f>
        <v>0.0</v>
      </c>
      <c r="F24" s="19" t="n">
        <f>0.016</f>
        <v>0.016</v>
      </c>
      <c r="G24" s="17" t="n">
        <f>143835927850.0</f>
        <v>1.4383592785E11</v>
      </c>
      <c r="H24" s="18" t="n">
        <f>0.0</f>
        <v>0.0</v>
      </c>
      <c r="I24" s="19" t="n">
        <f>0.025</f>
        <v>0.025</v>
      </c>
    </row>
    <row r="25" spans="1:9" ht="24.9" customHeight="1">
      <c r="A25" s="41"/>
      <c r="B25" s="39"/>
      <c r="C25" s="20" t="s">
        <v>16</v>
      </c>
      <c r="D25" s="21" t="n">
        <f>4536.0</f>
        <v>4536.0</v>
      </c>
      <c r="E25" s="22" t="n">
        <f>0.0</f>
        <v>0.0</v>
      </c>
      <c r="F25" s="23" t="n">
        <f>0.009</f>
        <v>0.009</v>
      </c>
      <c r="G25" s="21" t="n">
        <f>45049131000.0</f>
        <v>4.5049131E10</v>
      </c>
      <c r="H25" s="22" t="n">
        <f>0.0</f>
        <v>0.0</v>
      </c>
      <c r="I25" s="23" t="n">
        <f>0.009</f>
        <v>0.009</v>
      </c>
    </row>
    <row r="26" spans="1:9" ht="24.9" customHeight="1">
      <c r="A26" s="41"/>
      <c r="B26" s="39"/>
      <c r="C26" s="20" t="s">
        <v>17</v>
      </c>
      <c r="D26" s="21" t="n">
        <f>7633.0</f>
        <v>7633.0</v>
      </c>
      <c r="E26" s="22" t="n">
        <f>148.0</f>
        <v>148.0</v>
      </c>
      <c r="F26" s="23" t="n">
        <f>0.015</f>
        <v>0.015</v>
      </c>
      <c r="G26" s="21" t="n">
        <f>56507696900.0</f>
        <v>5.65076969E10</v>
      </c>
      <c r="H26" s="22" t="n">
        <f>317830000.0</f>
        <v>3.1783E8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26767.0</f>
        <v>26767.0</v>
      </c>
      <c r="E27" s="26" t="n">
        <f>148.0</f>
        <v>148.0</v>
      </c>
      <c r="F27" s="27" t="n">
        <f>0.014</f>
        <v>0.014</v>
      </c>
      <c r="G27" s="25" t="n">
        <f>245392755750.0</f>
        <v>2.4539275575E11</v>
      </c>
      <c r="H27" s="26" t="n">
        <f>317830000.0</f>
        <v>3.1783E8</v>
      </c>
      <c r="I27" s="27" t="n">
        <f>0.015</f>
        <v>0.015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1139.0</f>
        <v>1139.0</v>
      </c>
      <c r="E28" s="18" t="n">
        <f>0.0</f>
        <v>0.0</v>
      </c>
      <c r="F28" s="19" t="n">
        <f>0.001</f>
        <v>0.001</v>
      </c>
      <c r="G28" s="17" t="n">
        <f>4647981500.0</f>
        <v>4.6479815E9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194.0</f>
        <v>194.0</v>
      </c>
      <c r="E29" s="22" t="n">
        <f>0.0</f>
        <v>0.0</v>
      </c>
      <c r="F29" s="23" t="n">
        <f>0.0</f>
        <v>0.0</v>
      </c>
      <c r="G29" s="21" t="n">
        <f>793191500.0</f>
        <v>7.931915E8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1648.0</f>
        <v>1648.0</v>
      </c>
      <c r="E30" s="22" t="n">
        <f>20.0</f>
        <v>20.0</v>
      </c>
      <c r="F30" s="23" t="n">
        <f>0.003</f>
        <v>0.003</v>
      </c>
      <c r="G30" s="21" t="n">
        <f>6650551500.0</f>
        <v>6.6505515E9</v>
      </c>
      <c r="H30" s="22" t="n">
        <f>19500000.0</f>
        <v>1.95E7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2981.0</f>
        <v>2981.0</v>
      </c>
      <c r="E31" s="26" t="n">
        <f>20.0</f>
        <v>20.0</v>
      </c>
      <c r="F31" s="27" t="n">
        <f>0.002</f>
        <v>0.002</v>
      </c>
      <c r="G31" s="25" t="n">
        <f>12091724500.0</f>
        <v>1.20917245E10</v>
      </c>
      <c r="H31" s="26" t="n">
        <f>19500000.0</f>
        <v>1.95E7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46227.0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46227.0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16489</f>
        <v>16489.0</v>
      </c>
      <c r="E11" s="18" t="n">
        <f>2990</f>
        <v>2990.0</v>
      </c>
      <c r="F11" s="19" t="n">
        <f>1</f>
        <v>1.0</v>
      </c>
      <c r="G11" s="17" t="n">
        <f>3052050160</f>
        <v>3.05205016E9</v>
      </c>
      <c r="H11" s="18" t="n">
        <f>1500875960</f>
        <v>1.50087596E9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32609</f>
        <v>32609.0</v>
      </c>
      <c r="E12" s="22" t="n">
        <f>6728</f>
        <v>6728.0</v>
      </c>
      <c r="F12" s="23" t="n">
        <f>1</f>
        <v>1.0</v>
      </c>
      <c r="G12" s="21" t="n">
        <f>7901923165</f>
        <v>7.901923165E9</v>
      </c>
      <c r="H12" s="22" t="n">
        <f>4066916200</f>
        <v>4.0669162E9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46902</f>
        <v>46902.0</v>
      </c>
      <c r="E13" s="22" t="n">
        <f>21105</f>
        <v>21105.0</v>
      </c>
      <c r="F13" s="23" t="n">
        <f>1</f>
        <v>1.0</v>
      </c>
      <c r="G13" s="21" t="n">
        <f>33451538485</f>
        <v>3.3451538485E10</v>
      </c>
      <c r="H13" s="22" t="n">
        <f>28078750996</f>
        <v>2.8078750996E10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96000</f>
        <v>96000.0</v>
      </c>
      <c r="E14" s="26" t="n">
        <f>30823</f>
        <v>30823.0</v>
      </c>
      <c r="F14" s="27" t="n">
        <f>1</f>
        <v>1.0</v>
      </c>
      <c r="G14" s="25" t="n">
        <f>44405511810</f>
        <v>4.440551181E10</v>
      </c>
      <c r="H14" s="26" t="n">
        <f>33646543156</f>
        <v>3.3646543156E10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11</f>
        <v>11.0</v>
      </c>
      <c r="E16" s="22" t="n">
        <f>0</f>
        <v>0.0</v>
      </c>
      <c r="F16" s="23" t="n">
        <f>0</f>
        <v>0.0</v>
      </c>
      <c r="G16" s="21" t="n">
        <f>1920000</f>
        <v>1920000.0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64</f>
        <v>64.0</v>
      </c>
      <c r="E17" s="22" t="n">
        <f>0</f>
        <v>0.0</v>
      </c>
      <c r="F17" s="23" t="n">
        <f>0.001</f>
        <v>0.001</v>
      </c>
      <c r="G17" s="21" t="n">
        <f>1960000</f>
        <v>1960000.0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75</f>
        <v>75.0</v>
      </c>
      <c r="E18" s="26" t="n">
        <f>0</f>
        <v>0.0</v>
      </c>
      <c r="F18" s="27" t="n">
        <f>0.001</f>
        <v>0.001</v>
      </c>
      <c r="G18" s="25" t="n">
        <f>3880000</f>
        <v>3880000.0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16489</f>
        <v>16489.0</v>
      </c>
      <c r="E19" s="18" t="n">
        <f>2990</f>
        <v>2990.0</v>
      </c>
      <c r="F19" s="19" t="n">
        <f>1</f>
        <v>1.0</v>
      </c>
      <c r="G19" s="17" t="n">
        <f>3052050160</f>
        <v>3.05205016E9</v>
      </c>
      <c r="H19" s="18" t="n">
        <f>1500875960</f>
        <v>1.50087596E9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20740</f>
        <v>20740.0</v>
      </c>
      <c r="E20" s="22" t="n">
        <f>4268</f>
        <v>4268.0</v>
      </c>
      <c r="F20" s="23" t="n">
        <f>0.636</f>
        <v>0.636</v>
      </c>
      <c r="G20" s="21" t="n">
        <f>7797708640</f>
        <v>7.79770864E9</v>
      </c>
      <c r="H20" s="22" t="n">
        <f>4051344340</f>
        <v>4.05134434E9</v>
      </c>
      <c r="I20" s="23" t="n">
        <f>0.987</f>
        <v>0.987</v>
      </c>
    </row>
    <row r="21" spans="1:9" ht="24.9" customHeight="1">
      <c r="A21" s="41"/>
      <c r="B21" s="39"/>
      <c r="C21" s="20" t="s">
        <v>17</v>
      </c>
      <c r="D21" s="21" t="n">
        <f>38172</f>
        <v>38172.0</v>
      </c>
      <c r="E21" s="22" t="n">
        <f>20455</f>
        <v>20455.0</v>
      </c>
      <c r="F21" s="23" t="n">
        <f>0.814</f>
        <v>0.814</v>
      </c>
      <c r="G21" s="21" t="n">
        <f>33326659696</f>
        <v>3.3326659696E10</v>
      </c>
      <c r="H21" s="22" t="n">
        <f>28065100996</f>
        <v>2.8065100996E10</v>
      </c>
      <c r="I21" s="23" t="n">
        <f>0.996</f>
        <v>0.996</v>
      </c>
    </row>
    <row r="22" spans="1:9" ht="24.9" customHeight="1">
      <c r="A22" s="41"/>
      <c r="B22" s="39"/>
      <c r="C22" s="24" t="s">
        <v>18</v>
      </c>
      <c r="D22" s="25" t="n">
        <f>75401</f>
        <v>75401.0</v>
      </c>
      <c r="E22" s="26" t="n">
        <f>27713</f>
        <v>27713.0</v>
      </c>
      <c r="F22" s="27" t="n">
        <f>0.785</f>
        <v>0.785</v>
      </c>
      <c r="G22" s="25" t="n">
        <f>44176418496</f>
        <v>4.4176418496E10</v>
      </c>
      <c r="H22" s="26" t="n">
        <f>33617321296</f>
        <v>3.3617321296E10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11858</f>
        <v>11858.0</v>
      </c>
      <c r="E24" s="22" t="n">
        <f>2460</f>
        <v>2460.0</v>
      </c>
      <c r="F24" s="23" t="n">
        <f>0.364</f>
        <v>0.364</v>
      </c>
      <c r="G24" s="21" t="n">
        <f>102294525</f>
        <v>1.02294525E8</v>
      </c>
      <c r="H24" s="22" t="n">
        <f>15571860</f>
        <v>1.557186E7</v>
      </c>
      <c r="I24" s="23" t="n">
        <f>0.013</f>
        <v>0.013</v>
      </c>
    </row>
    <row r="25" spans="1:9" ht="24.9" customHeight="1">
      <c r="A25" s="41"/>
      <c r="B25" s="39"/>
      <c r="C25" s="20" t="s">
        <v>17</v>
      </c>
      <c r="D25" s="21" t="n">
        <f>8666</f>
        <v>8666.0</v>
      </c>
      <c r="E25" s="22" t="n">
        <f>650</f>
        <v>650.0</v>
      </c>
      <c r="F25" s="23" t="n">
        <f>0.185</f>
        <v>0.185</v>
      </c>
      <c r="G25" s="21" t="n">
        <f>122918789</f>
        <v>1.22918789E8</v>
      </c>
      <c r="H25" s="22" t="n">
        <f>13650000</f>
        <v>1.365E7</v>
      </c>
      <c r="I25" s="23" t="n">
        <f>0.004</f>
        <v>0.004</v>
      </c>
    </row>
    <row r="26" spans="1:9" ht="24.9" customHeight="1">
      <c r="A26" s="41"/>
      <c r="B26" s="39"/>
      <c r="C26" s="24" t="s">
        <v>18</v>
      </c>
      <c r="D26" s="25" t="n">
        <f>20524</f>
        <v>20524.0</v>
      </c>
      <c r="E26" s="26" t="n">
        <f>3110</f>
        <v>3110.0</v>
      </c>
      <c r="F26" s="27" t="n">
        <f>0.214</f>
        <v>0.214</v>
      </c>
      <c r="G26" s="25" t="n">
        <f>225213314</f>
        <v>2.25213314E8</v>
      </c>
      <c r="H26" s="26" t="n">
        <f>29221860</f>
        <v>2.922186E7</v>
      </c>
      <c r="I26" s="27" t="n">
        <f>0.005</f>
        <v>0.005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46227.0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46227.0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15707.0</v>
      </c>
      <c r="F12" s="18" t="n">
        <f>1699</f>
        <v>1699.0</v>
      </c>
      <c r="G12" s="17" t="n">
        <v>1.0315737574E12</v>
      </c>
      <c r="H12" s="18" t="n">
        <f>111302575400</f>
        <v>1.113025754E11</v>
      </c>
    </row>
    <row r="13" spans="1:8" ht="24.9" customHeight="1">
      <c r="A13" s="51"/>
      <c r="B13" s="57"/>
      <c r="C13" s="39"/>
      <c r="D13" s="20" t="s">
        <v>16</v>
      </c>
      <c r="E13" s="21" t="n">
        <v>12608.0</v>
      </c>
      <c r="F13" s="22" t="n">
        <f>1616</f>
        <v>1616.0</v>
      </c>
      <c r="G13" s="21" t="n">
        <v>8.18593101E11</v>
      </c>
      <c r="H13" s="22" t="n">
        <f>104972631000</f>
        <v>1.04972631E11</v>
      </c>
    </row>
    <row r="14" spans="1:8" ht="24.9" customHeight="1">
      <c r="A14" s="51"/>
      <c r="B14" s="57"/>
      <c r="C14" s="39"/>
      <c r="D14" s="20" t="s">
        <v>17</v>
      </c>
      <c r="E14" s="21" t="n">
        <v>20956.0</v>
      </c>
      <c r="F14" s="22" t="n">
        <f>6415</f>
        <v>6415.0</v>
      </c>
      <c r="G14" s="21" t="n">
        <v>1.35362193585E12</v>
      </c>
      <c r="H14" s="22" t="n">
        <f>415224262850</f>
        <v>4.1522426285E11</v>
      </c>
    </row>
    <row r="15" spans="1:8" ht="24.9" customHeight="1">
      <c r="A15" s="51"/>
      <c r="B15" s="57"/>
      <c r="C15" s="39"/>
      <c r="D15" s="24" t="s">
        <v>18</v>
      </c>
      <c r="E15" s="25" t="n">
        <v>49271.0</v>
      </c>
      <c r="F15" s="26" t="n">
        <f>9730</f>
        <v>9730.0</v>
      </c>
      <c r="G15" s="25" t="n">
        <v>3.20378879425E12</v>
      </c>
      <c r="H15" s="26" t="n">
        <f>631499469250</f>
        <v>6.3149946925E11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337689.0</v>
      </c>
      <c r="F16" s="18" t="n">
        <f>37177</f>
        <v>37177.0</v>
      </c>
      <c r="G16" s="17" t="n">
        <v>2.21833831275E12</v>
      </c>
      <c r="H16" s="18" t="n">
        <f>244389938750</f>
        <v>2.4438993875E11</v>
      </c>
    </row>
    <row r="17" spans="1:8" ht="24.9" customHeight="1">
      <c r="A17" s="51"/>
      <c r="B17" s="57"/>
      <c r="C17" s="39"/>
      <c r="D17" s="20" t="s">
        <v>16</v>
      </c>
      <c r="E17" s="21" t="n">
        <v>209468.0</v>
      </c>
      <c r="F17" s="22" t="n">
        <f>20329</f>
        <v>20329.0</v>
      </c>
      <c r="G17" s="21" t="n">
        <v>1.35994564388E12</v>
      </c>
      <c r="H17" s="22" t="n">
        <f>131916664880</f>
        <v>1.3191666488E11</v>
      </c>
    </row>
    <row r="18" spans="1:8" ht="24.9" customHeight="1">
      <c r="A18" s="51"/>
      <c r="B18" s="57"/>
      <c r="C18" s="39"/>
      <c r="D18" s="20" t="s">
        <v>17</v>
      </c>
      <c r="E18" s="21" t="n">
        <v>195586.0</v>
      </c>
      <c r="F18" s="22" t="n">
        <f>17613</f>
        <v>17613.0</v>
      </c>
      <c r="G18" s="21" t="n">
        <v>1.261614643819E12</v>
      </c>
      <c r="H18" s="22" t="n">
        <f>113542299319</f>
        <v>1.13542299319E11</v>
      </c>
    </row>
    <row r="19" spans="1:8" ht="24.9" customHeight="1">
      <c r="A19" s="51"/>
      <c r="B19" s="57"/>
      <c r="C19" s="39"/>
      <c r="D19" s="24" t="s">
        <v>18</v>
      </c>
      <c r="E19" s="25" t="n">
        <v>742743.0</v>
      </c>
      <c r="F19" s="26" t="n">
        <f>75119</f>
        <v>75119.0</v>
      </c>
      <c r="G19" s="25" t="n">
        <v>4.839898600449E12</v>
      </c>
      <c r="H19" s="26" t="n">
        <f>489848902949</f>
        <v>4.89848902949E11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483067.0</v>
      </c>
      <c r="F20" s="18" t="str">
        <f>"－"</f>
        <v>－</v>
      </c>
      <c r="G20" s="17" t="n">
        <v>3.174396221E11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262527.0</v>
      </c>
      <c r="F21" s="22" t="str">
        <f>"－"</f>
        <v>－</v>
      </c>
      <c r="G21" s="21" t="n">
        <v>1.7041272295E11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231425.0</v>
      </c>
      <c r="F22" s="22" t="str">
        <f>"－"</f>
        <v>－</v>
      </c>
      <c r="G22" s="21" t="n">
        <v>1.4926130965E11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977019.0</v>
      </c>
      <c r="F23" s="26" t="str">
        <f>"－"</f>
        <v>－</v>
      </c>
      <c r="G23" s="25" t="n">
        <v>6.371136547E11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17143.0</v>
      </c>
      <c r="F24" s="18" t="n">
        <f>53</f>
        <v>53.0</v>
      </c>
      <c r="G24" s="17" t="n">
        <v>6.89063546E11</v>
      </c>
      <c r="H24" s="18" t="n">
        <f>2131836000</f>
        <v>2.131836E9</v>
      </c>
    </row>
    <row r="25" spans="1:8" ht="24.9" customHeight="1">
      <c r="A25" s="51"/>
      <c r="B25" s="57"/>
      <c r="C25" s="39"/>
      <c r="D25" s="20" t="s">
        <v>16</v>
      </c>
      <c r="E25" s="21" t="n">
        <v>15797.0</v>
      </c>
      <c r="F25" s="22" t="n">
        <f>318</f>
        <v>318.0</v>
      </c>
      <c r="G25" s="21" t="n">
        <v>6.334197613E11</v>
      </c>
      <c r="H25" s="22" t="n">
        <f>12765251300</f>
        <v>1.27652513E10</v>
      </c>
    </row>
    <row r="26" spans="1:8" ht="24.9" customHeight="1">
      <c r="A26" s="51"/>
      <c r="B26" s="57"/>
      <c r="C26" s="39"/>
      <c r="D26" s="20" t="s">
        <v>17</v>
      </c>
      <c r="E26" s="21" t="n">
        <v>20703.0</v>
      </c>
      <c r="F26" s="22" t="n">
        <f>1745</f>
        <v>1745.0</v>
      </c>
      <c r="G26" s="21" t="n">
        <v>8.301823686E11</v>
      </c>
      <c r="H26" s="22" t="n">
        <f>70069378600</f>
        <v>7.00693786E10</v>
      </c>
    </row>
    <row r="27" spans="1:8" ht="24.9" customHeight="1">
      <c r="A27" s="51"/>
      <c r="B27" s="57"/>
      <c r="C27" s="39"/>
      <c r="D27" s="24" t="s">
        <v>18</v>
      </c>
      <c r="E27" s="25" t="n">
        <v>53643.0</v>
      </c>
      <c r="F27" s="26" t="n">
        <f>2116</f>
        <v>2116.0</v>
      </c>
      <c r="G27" s="25" t="n">
        <v>2.1526656759E12</v>
      </c>
      <c r="H27" s="26" t="n">
        <f>84966465900</f>
        <v>8.49664659E10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7278.0</v>
      </c>
      <c r="F28" s="18" t="n">
        <f>1814</f>
        <v>1814.0</v>
      </c>
      <c r="G28" s="17" t="n">
        <v>2.925488815E10</v>
      </c>
      <c r="H28" s="18" t="n">
        <f>7276764900</f>
        <v>7.2767649E9</v>
      </c>
    </row>
    <row r="29" spans="1:8" ht="24.9" customHeight="1">
      <c r="A29" s="51"/>
      <c r="B29" s="57"/>
      <c r="C29" s="39"/>
      <c r="D29" s="20" t="s">
        <v>16</v>
      </c>
      <c r="E29" s="21" t="n">
        <v>7522.0</v>
      </c>
      <c r="F29" s="22" t="n">
        <f>280</f>
        <v>280.0</v>
      </c>
      <c r="G29" s="21" t="n">
        <v>3.015937055E10</v>
      </c>
      <c r="H29" s="22" t="n">
        <f>1122350800</f>
        <v>1.1223508E9</v>
      </c>
    </row>
    <row r="30" spans="1:8" ht="24.9" customHeight="1">
      <c r="A30" s="51"/>
      <c r="B30" s="57"/>
      <c r="C30" s="39"/>
      <c r="D30" s="20" t="s">
        <v>17</v>
      </c>
      <c r="E30" s="21" t="n">
        <v>5777.0</v>
      </c>
      <c r="F30" s="22" t="n">
        <f>211</f>
        <v>211.0</v>
      </c>
      <c r="G30" s="21" t="n">
        <v>2.31638755E10</v>
      </c>
      <c r="H30" s="22" t="n">
        <f>845912750</f>
        <v>8.4591275E8</v>
      </c>
    </row>
    <row r="31" spans="1:8" ht="24.9" customHeight="1">
      <c r="A31" s="51"/>
      <c r="B31" s="57"/>
      <c r="C31" s="39"/>
      <c r="D31" s="24" t="s">
        <v>18</v>
      </c>
      <c r="E31" s="25" t="n">
        <v>20577.0</v>
      </c>
      <c r="F31" s="26" t="n">
        <f>2305</f>
        <v>2305.0</v>
      </c>
      <c r="G31" s="25" t="n">
        <v>8.25781342E10</v>
      </c>
      <c r="H31" s="26" t="n">
        <f>9245028450</f>
        <v>9.24502845E9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468.0</v>
      </c>
      <c r="F36" s="18" t="n">
        <f>0</f>
        <v>0.0</v>
      </c>
      <c r="G36" s="17" t="n">
        <v>1.6958815E9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832.0</v>
      </c>
      <c r="F37" s="22" t="n">
        <f>1</f>
        <v>1.0</v>
      </c>
      <c r="G37" s="21" t="n">
        <v>3.01329999E9</v>
      </c>
      <c r="H37" s="22" t="n">
        <f>3620490</f>
        <v>3620490.0</v>
      </c>
    </row>
    <row r="38" spans="1:8" ht="24.9" customHeight="1">
      <c r="A38" s="51"/>
      <c r="B38" s="57"/>
      <c r="C38" s="39"/>
      <c r="D38" s="20" t="s">
        <v>17</v>
      </c>
      <c r="E38" s="21" t="n">
        <v>337.0</v>
      </c>
      <c r="F38" s="22" t="n">
        <f>1</f>
        <v>1.0</v>
      </c>
      <c r="G38" s="21" t="n">
        <v>1.21987801E9</v>
      </c>
      <c r="H38" s="22" t="n">
        <f>3622010</f>
        <v>3622010.0</v>
      </c>
    </row>
    <row r="39" spans="1:8" ht="24.9" customHeight="1">
      <c r="A39" s="51"/>
      <c r="B39" s="57"/>
      <c r="C39" s="39"/>
      <c r="D39" s="24" t="s">
        <v>18</v>
      </c>
      <c r="E39" s="25" t="n">
        <v>1637.0</v>
      </c>
      <c r="F39" s="26" t="n">
        <f>2</f>
        <v>2.0</v>
      </c>
      <c r="G39" s="25" t="n">
        <v>5.9290595E9</v>
      </c>
      <c r="H39" s="26" t="n">
        <f>7242500</f>
        <v>7242500.0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20.0</v>
      </c>
      <c r="F45" s="22" t="n">
        <f>20</f>
        <v>20.0</v>
      </c>
      <c r="G45" s="21" t="n">
        <v>1.5252E8</v>
      </c>
      <c r="H45" s="22" t="n">
        <f>152520000</f>
        <v>1.5252E8</v>
      </c>
    </row>
    <row r="46" spans="1:8" ht="24.9" customHeight="1">
      <c r="A46" s="51"/>
      <c r="B46" s="57"/>
      <c r="C46" s="39"/>
      <c r="D46" s="20" t="s">
        <v>17</v>
      </c>
      <c r="E46" s="21" t="n">
        <v>16.0</v>
      </c>
      <c r="F46" s="22" t="n">
        <f>0</f>
        <v>0.0</v>
      </c>
      <c r="G46" s="21" t="n">
        <v>1.22678E8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36.0</v>
      </c>
      <c r="F47" s="26" t="n">
        <f>20</f>
        <v>20.0</v>
      </c>
      <c r="G47" s="25" t="n">
        <v>2.75198E8</v>
      </c>
      <c r="H47" s="26" t="n">
        <f>152520000</f>
        <v>1.5252E8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3.0</v>
      </c>
      <c r="F48" s="18" t="n">
        <f>3</f>
        <v>3.0</v>
      </c>
      <c r="G48" s="17" t="n">
        <v>5508000.0</v>
      </c>
      <c r="H48" s="18" t="n">
        <f>5508000</f>
        <v>5508000.0</v>
      </c>
    </row>
    <row r="49" spans="1:8" ht="24.9" customHeight="1">
      <c r="A49" s="51"/>
      <c r="B49" s="57"/>
      <c r="C49" s="39"/>
      <c r="D49" s="20" t="s">
        <v>16</v>
      </c>
      <c r="E49" s="21" t="n">
        <v>36.0</v>
      </c>
      <c r="F49" s="22" t="n">
        <f>0</f>
        <v>0.0</v>
      </c>
      <c r="G49" s="21" t="n">
        <v>6.61105E7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895.0</v>
      </c>
      <c r="F50" s="22" t="n">
        <f>779</f>
        <v>779.0</v>
      </c>
      <c r="G50" s="21" t="n">
        <v>1.64900768E9</v>
      </c>
      <c r="H50" s="22" t="n">
        <f>1434976180</f>
        <v>1.43497618E9</v>
      </c>
    </row>
    <row r="51" spans="1:8" ht="24.9" customHeight="1">
      <c r="A51" s="51"/>
      <c r="B51" s="57"/>
      <c r="C51" s="39"/>
      <c r="D51" s="24" t="s">
        <v>18</v>
      </c>
      <c r="E51" s="25" t="n">
        <v>934.0</v>
      </c>
      <c r="F51" s="26" t="n">
        <f>782</f>
        <v>782.0</v>
      </c>
      <c r="G51" s="25" t="n">
        <v>1.72062618E9</v>
      </c>
      <c r="H51" s="26" t="n">
        <f>1440484180</f>
        <v>1.44048418E9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456.0</v>
      </c>
      <c r="F56" s="18" t="n">
        <f>17</f>
        <v>17.0</v>
      </c>
      <c r="G56" s="17" t="n">
        <v>3.11468E8</v>
      </c>
      <c r="H56" s="18" t="n">
        <f>11619000</f>
        <v>1.1619E7</v>
      </c>
    </row>
    <row r="57" spans="1:8" ht="24.9" customHeight="1">
      <c r="A57" s="51"/>
      <c r="B57" s="57"/>
      <c r="C57" s="39"/>
      <c r="D57" s="20" t="s">
        <v>16</v>
      </c>
      <c r="E57" s="21" t="n">
        <v>694.0</v>
      </c>
      <c r="F57" s="22" t="n">
        <f>36</f>
        <v>36.0</v>
      </c>
      <c r="G57" s="21" t="n">
        <v>4.700251E8</v>
      </c>
      <c r="H57" s="22" t="n">
        <f>24361100</f>
        <v>2.43611E7</v>
      </c>
    </row>
    <row r="58" spans="1:8" ht="24.9" customHeight="1">
      <c r="A58" s="51"/>
      <c r="B58" s="57"/>
      <c r="C58" s="39"/>
      <c r="D58" s="20" t="s">
        <v>17</v>
      </c>
      <c r="E58" s="21" t="n">
        <v>457.0</v>
      </c>
      <c r="F58" s="22" t="n">
        <f>39</f>
        <v>39.0</v>
      </c>
      <c r="G58" s="21" t="n">
        <v>3.0813502E8</v>
      </c>
      <c r="H58" s="22" t="n">
        <f>26601020</f>
        <v>2.660102E7</v>
      </c>
    </row>
    <row r="59" spans="1:8" ht="24.9" customHeight="1">
      <c r="A59" s="51"/>
      <c r="B59" s="57"/>
      <c r="C59" s="39"/>
      <c r="D59" s="24" t="s">
        <v>18</v>
      </c>
      <c r="E59" s="25" t="n">
        <v>1607.0</v>
      </c>
      <c r="F59" s="26" t="n">
        <f>92</f>
        <v>92.0</v>
      </c>
      <c r="G59" s="25" t="n">
        <v>1.08962812E9</v>
      </c>
      <c r="H59" s="26" t="n">
        <f>62581120</f>
        <v>6.258112E7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230.0</v>
      </c>
      <c r="F60" s="18" t="n">
        <f>13</f>
        <v>13.0</v>
      </c>
      <c r="G60" s="17" t="n">
        <v>1.19520787E9</v>
      </c>
      <c r="H60" s="18" t="n">
        <f>67486770</f>
        <v>6.748677E7</v>
      </c>
    </row>
    <row r="61" spans="1:8" ht="24.9" customHeight="1">
      <c r="A61" s="51"/>
      <c r="B61" s="57"/>
      <c r="C61" s="39"/>
      <c r="D61" s="20" t="s">
        <v>16</v>
      </c>
      <c r="E61" s="21" t="n">
        <v>20.0</v>
      </c>
      <c r="F61" s="22" t="n">
        <f>9</f>
        <v>9.0</v>
      </c>
      <c r="G61" s="21" t="n">
        <v>1.0377511E8</v>
      </c>
      <c r="H61" s="22" t="n">
        <f>46738010</f>
        <v>4.673801E7</v>
      </c>
    </row>
    <row r="62" spans="1:8" ht="24.9" customHeight="1">
      <c r="A62" s="51"/>
      <c r="B62" s="57"/>
      <c r="C62" s="39"/>
      <c r="D62" s="20" t="s">
        <v>17</v>
      </c>
      <c r="E62" s="21" t="n">
        <v>19.0</v>
      </c>
      <c r="F62" s="22" t="n">
        <f>6</f>
        <v>6.0</v>
      </c>
      <c r="G62" s="21" t="n">
        <v>9.864191E7</v>
      </c>
      <c r="H62" s="22" t="n">
        <f>31142810</f>
        <v>3.114281E7</v>
      </c>
    </row>
    <row r="63" spans="1:8" ht="24.9" customHeight="1">
      <c r="A63" s="51"/>
      <c r="B63" s="57"/>
      <c r="C63" s="39"/>
      <c r="D63" s="24" t="s">
        <v>18</v>
      </c>
      <c r="E63" s="25" t="n">
        <v>269.0</v>
      </c>
      <c r="F63" s="26" t="n">
        <f>28</f>
        <v>28.0</v>
      </c>
      <c r="G63" s="25" t="n">
        <v>1.39762489E9</v>
      </c>
      <c r="H63" s="26" t="n">
        <f>145367590</f>
        <v>1.4536759E8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408000.0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14.0</v>
      </c>
      <c r="F77" s="22" t="n">
        <f>0</f>
        <v>0.0</v>
      </c>
      <c r="G77" s="21" t="n">
        <v>5227500.0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5.0</v>
      </c>
      <c r="F78" s="22" t="n">
        <f>0</f>
        <v>0.0</v>
      </c>
      <c r="G78" s="21" t="n">
        <v>1917000.0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20.0</v>
      </c>
      <c r="F79" s="26" t="n">
        <f>0</f>
        <v>0.0</v>
      </c>
      <c r="G79" s="25" t="n">
        <v>7552500.0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385.0</v>
      </c>
      <c r="F92" s="18" t="n">
        <f>0</f>
        <v>0.0</v>
      </c>
      <c r="G92" s="17" t="n">
        <v>6.269072E8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29.0</v>
      </c>
      <c r="F93" s="22" t="n">
        <f>0</f>
        <v>0.0</v>
      </c>
      <c r="G93" s="21" t="n">
        <v>4.73262E7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3.0</v>
      </c>
      <c r="F94" s="22" t="n">
        <f>0</f>
        <v>0.0</v>
      </c>
      <c r="G94" s="21" t="n">
        <v>4892800.0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417.0</v>
      </c>
      <c r="F95" s="26" t="n">
        <f>0</f>
        <v>0.0</v>
      </c>
      <c r="G95" s="25" t="n">
        <v>6.791262E8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8.0</v>
      </c>
      <c r="F96" s="18" t="n">
        <f>0</f>
        <v>0.0</v>
      </c>
      <c r="G96" s="17" t="n">
        <v>1.9308E7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34.0</v>
      </c>
      <c r="F98" s="22" t="n">
        <f>0</f>
        <v>0.0</v>
      </c>
      <c r="G98" s="21" t="n">
        <v>8.21348E7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42.0</v>
      </c>
      <c r="F99" s="26" t="n">
        <f>0</f>
        <v>0.0</v>
      </c>
      <c r="G99" s="25" t="n">
        <v>1.014428E8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10.0</v>
      </c>
      <c r="F100" s="18" t="n">
        <f>0</f>
        <v>0.0</v>
      </c>
      <c r="G100" s="17" t="n">
        <v>1.8578E7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20.0</v>
      </c>
      <c r="F101" s="22" t="n">
        <f>0</f>
        <v>0.0</v>
      </c>
      <c r="G101" s="21" t="n">
        <v>3.7228E7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30.0</v>
      </c>
      <c r="F103" s="26" t="n">
        <f>0</f>
        <v>0.0</v>
      </c>
      <c r="G103" s="25" t="n">
        <v>5.5806E7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8177.0</v>
      </c>
      <c r="F108" s="18" t="n">
        <f>124</f>
        <v>124.0</v>
      </c>
      <c r="G108" s="17" t="n">
        <v>1.038977205E12</v>
      </c>
      <c r="H108" s="18" t="n">
        <f>15768215000</f>
        <v>1.5768215E10</v>
      </c>
    </row>
    <row r="109" spans="1:8" ht="24.9" customHeight="1">
      <c r="A109" s="51"/>
      <c r="B109" s="57"/>
      <c r="C109" s="39"/>
      <c r="D109" s="20" t="s">
        <v>16</v>
      </c>
      <c r="E109" s="21" t="n">
        <v>13312.0</v>
      </c>
      <c r="F109" s="22" t="n">
        <f>1286</f>
        <v>1286.0</v>
      </c>
      <c r="G109" s="21" t="n">
        <v>1.69065278E12</v>
      </c>
      <c r="H109" s="22" t="n">
        <f>163348690000</f>
        <v>1.6334869E11</v>
      </c>
    </row>
    <row r="110" spans="1:8" ht="24.9" customHeight="1">
      <c r="A110" s="51"/>
      <c r="B110" s="57"/>
      <c r="C110" s="39"/>
      <c r="D110" s="20" t="s">
        <v>17</v>
      </c>
      <c r="E110" s="21" t="n">
        <v>17496.0</v>
      </c>
      <c r="F110" s="22" t="n">
        <f>2710</f>
        <v>2710.0</v>
      </c>
      <c r="G110" s="21" t="n">
        <v>2.21904713E12</v>
      </c>
      <c r="H110" s="22" t="n">
        <f>343787960000</f>
        <v>3.4378796E11</v>
      </c>
    </row>
    <row r="111" spans="1:8" ht="24.9" customHeight="1">
      <c r="A111" s="51"/>
      <c r="B111" s="57"/>
      <c r="C111" s="39"/>
      <c r="D111" s="24" t="s">
        <v>18</v>
      </c>
      <c r="E111" s="25" t="n">
        <v>38985.0</v>
      </c>
      <c r="F111" s="26" t="n">
        <f>4120</f>
        <v>4120.0</v>
      </c>
      <c r="G111" s="25" t="n">
        <v>4.948677115E12</v>
      </c>
      <c r="H111" s="26" t="n">
        <f>522904865000</f>
        <v>5.22904865E11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932.0</v>
      </c>
      <c r="F113" s="22" t="n">
        <f>0</f>
        <v>0.0</v>
      </c>
      <c r="G113" s="21" t="n">
        <v>1.1837911E10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332.0</v>
      </c>
      <c r="F114" s="22" t="n">
        <f>0</f>
        <v>0.0</v>
      </c>
      <c r="G114" s="21" t="n">
        <v>4.212086E9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1264.0</v>
      </c>
      <c r="F115" s="26" t="n">
        <f>0</f>
        <v>0.0</v>
      </c>
      <c r="G115" s="25" t="n">
        <v>1.6049997E10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10.0</v>
      </c>
      <c r="F117" s="22" t="n">
        <f>0</f>
        <v>0.0</v>
      </c>
      <c r="G117" s="21" t="n">
        <v>9.074E7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40.0</v>
      </c>
      <c r="F118" s="22" t="n">
        <f>0</f>
        <v>0.0</v>
      </c>
      <c r="G118" s="21" t="n">
        <v>3.6139E8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50.0</v>
      </c>
      <c r="F119" s="26" t="n">
        <f>0</f>
        <v>0.0</v>
      </c>
      <c r="G119" s="25" t="n">
        <v>4.5213E8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7503.0</v>
      </c>
      <c r="F120" s="18" t="n">
        <f>0</f>
        <v>0.0</v>
      </c>
      <c r="G120" s="17" t="n">
        <v>1.8523709875E11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86.0</v>
      </c>
      <c r="F121" s="22" t="n">
        <f>0</f>
        <v>0.0</v>
      </c>
      <c r="G121" s="21" t="n">
        <v>2.123860625E9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6033.0</v>
      </c>
      <c r="F122" s="22" t="n">
        <f>0</f>
        <v>0.0</v>
      </c>
      <c r="G122" s="21" t="n">
        <v>1.48626289375E11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13622.0</v>
      </c>
      <c r="F123" s="26" t="n">
        <f>0</f>
        <v>0.0</v>
      </c>
      <c r="G123" s="25" t="n">
        <v>3.3598724875E11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5597.0</v>
      </c>
      <c r="F124" s="18" t="n">
        <f>0</f>
        <v>0.0</v>
      </c>
      <c r="G124" s="17" t="n">
        <v>1.2255324E11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1724.0</v>
      </c>
      <c r="F125" s="22" t="n">
        <f>0</f>
        <v>0.0</v>
      </c>
      <c r="G125" s="21" t="n">
        <v>3.7604342E10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2036.0</v>
      </c>
      <c r="F126" s="22" t="n">
        <f>0</f>
        <v>0.0</v>
      </c>
      <c r="G126" s="21" t="n">
        <v>4.4229178E10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9357.0</v>
      </c>
      <c r="F127" s="26" t="n">
        <f>0</f>
        <v>0.0</v>
      </c>
      <c r="G127" s="25" t="n">
        <v>2.0438676E11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71.0</v>
      </c>
      <c r="F128" s="18" t="n">
        <f>0</f>
        <v>0.0</v>
      </c>
      <c r="G128" s="17" t="n">
        <v>1.55114E8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97.0</v>
      </c>
      <c r="F129" s="22" t="n">
        <f>0</f>
        <v>0.0</v>
      </c>
      <c r="G129" s="21" t="n">
        <v>2.103675E8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44.0</v>
      </c>
      <c r="F130" s="22" t="n">
        <f>0</f>
        <v>0.0</v>
      </c>
      <c r="G130" s="21" t="n">
        <v>9.50567E7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212.0</v>
      </c>
      <c r="F131" s="26" t="n">
        <f>0</f>
        <v>0.0</v>
      </c>
      <c r="G131" s="25" t="n">
        <v>4.605382E8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6958.0</v>
      </c>
      <c r="F132" s="18" t="n">
        <f>0</f>
        <v>0.0</v>
      </c>
      <c r="G132" s="17" t="n">
        <v>1.523047625E10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1164.0</v>
      </c>
      <c r="F133" s="22" t="n">
        <f>0</f>
        <v>0.0</v>
      </c>
      <c r="G133" s="21" t="n">
        <v>2.53936995E9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2817.0</v>
      </c>
      <c r="F134" s="22" t="n">
        <f>0</f>
        <v>0.0</v>
      </c>
      <c r="G134" s="21" t="n">
        <v>6.1173786E9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10939.0</v>
      </c>
      <c r="F135" s="26" t="n">
        <f>0</f>
        <v>0.0</v>
      </c>
      <c r="G135" s="25" t="n">
        <v>2.38872248E10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44.0</v>
      </c>
      <c r="F136" s="18" t="n">
        <f>0</f>
        <v>0.0</v>
      </c>
      <c r="G136" s="17" t="n">
        <v>9.53025E7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11.0</v>
      </c>
      <c r="F137" s="22" t="n">
        <f>0</f>
        <v>0.0</v>
      </c>
      <c r="G137" s="21" t="n">
        <v>2.36985E7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50.0</v>
      </c>
      <c r="F138" s="22" t="n">
        <f>0</f>
        <v>0.0</v>
      </c>
      <c r="G138" s="21" t="n">
        <v>1.073483E8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105.0</v>
      </c>
      <c r="F139" s="26" t="n">
        <f>0</f>
        <v>0.0</v>
      </c>
      <c r="G139" s="25" t="n">
        <v>2.263493E8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2.0</v>
      </c>
      <c r="F140" s="18" t="n">
        <f>0</f>
        <v>0.0</v>
      </c>
      <c r="G140" s="17" t="n">
        <v>1.854E7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2.0</v>
      </c>
      <c r="F143" s="26" t="n">
        <f>0</f>
        <v>0.0</v>
      </c>
      <c r="G143" s="25" t="n">
        <v>1.854E7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1225.0</v>
      </c>
      <c r="F144" s="18" t="n">
        <f>0</f>
        <v>0.0</v>
      </c>
      <c r="G144" s="17" t="n">
        <v>5.118819E9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932.0</v>
      </c>
      <c r="F145" s="22" t="n">
        <f>0</f>
        <v>0.0</v>
      </c>
      <c r="G145" s="21" t="n">
        <v>3.864553E9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937.0</v>
      </c>
      <c r="F146" s="22" t="n">
        <f>0</f>
        <v>0.0</v>
      </c>
      <c r="G146" s="21" t="n">
        <v>3.839732E9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3094.0</v>
      </c>
      <c r="F147" s="26" t="n">
        <f>0</f>
        <v>0.0</v>
      </c>
      <c r="G147" s="25" t="n">
        <v>1.2823104E10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21.0</v>
      </c>
      <c r="F148" s="18" t="n">
        <f>0</f>
        <v>0.0</v>
      </c>
      <c r="G148" s="17" t="n">
        <v>1.79047E7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51.0</v>
      </c>
      <c r="F149" s="22" t="n">
        <f>0</f>
        <v>0.0</v>
      </c>
      <c r="G149" s="21" t="n">
        <v>4.31676E7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159.0</v>
      </c>
      <c r="F150" s="22" t="n">
        <f>0</f>
        <v>0.0</v>
      </c>
      <c r="G150" s="21" t="n">
        <v>1.333337E8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231.0</v>
      </c>
      <c r="F151" s="26" t="n">
        <f>0</f>
        <v>0.0</v>
      </c>
      <c r="G151" s="25" t="n">
        <v>1.94406E8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316.0</v>
      </c>
      <c r="F152" s="18" t="n">
        <f>0</f>
        <v>0.0</v>
      </c>
      <c r="G152" s="17" t="n">
        <v>2.637782E8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139.0</v>
      </c>
      <c r="F153" s="22" t="n">
        <f>0</f>
        <v>0.0</v>
      </c>
      <c r="G153" s="21" t="n">
        <v>1.1491055E8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371.0</v>
      </c>
      <c r="F154" s="22" t="n">
        <f>0</f>
        <v>0.0</v>
      </c>
      <c r="G154" s="21" t="n">
        <v>3.036028E8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826.0</v>
      </c>
      <c r="F155" s="26" t="n">
        <f>0</f>
        <v>0.0</v>
      </c>
      <c r="G155" s="25" t="n">
        <v>6.8229155E8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301.0</v>
      </c>
      <c r="F156" s="18" t="n">
        <f>0</f>
        <v>0.0</v>
      </c>
      <c r="G156" s="17" t="n">
        <v>2.535837E8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172.0</v>
      </c>
      <c r="F157" s="22" t="n">
        <f>0</f>
        <v>0.0</v>
      </c>
      <c r="G157" s="21" t="n">
        <v>1.423199E8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687.0</v>
      </c>
      <c r="F158" s="22" t="n">
        <f>0</f>
        <v>0.0</v>
      </c>
      <c r="G158" s="21" t="n">
        <v>5.628618E8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1160.0</v>
      </c>
      <c r="F159" s="26" t="n">
        <f>0</f>
        <v>0.0</v>
      </c>
      <c r="G159" s="25" t="n">
        <v>9.587654E8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55.0</v>
      </c>
      <c r="F168" s="18" t="n">
        <f>0</f>
        <v>0.0</v>
      </c>
      <c r="G168" s="17" t="n">
        <v>1.151675E8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206.0</v>
      </c>
      <c r="F169" s="22" t="n">
        <f>0</f>
        <v>0.0</v>
      </c>
      <c r="G169" s="21" t="n">
        <v>4.35202E8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532.0</v>
      </c>
      <c r="F170" s="22" t="n">
        <f>148</f>
        <v>148.0</v>
      </c>
      <c r="G170" s="21" t="n">
        <v>1.119205E9</v>
      </c>
      <c r="H170" s="22" t="n">
        <f>317830000</f>
        <v>3.1783E8</v>
      </c>
    </row>
    <row r="171" spans="1:8" ht="24.9" customHeight="1">
      <c r="A171" s="51"/>
      <c r="B171" s="57"/>
      <c r="C171" s="39"/>
      <c r="D171" s="24" t="s">
        <v>18</v>
      </c>
      <c r="E171" s="25" t="n">
        <v>793.0</v>
      </c>
      <c r="F171" s="26" t="n">
        <f>148</f>
        <v>148.0</v>
      </c>
      <c r="G171" s="25" t="n">
        <v>1.6695745E9</v>
      </c>
      <c r="H171" s="26" t="n">
        <f>317830000</f>
        <v>3.1783E8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8.0</v>
      </c>
      <c r="F176" s="18" t="n">
        <f>0</f>
        <v>0.0</v>
      </c>
      <c r="G176" s="17" t="n">
        <v>1.4002E7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40.0</v>
      </c>
      <c r="F177" s="22" t="n">
        <f>0</f>
        <v>0.0</v>
      </c>
      <c r="G177" s="21" t="n">
        <v>7.12E7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48.0</v>
      </c>
      <c r="F179" s="26" t="n">
        <f>0</f>
        <v>0.0</v>
      </c>
      <c r="G179" s="25" t="n">
        <v>8.5202E7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1139.0</v>
      </c>
      <c r="F204" s="18" t="n">
        <f>0</f>
        <v>0.0</v>
      </c>
      <c r="G204" s="17" t="n">
        <v>4.6479815E9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194.0</v>
      </c>
      <c r="F205" s="22" t="n">
        <f>0</f>
        <v>0.0</v>
      </c>
      <c r="G205" s="21" t="n">
        <v>7.931915E8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1625.0</v>
      </c>
      <c r="F206" s="22" t="n">
        <f>0</f>
        <v>0.0</v>
      </c>
      <c r="G206" s="21" t="n">
        <v>6.6279765E9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2958.0</v>
      </c>
      <c r="F207" s="26" t="n">
        <f>0</f>
        <v>0.0</v>
      </c>
      <c r="G207" s="25" t="n">
        <v>1.20691495E10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21.0</v>
      </c>
      <c r="F278" s="22" t="n">
        <f>20</f>
        <v>20.0</v>
      </c>
      <c r="G278" s="21" t="n">
        <v>2.0475E7</v>
      </c>
      <c r="H278" s="22" t="n">
        <f>19500000</f>
        <v>1.95E7</v>
      </c>
    </row>
    <row r="279" spans="1:8" ht="24.9" customHeight="1">
      <c r="A279" s="57"/>
      <c r="B279" s="59"/>
      <c r="C279" s="39"/>
      <c r="D279" s="24" t="s">
        <v>18</v>
      </c>
      <c r="E279" s="25" t="n">
        <v>21.0</v>
      </c>
      <c r="F279" s="26" t="n">
        <f>20</f>
        <v>20.0</v>
      </c>
      <c r="G279" s="25" t="n">
        <v>2.0475E7</v>
      </c>
      <c r="H279" s="26" t="n">
        <f>19500000</f>
        <v>1.95E7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2.0</v>
      </c>
      <c r="F282" s="22" t="n">
        <f>0</f>
        <v>0.0</v>
      </c>
      <c r="G282" s="21" t="n">
        <v>2100000.0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2.0</v>
      </c>
      <c r="F283" s="26" t="n">
        <f>0</f>
        <v>0.0</v>
      </c>
      <c r="G283" s="25" t="n">
        <v>2100000.0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46227.0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46227.0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2931</f>
        <v>2931.0</v>
      </c>
      <c r="E12" s="35" t="n">
        <f>1592</f>
        <v>1592.0</v>
      </c>
      <c r="F12" s="17" t="n">
        <f>1668</f>
        <v>1668.0</v>
      </c>
      <c r="G12" s="35" t="n">
        <f>698</f>
        <v>698.0</v>
      </c>
      <c r="H12" s="17" t="n">
        <f>4599</f>
        <v>4599.0</v>
      </c>
      <c r="I12" s="35" t="n">
        <f>2290</f>
        <v>2290.0</v>
      </c>
      <c r="J12" s="17" t="n">
        <f>1322664360</f>
        <v>1.32266436E9</v>
      </c>
      <c r="K12" s="35" t="n">
        <f>793742360</f>
        <v>7.9374236E8</v>
      </c>
      <c r="L12" s="17" t="n">
        <f>1046869330</f>
        <v>1.04686933E9</v>
      </c>
      <c r="M12" s="35" t="n">
        <f>671965330</f>
        <v>6.7196533E8</v>
      </c>
      <c r="N12" s="17" t="n">
        <f>2369533690</f>
        <v>2.36953369E9</v>
      </c>
      <c r="O12" s="35" t="n">
        <f>1465707690</f>
        <v>1.46570769E9</v>
      </c>
    </row>
    <row r="13" spans="1:15" ht="24.9" customHeight="1">
      <c r="A13" s="38"/>
      <c r="B13" s="62"/>
      <c r="C13" s="20" t="s">
        <v>16</v>
      </c>
      <c r="D13" s="21" t="n">
        <f>4662</f>
        <v>4662.0</v>
      </c>
      <c r="E13" s="36" t="n">
        <f>2307</f>
        <v>2307.0</v>
      </c>
      <c r="F13" s="21" t="n">
        <f>3184</f>
        <v>3184.0</v>
      </c>
      <c r="G13" s="36" t="n">
        <f>1101</f>
        <v>1101.0</v>
      </c>
      <c r="H13" s="21" t="n">
        <f>7846</f>
        <v>7846.0</v>
      </c>
      <c r="I13" s="36" t="n">
        <f>3408</f>
        <v>3408.0</v>
      </c>
      <c r="J13" s="21" t="n">
        <f>4211014790</f>
        <v>4.21101479E9</v>
      </c>
      <c r="K13" s="36" t="n">
        <f>2306908790</f>
        <v>2.30690879E9</v>
      </c>
      <c r="L13" s="21" t="n">
        <f>2537775120</f>
        <v>2.53777512E9</v>
      </c>
      <c r="M13" s="36" t="n">
        <f>1477124120</f>
        <v>1.47712412E9</v>
      </c>
      <c r="N13" s="21" t="n">
        <f>6748789910</f>
        <v>6.74878991E9</v>
      </c>
      <c r="O13" s="36" t="n">
        <f>3784032910</f>
        <v>3.78403291E9</v>
      </c>
    </row>
    <row r="14" spans="1:15" ht="24.9" customHeight="1">
      <c r="A14" s="38"/>
      <c r="B14" s="62"/>
      <c r="C14" s="20" t="s">
        <v>17</v>
      </c>
      <c r="D14" s="21" t="n">
        <f>16654</f>
        <v>16654.0</v>
      </c>
      <c r="E14" s="36" t="n">
        <f>11717</f>
        <v>11717.0</v>
      </c>
      <c r="F14" s="21" t="n">
        <f>6388</f>
        <v>6388.0</v>
      </c>
      <c r="G14" s="36" t="n">
        <f>4288</f>
        <v>4288.0</v>
      </c>
      <c r="H14" s="21" t="n">
        <f>23042</f>
        <v>23042.0</v>
      </c>
      <c r="I14" s="36" t="n">
        <f>16005</f>
        <v>16005.0</v>
      </c>
      <c r="J14" s="21" t="n">
        <f>22045326516</f>
        <v>2.2045326516E10</v>
      </c>
      <c r="K14" s="36" t="n">
        <f>18737355516</f>
        <v>1.8737355516E10</v>
      </c>
      <c r="L14" s="21" t="n">
        <f>10261029470</f>
        <v>1.026102947E10</v>
      </c>
      <c r="M14" s="36" t="n">
        <f>8888427470</f>
        <v>8.88842747E9</v>
      </c>
      <c r="N14" s="21" t="n">
        <f>32306355986</f>
        <v>3.2306355986E10</v>
      </c>
      <c r="O14" s="36" t="n">
        <f>27625782986</f>
        <v>2.7625782986E10</v>
      </c>
    </row>
    <row r="15" spans="1:15" ht="24.9" customHeight="1">
      <c r="A15" s="38"/>
      <c r="B15" s="62"/>
      <c r="C15" s="24" t="s">
        <v>18</v>
      </c>
      <c r="D15" s="25" t="n">
        <f>24247</f>
        <v>24247.0</v>
      </c>
      <c r="E15" s="37" t="n">
        <f>15616</f>
        <v>15616.0</v>
      </c>
      <c r="F15" s="25" t="n">
        <f>11240</f>
        <v>11240.0</v>
      </c>
      <c r="G15" s="37" t="n">
        <f>6087</f>
        <v>6087.0</v>
      </c>
      <c r="H15" s="25" t="n">
        <f>35487</f>
        <v>35487.0</v>
      </c>
      <c r="I15" s="37" t="n">
        <f>21703</f>
        <v>21703.0</v>
      </c>
      <c r="J15" s="25" t="n">
        <f>27579005666</f>
        <v>2.7579005666E10</v>
      </c>
      <c r="K15" s="37" t="n">
        <f>21838006666</f>
        <v>2.1838006666E10</v>
      </c>
      <c r="L15" s="25" t="n">
        <f>13845673920</f>
        <v>1.384567392E10</v>
      </c>
      <c r="M15" s="37" t="n">
        <f>11037516920</f>
        <v>1.103751692E10</v>
      </c>
      <c r="N15" s="25" t="n">
        <f>41424679586</f>
        <v>4.1424679586E10</v>
      </c>
      <c r="O15" s="37" t="n">
        <f>32875523586</f>
        <v>3.2875523586E10</v>
      </c>
    </row>
    <row r="16" spans="1:15" ht="24.9" customHeight="1">
      <c r="A16" s="38"/>
      <c r="B16" s="61" t="s">
        <v>105</v>
      </c>
      <c r="C16" s="16" t="s">
        <v>15</v>
      </c>
      <c r="D16" s="17" t="n">
        <f>5730</f>
        <v>5730.0</v>
      </c>
      <c r="E16" s="35" t="n">
        <f>430</f>
        <v>430.0</v>
      </c>
      <c r="F16" s="17" t="n">
        <f>6160</f>
        <v>6160.0</v>
      </c>
      <c r="G16" s="35" t="n">
        <f>270</f>
        <v>270.0</v>
      </c>
      <c r="H16" s="17" t="n">
        <f>11890</f>
        <v>11890.0</v>
      </c>
      <c r="I16" s="35" t="n">
        <f>700</f>
        <v>700.0</v>
      </c>
      <c r="J16" s="17" t="n">
        <f>410116210</f>
        <v>4.1011621E8</v>
      </c>
      <c r="K16" s="35" t="n">
        <f>22801410</f>
        <v>2.280141E7</v>
      </c>
      <c r="L16" s="17" t="n">
        <f>272400260</f>
        <v>2.7240026E8</v>
      </c>
      <c r="M16" s="35" t="n">
        <f>12366860</f>
        <v>1.236686E7</v>
      </c>
      <c r="N16" s="17" t="n">
        <f>682516470</f>
        <v>6.8251647E8</v>
      </c>
      <c r="O16" s="35" t="n">
        <f>35168270</f>
        <v>3.516827E7</v>
      </c>
    </row>
    <row r="17" spans="1:15" ht="24.9" customHeight="1">
      <c r="A17" s="38"/>
      <c r="B17" s="62"/>
      <c r="C17" s="20" t="s">
        <v>16</v>
      </c>
      <c r="D17" s="21" t="n">
        <f>6061</f>
        <v>6061.0</v>
      </c>
      <c r="E17" s="36" t="n">
        <f>150</f>
        <v>150.0</v>
      </c>
      <c r="F17" s="21" t="n">
        <f>6518</f>
        <v>6518.0</v>
      </c>
      <c r="G17" s="36" t="n">
        <f>410</f>
        <v>410.0</v>
      </c>
      <c r="H17" s="21" t="n">
        <f>12579</f>
        <v>12579.0</v>
      </c>
      <c r="I17" s="36" t="n">
        <f>560</f>
        <v>560.0</v>
      </c>
      <c r="J17" s="21" t="n">
        <f>523226970</f>
        <v>5.2322697E8</v>
      </c>
      <c r="K17" s="36" t="n">
        <f>8530070</f>
        <v>8530070.0</v>
      </c>
      <c r="L17" s="21" t="n">
        <f>265091760</f>
        <v>2.6509176E8</v>
      </c>
      <c r="M17" s="36" t="n">
        <f>12281360</f>
        <v>1.228136E7</v>
      </c>
      <c r="N17" s="21" t="n">
        <f>788318730</f>
        <v>7.8831873E8</v>
      </c>
      <c r="O17" s="36" t="n">
        <f>20811430</f>
        <v>2.081143E7</v>
      </c>
    </row>
    <row r="18" spans="1:15" ht="24.9" customHeight="1">
      <c r="A18" s="38"/>
      <c r="B18" s="62"/>
      <c r="C18" s="20" t="s">
        <v>17</v>
      </c>
      <c r="D18" s="21" t="n">
        <f>5563</f>
        <v>5563.0</v>
      </c>
      <c r="E18" s="36" t="n">
        <f>2040</f>
        <v>2040.0</v>
      </c>
      <c r="F18" s="21" t="n">
        <f>9407</f>
        <v>9407.0</v>
      </c>
      <c r="G18" s="36" t="n">
        <f>2250</f>
        <v>2250.0</v>
      </c>
      <c r="H18" s="21" t="n">
        <f>14970</f>
        <v>14970.0</v>
      </c>
      <c r="I18" s="36" t="n">
        <f>4290</f>
        <v>4290.0</v>
      </c>
      <c r="J18" s="21" t="n">
        <f>447170860</f>
        <v>4.4717086E8</v>
      </c>
      <c r="K18" s="36" t="n">
        <f>145197360</f>
        <v>1.4519736E8</v>
      </c>
      <c r="L18" s="21" t="n">
        <f>361132850</f>
        <v>3.6113285E8</v>
      </c>
      <c r="M18" s="36" t="n">
        <f>82120650</f>
        <v>8.212065E7</v>
      </c>
      <c r="N18" s="21" t="n">
        <f>808303710</f>
        <v>8.0830371E8</v>
      </c>
      <c r="O18" s="36" t="n">
        <f>227318010</f>
        <v>2.2731801E8</v>
      </c>
    </row>
    <row r="19" spans="1:15" ht="24.9" customHeight="1">
      <c r="A19" s="38"/>
      <c r="B19" s="62"/>
      <c r="C19" s="24" t="s">
        <v>18</v>
      </c>
      <c r="D19" s="25" t="n">
        <f>17354</f>
        <v>17354.0</v>
      </c>
      <c r="E19" s="37" t="n">
        <f>2620</f>
        <v>2620.0</v>
      </c>
      <c r="F19" s="25" t="n">
        <f>22085</f>
        <v>22085.0</v>
      </c>
      <c r="G19" s="37" t="n">
        <f>2930</f>
        <v>2930.0</v>
      </c>
      <c r="H19" s="25" t="n">
        <f>39439</f>
        <v>39439.0</v>
      </c>
      <c r="I19" s="37" t="n">
        <f>5550</f>
        <v>5550.0</v>
      </c>
      <c r="J19" s="25" t="n">
        <f>1380514040</f>
        <v>1.38051404E9</v>
      </c>
      <c r="K19" s="37" t="n">
        <f>176528840</f>
        <v>1.7652884E8</v>
      </c>
      <c r="L19" s="25" t="n">
        <f>898624870</f>
        <v>8.9862487E8</v>
      </c>
      <c r="M19" s="37" t="n">
        <f>106768870</f>
        <v>1.0676887E8</v>
      </c>
      <c r="N19" s="25" t="n">
        <f>2279138910</f>
        <v>2.27913891E9</v>
      </c>
      <c r="O19" s="37" t="n">
        <f>283297710</f>
        <v>2.8329771E8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300</f>
        <v>300.0</v>
      </c>
      <c r="E21" s="36" t="n">
        <f>300</f>
        <v>300.0</v>
      </c>
      <c r="F21" s="21" t="n">
        <f>15</f>
        <v>15.0</v>
      </c>
      <c r="G21" s="36" t="n">
        <f>0</f>
        <v>0.0</v>
      </c>
      <c r="H21" s="21" t="n">
        <f>315</f>
        <v>315.0</v>
      </c>
      <c r="I21" s="36" t="n">
        <f>300</f>
        <v>300.0</v>
      </c>
      <c r="J21" s="21" t="n">
        <f>246500000</f>
        <v>2.465E8</v>
      </c>
      <c r="K21" s="36" t="n">
        <f>246500000</f>
        <v>2.465E8</v>
      </c>
      <c r="L21" s="21" t="n">
        <f>14100000</f>
        <v>1.41E7</v>
      </c>
      <c r="M21" s="36" t="n">
        <f>0</f>
        <v>0.0</v>
      </c>
      <c r="N21" s="21" t="n">
        <f>260600000</f>
        <v>2.606E8</v>
      </c>
      <c r="O21" s="36" t="n">
        <f>246500000</f>
        <v>2.465E8</v>
      </c>
    </row>
    <row r="22" spans="1:15" ht="24.9" customHeight="1">
      <c r="A22" s="38"/>
      <c r="B22" s="62"/>
      <c r="C22" s="20" t="s">
        <v>17</v>
      </c>
      <c r="D22" s="21" t="n">
        <f>80</f>
        <v>80.0</v>
      </c>
      <c r="E22" s="36" t="n">
        <f>80</f>
        <v>80.0</v>
      </c>
      <c r="F22" s="21" t="n">
        <f>80</f>
        <v>80.0</v>
      </c>
      <c r="G22" s="36" t="n">
        <f>80</f>
        <v>80.0</v>
      </c>
      <c r="H22" s="21" t="n">
        <f>160</f>
        <v>160.0</v>
      </c>
      <c r="I22" s="36" t="n">
        <f>160</f>
        <v>160.0</v>
      </c>
      <c r="J22" s="21" t="n">
        <f>104800000</f>
        <v>1.048E8</v>
      </c>
      <c r="K22" s="36" t="n">
        <f>104800000</f>
        <v>1.048E8</v>
      </c>
      <c r="L22" s="21" t="n">
        <f>107200000</f>
        <v>1.072E8</v>
      </c>
      <c r="M22" s="36" t="n">
        <f>107200000</f>
        <v>1.072E8</v>
      </c>
      <c r="N22" s="21" t="n">
        <f>212000000</f>
        <v>2.12E8</v>
      </c>
      <c r="O22" s="36" t="n">
        <f>212000000</f>
        <v>2.12E8</v>
      </c>
    </row>
    <row r="23" spans="1:15" ht="24.9" customHeight="1">
      <c r="A23" s="38"/>
      <c r="B23" s="62"/>
      <c r="C23" s="24" t="s">
        <v>18</v>
      </c>
      <c r="D23" s="25" t="n">
        <f>380</f>
        <v>380.0</v>
      </c>
      <c r="E23" s="37" t="n">
        <f>380</f>
        <v>380.0</v>
      </c>
      <c r="F23" s="25" t="n">
        <f>95</f>
        <v>95.0</v>
      </c>
      <c r="G23" s="37" t="n">
        <f>80</f>
        <v>80.0</v>
      </c>
      <c r="H23" s="25" t="n">
        <f>475</f>
        <v>475.0</v>
      </c>
      <c r="I23" s="37" t="n">
        <f>460</f>
        <v>460.0</v>
      </c>
      <c r="J23" s="25" t="n">
        <f>351300000</f>
        <v>3.513E8</v>
      </c>
      <c r="K23" s="37" t="n">
        <f>351300000</f>
        <v>3.513E8</v>
      </c>
      <c r="L23" s="25" t="n">
        <f>121300000</f>
        <v>1.213E8</v>
      </c>
      <c r="M23" s="37" t="n">
        <f>107200000</f>
        <v>1.072E8</v>
      </c>
      <c r="N23" s="25" t="n">
        <f>472600000</f>
        <v>4.726E8</v>
      </c>
      <c r="O23" s="37" t="n">
        <f>458500000</f>
        <v>4.585E8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5</f>
        <v>5.0</v>
      </c>
      <c r="E37" s="22" t="n">
        <f>0</f>
        <v>0.0</v>
      </c>
      <c r="F37" s="21" t="n">
        <f>6</f>
        <v>6.0</v>
      </c>
      <c r="G37" s="22" t="n">
        <f>0</f>
        <v>0.0</v>
      </c>
      <c r="H37" s="21" t="n">
        <f>11</f>
        <v>11.0</v>
      </c>
      <c r="I37" s="22" t="n">
        <f>0</f>
        <v>0.0</v>
      </c>
      <c r="J37" s="21" t="n">
        <f>1500000</f>
        <v>1500000.0</v>
      </c>
      <c r="K37" s="22" t="n">
        <f>0</f>
        <v>0.0</v>
      </c>
      <c r="L37" s="21" t="n">
        <f>420000</f>
        <v>420000.0</v>
      </c>
      <c r="M37" s="22" t="n">
        <f>0</f>
        <v>0.0</v>
      </c>
      <c r="N37" s="21" t="n">
        <f>1920000</f>
        <v>1920000.0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</f>
        <v>1.0</v>
      </c>
      <c r="E38" s="36" t="n">
        <f>0</f>
        <v>0.0</v>
      </c>
      <c r="F38" s="21" t="n">
        <f>63</f>
        <v>63.0</v>
      </c>
      <c r="G38" s="36" t="n">
        <f>0</f>
        <v>0.0</v>
      </c>
      <c r="H38" s="21" t="n">
        <f>64</f>
        <v>64.0</v>
      </c>
      <c r="I38" s="36" t="n">
        <f>0</f>
        <v>0.0</v>
      </c>
      <c r="J38" s="21" t="n">
        <f>100000</f>
        <v>100000.0</v>
      </c>
      <c r="K38" s="36" t="n">
        <f>0</f>
        <v>0.0</v>
      </c>
      <c r="L38" s="21" t="n">
        <f>1860000</f>
        <v>1860000.0</v>
      </c>
      <c r="M38" s="36" t="n">
        <f>0</f>
        <v>0.0</v>
      </c>
      <c r="N38" s="21" t="n">
        <f>1960000</f>
        <v>1960000.0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6</f>
        <v>6.0</v>
      </c>
      <c r="E39" s="37" t="n">
        <f>0</f>
        <v>0.0</v>
      </c>
      <c r="F39" s="25" t="n">
        <f>69</f>
        <v>69.0</v>
      </c>
      <c r="G39" s="37" t="n">
        <f>0</f>
        <v>0.0</v>
      </c>
      <c r="H39" s="25" t="n">
        <f>75</f>
        <v>75.0</v>
      </c>
      <c r="I39" s="37" t="n">
        <f>0</f>
        <v>0.0</v>
      </c>
      <c r="J39" s="25" t="n">
        <f>1600000</f>
        <v>1600000.0</v>
      </c>
      <c r="K39" s="37" t="n">
        <f>0</f>
        <v>0.0</v>
      </c>
      <c r="L39" s="25" t="n">
        <f>2280000</f>
        <v>2280000.0</v>
      </c>
      <c r="M39" s="37" t="n">
        <f>0</f>
        <v>0.0</v>
      </c>
      <c r="N39" s="25" t="n">
        <f>3880000</f>
        <v>3880000.0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4271</f>
        <v>4271.0</v>
      </c>
      <c r="E41" s="36" t="n">
        <f>2460</f>
        <v>2460.0</v>
      </c>
      <c r="F41" s="21" t="n">
        <f>7587</f>
        <v>7587.0</v>
      </c>
      <c r="G41" s="36" t="n">
        <f>0</f>
        <v>0.0</v>
      </c>
      <c r="H41" s="21" t="n">
        <f>11858</f>
        <v>11858.0</v>
      </c>
      <c r="I41" s="36" t="n">
        <f>2460</f>
        <v>2460.0</v>
      </c>
      <c r="J41" s="21" t="n">
        <f>92232255</f>
        <v>9.2232255E7</v>
      </c>
      <c r="K41" s="36" t="n">
        <f>15571860</f>
        <v>1.557186E7</v>
      </c>
      <c r="L41" s="21" t="n">
        <f>10062270</f>
        <v>1.006227E7</v>
      </c>
      <c r="M41" s="36" t="n">
        <f>0</f>
        <v>0.0</v>
      </c>
      <c r="N41" s="21" t="n">
        <f>102294525</f>
        <v>1.02294525E8</v>
      </c>
      <c r="O41" s="36" t="n">
        <f>15571860</f>
        <v>1.557186E7</v>
      </c>
    </row>
    <row r="42" spans="1:15" ht="24.9" customHeight="1">
      <c r="A42" s="38"/>
      <c r="B42" s="62"/>
      <c r="C42" s="20" t="s">
        <v>17</v>
      </c>
      <c r="D42" s="21" t="n">
        <f>6512</f>
        <v>6512.0</v>
      </c>
      <c r="E42" s="36" t="n">
        <f>0</f>
        <v>0.0</v>
      </c>
      <c r="F42" s="21" t="n">
        <f>2154</f>
        <v>2154.0</v>
      </c>
      <c r="G42" s="36" t="n">
        <f>650</f>
        <v>650.0</v>
      </c>
      <c r="H42" s="21" t="n">
        <f>8666</f>
        <v>8666.0</v>
      </c>
      <c r="I42" s="36" t="n">
        <f>650</f>
        <v>650.0</v>
      </c>
      <c r="J42" s="21" t="n">
        <f>98933056</f>
        <v>9.8933056E7</v>
      </c>
      <c r="K42" s="36" t="n">
        <f>0</f>
        <v>0.0</v>
      </c>
      <c r="L42" s="21" t="n">
        <f>23985733</f>
        <v>2.3985733E7</v>
      </c>
      <c r="M42" s="36" t="n">
        <f>13650000</f>
        <v>1.365E7</v>
      </c>
      <c r="N42" s="21" t="n">
        <f>122918789</f>
        <v>1.22918789E8</v>
      </c>
      <c r="O42" s="36" t="n">
        <f>13650000</f>
        <v>1.365E7</v>
      </c>
    </row>
    <row r="43" spans="1:15" ht="24.9" customHeight="1">
      <c r="A43" s="38"/>
      <c r="B43" s="62"/>
      <c r="C43" s="24" t="s">
        <v>18</v>
      </c>
      <c r="D43" s="25" t="n">
        <f>10783</f>
        <v>10783.0</v>
      </c>
      <c r="E43" s="37" t="n">
        <f>2460</f>
        <v>2460.0</v>
      </c>
      <c r="F43" s="25" t="n">
        <f>9741</f>
        <v>9741.0</v>
      </c>
      <c r="G43" s="37" t="n">
        <f>650</f>
        <v>650.0</v>
      </c>
      <c r="H43" s="25" t="n">
        <f>20524</f>
        <v>20524.0</v>
      </c>
      <c r="I43" s="37" t="n">
        <f>3110</f>
        <v>3110.0</v>
      </c>
      <c r="J43" s="25" t="n">
        <f>191165311</f>
        <v>1.91165311E8</v>
      </c>
      <c r="K43" s="37" t="n">
        <f>15571860</f>
        <v>1.557186E7</v>
      </c>
      <c r="L43" s="25" t="n">
        <f>34048003</f>
        <v>3.4048003E7</v>
      </c>
      <c r="M43" s="37" t="n">
        <f>13650000</f>
        <v>1.365E7</v>
      </c>
      <c r="N43" s="25" t="n">
        <f>225213314</f>
        <v>2.25213314E8</v>
      </c>
      <c r="O43" s="37" t="n">
        <f>29221860</f>
        <v>2.922186E7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