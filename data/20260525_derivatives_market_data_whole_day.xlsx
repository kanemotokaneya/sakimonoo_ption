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<sst xmlns="http://schemas.openxmlformats.org/spreadsheetml/2006/main" count="528" uniqueCount="129">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</sst>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DATE(2026,05,25)</f>
        <v>46167.0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DATE(2026,05,25)</f>
        <v>46167.0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695783.0</f>
        <v>695783.0</v>
      </c>
      <c r="E12" s="18" t="n">
        <f>37028.0</f>
        <v>37028.0</v>
      </c>
      <c r="F12" s="19" t="n">
        <f>1.0</f>
        <v>1.0</v>
      </c>
      <c r="G12" s="17" t="n">
        <f>4630185753501.0</f>
        <v>4.630185753501E12</v>
      </c>
      <c r="H12" s="18" t="n">
        <f>329978356601.0</f>
        <v>3.29978356601E11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497293.0</f>
        <v>497293.0</v>
      </c>
      <c r="E13" s="22" t="n">
        <f>26424.0</f>
        <v>26424.0</v>
      </c>
      <c r="F13" s="23" t="n">
        <f>1.0</f>
        <v>1.0</v>
      </c>
      <c r="G13" s="21" t="n">
        <f>5544977054970.0</f>
        <v>5.54497705497E12</v>
      </c>
      <c r="H13" s="22" t="n">
        <f>317083802970.0</f>
        <v>3.1708380297E11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401236.0</f>
        <v>401236.0</v>
      </c>
      <c r="E14" s="22" t="n">
        <f>31981.0</f>
        <v>31981.0</v>
      </c>
      <c r="F14" s="23" t="n">
        <f>1.0</f>
        <v>1.0</v>
      </c>
      <c r="G14" s="21" t="n">
        <f>5859482733308.0</f>
        <v>5.859482733308E12</v>
      </c>
      <c r="H14" s="22" t="n">
        <f>943638206783.0</f>
        <v>9.43638206783E11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1594312.0</f>
        <v>1594312.0</v>
      </c>
      <c r="E15" s="26" t="n">
        <f>95433.0</f>
        <v>95433.0</v>
      </c>
      <c r="F15" s="27" t="n">
        <f>1.0</f>
        <v>1.0</v>
      </c>
      <c r="G15" s="25" t="n">
        <f>16034645541779.0</f>
        <v>1.6034645541779E13</v>
      </c>
      <c r="H15" s="26" t="n">
        <f>1590700366354.0</f>
        <v>1.590700366354E12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13924.0</f>
        <v>13924.0</v>
      </c>
      <c r="E16" s="18" t="n">
        <f>395.0</f>
        <v>395.0</v>
      </c>
      <c r="F16" s="19" t="n">
        <f>0.02</f>
        <v>0.02</v>
      </c>
      <c r="G16" s="17" t="n">
        <f>1265744960000.0</f>
        <v>1.26574496E12</v>
      </c>
      <c r="H16" s="18" t="n">
        <f>50545290000.0</f>
        <v>5.054529E10</v>
      </c>
      <c r="I16" s="19" t="n">
        <f>0.273</f>
        <v>0.273</v>
      </c>
    </row>
    <row r="17" spans="1:9" ht="24.9" customHeight="1">
      <c r="A17" s="41"/>
      <c r="B17" s="39"/>
      <c r="C17" s="20" t="s">
        <v>16</v>
      </c>
      <c r="D17" s="21" t="n">
        <f>19850.0</f>
        <v>19850.0</v>
      </c>
      <c r="E17" s="22" t="n">
        <f>481.0</f>
        <v>481.0</v>
      </c>
      <c r="F17" s="23" t="n">
        <f>0.04</f>
        <v>0.04</v>
      </c>
      <c r="G17" s="21" t="n">
        <f>2432652388000.0</f>
        <v>2.432652388E12</v>
      </c>
      <c r="H17" s="22" t="n">
        <f>61681550000.0</f>
        <v>6.168155E10</v>
      </c>
      <c r="I17" s="23" t="n">
        <f>0.439</f>
        <v>0.439</v>
      </c>
    </row>
    <row r="18" spans="1:9" ht="24.9" customHeight="1">
      <c r="A18" s="41"/>
      <c r="B18" s="39"/>
      <c r="C18" s="20" t="s">
        <v>17</v>
      </c>
      <c r="D18" s="21" t="n">
        <f>20268.0</f>
        <v>20268.0</v>
      </c>
      <c r="E18" s="22" t="n">
        <f>993.0</f>
        <v>993.0</v>
      </c>
      <c r="F18" s="23" t="n">
        <f>0.051</f>
        <v>0.051</v>
      </c>
      <c r="G18" s="21" t="n">
        <f>2129417154125.0</f>
        <v>2.129417154125E12</v>
      </c>
      <c r="H18" s="22" t="n">
        <f>127485235000.0</f>
        <v>1.27485235E11</v>
      </c>
      <c r="I18" s="23" t="n">
        <f>0.363</f>
        <v>0.363</v>
      </c>
    </row>
    <row r="19" spans="1:9" ht="24.9" customHeight="1">
      <c r="A19" s="41"/>
      <c r="B19" s="39"/>
      <c r="C19" s="24" t="s">
        <v>18</v>
      </c>
      <c r="D19" s="25" t="n">
        <f>54042.0</f>
        <v>54042.0</v>
      </c>
      <c r="E19" s="26" t="n">
        <f>1869.0</f>
        <v>1869.0</v>
      </c>
      <c r="F19" s="27" t="n">
        <f>0.034</f>
        <v>0.034</v>
      </c>
      <c r="G19" s="25" t="n">
        <f>5827814502125.0</f>
        <v>5.827814502125E12</v>
      </c>
      <c r="H19" s="26" t="n">
        <f>239712075000.0</f>
        <v>2.39712075E11</v>
      </c>
      <c r="I19" s="27" t="n">
        <f>0.363</f>
        <v>0.363</v>
      </c>
    </row>
    <row r="20" spans="1:9" ht="24.9" customHeight="1">
      <c r="A20" s="41"/>
      <c r="B20" s="39" t="s">
        <v>21</v>
      </c>
      <c r="C20" s="16" t="s">
        <v>15</v>
      </c>
      <c r="D20" s="17" t="n">
        <f>668193.0</f>
        <v>668193.0</v>
      </c>
      <c r="E20" s="18" t="n">
        <f>36336.0</f>
        <v>36336.0</v>
      </c>
      <c r="F20" s="19" t="n">
        <f>0.96</f>
        <v>0.96</v>
      </c>
      <c r="G20" s="17" t="n">
        <f>3224415505351.0</f>
        <v>3.224415505351E12</v>
      </c>
      <c r="H20" s="18" t="n">
        <f>278800568601.0</f>
        <v>2.78800568601E11</v>
      </c>
      <c r="I20" s="19" t="n">
        <f>0.696</f>
        <v>0.696</v>
      </c>
    </row>
    <row r="21" spans="1:9" ht="24.9" customHeight="1">
      <c r="A21" s="41"/>
      <c r="B21" s="39"/>
      <c r="C21" s="20" t="s">
        <v>16</v>
      </c>
      <c r="D21" s="21" t="n">
        <f>469489.0</f>
        <v>469489.0</v>
      </c>
      <c r="E21" s="22" t="n">
        <f>25943.0</f>
        <v>25943.0</v>
      </c>
      <c r="F21" s="23" t="n">
        <f>0.944</f>
        <v>0.944</v>
      </c>
      <c r="G21" s="21" t="n">
        <f>3035614866720.0</f>
        <v>3.03561486672E12</v>
      </c>
      <c r="H21" s="22" t="n">
        <f>255402252970.0</f>
        <v>2.5540225297E11</v>
      </c>
      <c r="I21" s="23" t="n">
        <f>0.547</f>
        <v>0.547</v>
      </c>
    </row>
    <row r="22" spans="1:9" ht="24.9" customHeight="1">
      <c r="A22" s="41"/>
      <c r="B22" s="39"/>
      <c r="C22" s="20" t="s">
        <v>17</v>
      </c>
      <c r="D22" s="21" t="n">
        <f>372402.0</f>
        <v>372402.0</v>
      </c>
      <c r="E22" s="22" t="n">
        <f>30948.0</f>
        <v>30948.0</v>
      </c>
      <c r="F22" s="23" t="n">
        <f>0.928</f>
        <v>0.928</v>
      </c>
      <c r="G22" s="21" t="n">
        <f>3662509852753.0</f>
        <v>3.662509852753E12</v>
      </c>
      <c r="H22" s="22" t="n">
        <f>816051938103.0</f>
        <v>8.16051938103E11</v>
      </c>
      <c r="I22" s="23" t="n">
        <f>0.625</f>
        <v>0.625</v>
      </c>
    </row>
    <row r="23" spans="1:9" ht="24.9" customHeight="1">
      <c r="A23" s="41"/>
      <c r="B23" s="39"/>
      <c r="C23" s="24" t="s">
        <v>18</v>
      </c>
      <c r="D23" s="25" t="n">
        <f>1510084.0</f>
        <v>1510084.0</v>
      </c>
      <c r="E23" s="26" t="n">
        <f>93227.0</f>
        <v>93227.0</v>
      </c>
      <c r="F23" s="27" t="n">
        <f>0.947</f>
        <v>0.947</v>
      </c>
      <c r="G23" s="25" t="n">
        <f>9922540224824.0</f>
        <v>9.922540224824E12</v>
      </c>
      <c r="H23" s="26" t="n">
        <f>1350254759674.0</f>
        <v>1.350254759674E12</v>
      </c>
      <c r="I23" s="27" t="n">
        <f>0.619</f>
        <v>0.619</v>
      </c>
    </row>
    <row r="24" spans="1:9" ht="24.9" customHeight="1">
      <c r="A24" s="41"/>
      <c r="B24" s="39" t="s">
        <v>22</v>
      </c>
      <c r="C24" s="16" t="s">
        <v>15</v>
      </c>
      <c r="D24" s="17" t="n">
        <f>12946.0</f>
        <v>12946.0</v>
      </c>
      <c r="E24" s="18" t="n">
        <f>293.0</f>
        <v>293.0</v>
      </c>
      <c r="F24" s="19" t="n">
        <f>0.019</f>
        <v>0.019</v>
      </c>
      <c r="G24" s="17" t="n">
        <f>136909323650.0</f>
        <v>1.3690932365E11</v>
      </c>
      <c r="H24" s="18" t="n">
        <f>615300000.0</f>
        <v>6.153E8</v>
      </c>
      <c r="I24" s="19" t="n">
        <f>0.03</f>
        <v>0.03</v>
      </c>
    </row>
    <row r="25" spans="1:9" ht="24.9" customHeight="1">
      <c r="A25" s="41"/>
      <c r="B25" s="39"/>
      <c r="C25" s="20" t="s">
        <v>16</v>
      </c>
      <c r="D25" s="21" t="n">
        <f>7642.0</f>
        <v>7642.0</v>
      </c>
      <c r="E25" s="22" t="n">
        <f>0.0</f>
        <v>0.0</v>
      </c>
      <c r="F25" s="23" t="n">
        <f>0.015</f>
        <v>0.015</v>
      </c>
      <c r="G25" s="21" t="n">
        <f>75418516750.0</f>
        <v>7.541851675E10</v>
      </c>
      <c r="H25" s="22" t="n">
        <f>0.0</f>
        <v>0.0</v>
      </c>
      <c r="I25" s="23" t="n">
        <f>0.014</f>
        <v>0.014</v>
      </c>
    </row>
    <row r="26" spans="1:9" ht="24.9" customHeight="1">
      <c r="A26" s="41"/>
      <c r="B26" s="39"/>
      <c r="C26" s="20" t="s">
        <v>17</v>
      </c>
      <c r="D26" s="21" t="n">
        <f>5753.0</f>
        <v>5753.0</v>
      </c>
      <c r="E26" s="22" t="n">
        <f>3.0</f>
        <v>3.0</v>
      </c>
      <c r="F26" s="23" t="n">
        <f>0.014</f>
        <v>0.014</v>
      </c>
      <c r="G26" s="21" t="n">
        <f>56119899750.0</f>
        <v>5.611989975E10</v>
      </c>
      <c r="H26" s="22" t="n">
        <f>5910000.0</f>
        <v>5910000.0</v>
      </c>
      <c r="I26" s="23" t="n">
        <f>0.01</f>
        <v>0.01</v>
      </c>
    </row>
    <row r="27" spans="1:9" ht="24.9" customHeight="1">
      <c r="A27" s="42"/>
      <c r="B27" s="39"/>
      <c r="C27" s="24" t="s">
        <v>18</v>
      </c>
      <c r="D27" s="25" t="n">
        <f>26341.0</f>
        <v>26341.0</v>
      </c>
      <c r="E27" s="26" t="n">
        <f>296.0</f>
        <v>296.0</v>
      </c>
      <c r="F27" s="27" t="n">
        <f>0.017</f>
        <v>0.017</v>
      </c>
      <c r="G27" s="25" t="n">
        <f>268447740150.0</f>
        <v>2.6844774015E11</v>
      </c>
      <c r="H27" s="26" t="n">
        <f>621210000.0</f>
        <v>6.2121E8</v>
      </c>
      <c r="I27" s="27" t="n">
        <f>0.017</f>
        <v>0.017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720.0</f>
        <v>720.0</v>
      </c>
      <c r="E28" s="18" t="n">
        <f>4.0</f>
        <v>4.0</v>
      </c>
      <c r="F28" s="19" t="n">
        <f>0.001</f>
        <v>0.001</v>
      </c>
      <c r="G28" s="17" t="n">
        <f>3115964500.0</f>
        <v>3.1159645E9</v>
      </c>
      <c r="H28" s="18" t="n">
        <f>17198000.0</f>
        <v>1.7198E7</v>
      </c>
      <c r="I28" s="19" t="n">
        <f>0.001</f>
        <v>0.001</v>
      </c>
    </row>
    <row r="29" spans="1:9" ht="24.9" customHeight="1">
      <c r="A29" s="38"/>
      <c r="B29" s="39"/>
      <c r="C29" s="20" t="s">
        <v>16</v>
      </c>
      <c r="D29" s="21" t="n">
        <f>312.0</f>
        <v>312.0</v>
      </c>
      <c r="E29" s="22" t="n">
        <f>0.0</f>
        <v>0.0</v>
      </c>
      <c r="F29" s="23" t="n">
        <f>0.001</f>
        <v>0.001</v>
      </c>
      <c r="G29" s="21" t="n">
        <f>1291283500.0</f>
        <v>1.2912835E9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2813.0</f>
        <v>2813.0</v>
      </c>
      <c r="E30" s="22" t="n">
        <f>37.0</f>
        <v>37.0</v>
      </c>
      <c r="F30" s="23" t="n">
        <f>0.007</f>
        <v>0.007</v>
      </c>
      <c r="G30" s="21" t="n">
        <f>11435826680.0</f>
        <v>1.143582668E10</v>
      </c>
      <c r="H30" s="22" t="n">
        <f>95123680.0</f>
        <v>9.512368E7</v>
      </c>
      <c r="I30" s="23" t="n">
        <f>0.002</f>
        <v>0.002</v>
      </c>
    </row>
    <row r="31" spans="1:9" ht="24.9" customHeight="1">
      <c r="A31" s="38"/>
      <c r="B31" s="39"/>
      <c r="C31" s="24" t="s">
        <v>18</v>
      </c>
      <c r="D31" s="25" t="n">
        <f>3845.0</f>
        <v>3845.0</v>
      </c>
      <c r="E31" s="26" t="n">
        <f>41.0</f>
        <v>41.0</v>
      </c>
      <c r="F31" s="27" t="n">
        <f>0.002</f>
        <v>0.002</v>
      </c>
      <c r="G31" s="25" t="n">
        <f>15843074680.0</f>
        <v>1.584307468E10</v>
      </c>
      <c r="H31" s="26" t="n">
        <f>112321680.0</f>
        <v>1.1232168E8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46167.0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46167.0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19444</f>
        <v>19444.0</v>
      </c>
      <c r="E11" s="18" t="n">
        <f>2714</f>
        <v>2714.0</v>
      </c>
      <c r="F11" s="19" t="n">
        <f>1</f>
        <v>1.0</v>
      </c>
      <c r="G11" s="17" t="n">
        <f>4014067080</f>
        <v>4.01406708E9</v>
      </c>
      <c r="H11" s="18" t="n">
        <f>2155524880</f>
        <v>2.15552488E9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48716</f>
        <v>48716.0</v>
      </c>
      <c r="E12" s="22" t="n">
        <f>8752</f>
        <v>8752.0</v>
      </c>
      <c r="F12" s="23" t="n">
        <f>1</f>
        <v>1.0</v>
      </c>
      <c r="G12" s="21" t="n">
        <f>12440474075</f>
        <v>1.2440474075E10</v>
      </c>
      <c r="H12" s="22" t="n">
        <f>6537091530</f>
        <v>6.53709153E9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53542</f>
        <v>53542.0</v>
      </c>
      <c r="E13" s="22" t="n">
        <f>25455</f>
        <v>25455.0</v>
      </c>
      <c r="F13" s="23" t="n">
        <f>1</f>
        <v>1.0</v>
      </c>
      <c r="G13" s="21" t="n">
        <f>25472851440</f>
        <v>2.547285144E10</v>
      </c>
      <c r="H13" s="22" t="n">
        <f>21023590860</f>
        <v>2.102359086E10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121702</f>
        <v>121702.0</v>
      </c>
      <c r="E14" s="26" t="n">
        <f>36921</f>
        <v>36921.0</v>
      </c>
      <c r="F14" s="27" t="n">
        <f>1</f>
        <v>1.0</v>
      </c>
      <c r="G14" s="25" t="n">
        <f>41927392595</f>
        <v>4.1927392595E10</v>
      </c>
      <c r="H14" s="26" t="n">
        <f>29716207270</f>
        <v>2.971620727E10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89</f>
        <v>89.0</v>
      </c>
      <c r="E16" s="22" t="n">
        <f>0</f>
        <v>0.0</v>
      </c>
      <c r="F16" s="23" t="n">
        <f>0.002</f>
        <v>0.002</v>
      </c>
      <c r="G16" s="21" t="n">
        <f>10240000</f>
        <v>1.024E7</v>
      </c>
      <c r="H16" s="22" t="n">
        <f>0</f>
        <v>0.0</v>
      </c>
      <c r="I16" s="23" t="n">
        <f>0.001</f>
        <v>0.001</v>
      </c>
    </row>
    <row r="17" spans="1:9" ht="24.9" customHeight="1">
      <c r="A17" s="41"/>
      <c r="B17" s="39"/>
      <c r="C17" s="20" t="s">
        <v>17</v>
      </c>
      <c r="D17" s="21" t="n">
        <f>368</f>
        <v>368.0</v>
      </c>
      <c r="E17" s="22" t="n">
        <f>300</f>
        <v>300.0</v>
      </c>
      <c r="F17" s="23" t="n">
        <f>0.007</f>
        <v>0.007</v>
      </c>
      <c r="G17" s="21" t="n">
        <f>68620000</f>
        <v>6.862E7</v>
      </c>
      <c r="H17" s="22" t="n">
        <f>61500000</f>
        <v>6.15E7</v>
      </c>
      <c r="I17" s="23" t="n">
        <f>0.003</f>
        <v>0.003</v>
      </c>
    </row>
    <row r="18" spans="1:9" ht="24.9" customHeight="1">
      <c r="A18" s="41"/>
      <c r="B18" s="39"/>
      <c r="C18" s="24" t="s">
        <v>18</v>
      </c>
      <c r="D18" s="25" t="n">
        <f>457</f>
        <v>457.0</v>
      </c>
      <c r="E18" s="26" t="n">
        <f>300</f>
        <v>300.0</v>
      </c>
      <c r="F18" s="27" t="n">
        <f>0.004</f>
        <v>0.004</v>
      </c>
      <c r="G18" s="25" t="n">
        <f>78860000</f>
        <v>7.886E7</v>
      </c>
      <c r="H18" s="26" t="n">
        <f>61500000</f>
        <v>6.15E7</v>
      </c>
      <c r="I18" s="27" t="n">
        <f>0.002</f>
        <v>0.002</v>
      </c>
    </row>
    <row r="19" spans="1:9" ht="24.9" customHeight="1">
      <c r="A19" s="41"/>
      <c r="B19" s="39" t="s">
        <v>31</v>
      </c>
      <c r="C19" s="16" t="s">
        <v>15</v>
      </c>
      <c r="D19" s="17" t="n">
        <f>19444</f>
        <v>19444.0</v>
      </c>
      <c r="E19" s="18" t="n">
        <f>2714</f>
        <v>2714.0</v>
      </c>
      <c r="F19" s="19" t="n">
        <f>1</f>
        <v>1.0</v>
      </c>
      <c r="G19" s="17" t="n">
        <f>4014067080</f>
        <v>4.01406708E9</v>
      </c>
      <c r="H19" s="18" t="n">
        <f>2155524880</f>
        <v>2.15552488E9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39920</f>
        <v>39920.0</v>
      </c>
      <c r="E20" s="22" t="n">
        <f>8752</f>
        <v>8752.0</v>
      </c>
      <c r="F20" s="23" t="n">
        <f>0.819</f>
        <v>0.819</v>
      </c>
      <c r="G20" s="21" t="n">
        <f>12334613330</f>
        <v>1.233461333E10</v>
      </c>
      <c r="H20" s="22" t="n">
        <f>6537091530</f>
        <v>6.53709153E9</v>
      </c>
      <c r="I20" s="23" t="n">
        <f>0.991</f>
        <v>0.991</v>
      </c>
    </row>
    <row r="21" spans="1:9" ht="24.9" customHeight="1">
      <c r="A21" s="41"/>
      <c r="B21" s="39"/>
      <c r="C21" s="20" t="s">
        <v>17</v>
      </c>
      <c r="D21" s="21" t="n">
        <f>46726</f>
        <v>46726.0</v>
      </c>
      <c r="E21" s="22" t="n">
        <f>23075</f>
        <v>23075.0</v>
      </c>
      <c r="F21" s="23" t="n">
        <f>0.873</f>
        <v>0.873</v>
      </c>
      <c r="G21" s="21" t="n">
        <f>25039779660</f>
        <v>2.503977966E10</v>
      </c>
      <c r="H21" s="22" t="n">
        <f>20622765860</f>
        <v>2.062276586E10</v>
      </c>
      <c r="I21" s="23" t="n">
        <f>0.983</f>
        <v>0.983</v>
      </c>
    </row>
    <row r="22" spans="1:9" ht="24.9" customHeight="1">
      <c r="A22" s="41"/>
      <c r="B22" s="39"/>
      <c r="C22" s="24" t="s">
        <v>18</v>
      </c>
      <c r="D22" s="25" t="n">
        <f>106090</f>
        <v>106090.0</v>
      </c>
      <c r="E22" s="26" t="n">
        <f>34541</f>
        <v>34541.0</v>
      </c>
      <c r="F22" s="27" t="n">
        <f>0.872</f>
        <v>0.872</v>
      </c>
      <c r="G22" s="25" t="n">
        <f>41388460070</f>
        <v>4.138846007E10</v>
      </c>
      <c r="H22" s="26" t="n">
        <f>29315382270</f>
        <v>2.931538227E10</v>
      </c>
      <c r="I22" s="27" t="n">
        <f>0.987</f>
        <v>0.987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8707</f>
        <v>8707.0</v>
      </c>
      <c r="E24" s="22" t="n">
        <f>0</f>
        <v>0.0</v>
      </c>
      <c r="F24" s="23" t="n">
        <f>0.179</f>
        <v>0.179</v>
      </c>
      <c r="G24" s="21" t="n">
        <f>95620745</f>
        <v>9.5620745E7</v>
      </c>
      <c r="H24" s="22" t="n">
        <f>0</f>
        <v>0.0</v>
      </c>
      <c r="I24" s="23" t="n">
        <f>0.008</f>
        <v>0.008</v>
      </c>
    </row>
    <row r="25" spans="1:9" ht="24.9" customHeight="1">
      <c r="A25" s="41"/>
      <c r="B25" s="39"/>
      <c r="C25" s="20" t="s">
        <v>17</v>
      </c>
      <c r="D25" s="21" t="n">
        <f>6448</f>
        <v>6448.0</v>
      </c>
      <c r="E25" s="22" t="n">
        <f>2080</f>
        <v>2080.0</v>
      </c>
      <c r="F25" s="23" t="n">
        <f>0.12</f>
        <v>0.12</v>
      </c>
      <c r="G25" s="21" t="n">
        <f>364451780</f>
        <v>3.6445178E8</v>
      </c>
      <c r="H25" s="22" t="n">
        <f>339325000</f>
        <v>3.39325E8</v>
      </c>
      <c r="I25" s="23" t="n">
        <f>0.014</f>
        <v>0.014</v>
      </c>
    </row>
    <row r="26" spans="1:9" ht="24.9" customHeight="1">
      <c r="A26" s="41"/>
      <c r="B26" s="39"/>
      <c r="C26" s="24" t="s">
        <v>18</v>
      </c>
      <c r="D26" s="25" t="n">
        <f>15155</f>
        <v>15155.0</v>
      </c>
      <c r="E26" s="26" t="n">
        <f>2080</f>
        <v>2080.0</v>
      </c>
      <c r="F26" s="27" t="n">
        <f>0.125</f>
        <v>0.125</v>
      </c>
      <c r="G26" s="25" t="n">
        <f>460072525</f>
        <v>4.60072525E8</v>
      </c>
      <c r="H26" s="26" t="n">
        <f>339325000</f>
        <v>3.39325E8</v>
      </c>
      <c r="I26" s="27" t="n">
        <f>0.011</f>
        <v>0.011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46167.0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46167.0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11834.0</v>
      </c>
      <c r="F12" s="18" t="n">
        <f>731</f>
        <v>731.0</v>
      </c>
      <c r="G12" s="17" t="n">
        <v>7.49379367399E11</v>
      </c>
      <c r="H12" s="18" t="n">
        <f>46258562399</f>
        <v>4.6258562399E10</v>
      </c>
    </row>
    <row r="13" spans="1:8" ht="24.9" customHeight="1">
      <c r="A13" s="51"/>
      <c r="B13" s="57"/>
      <c r="C13" s="39"/>
      <c r="D13" s="20" t="s">
        <v>16</v>
      </c>
      <c r="E13" s="21" t="n">
        <v>13075.0</v>
      </c>
      <c r="F13" s="22" t="n">
        <f>1412</f>
        <v>1412.0</v>
      </c>
      <c r="G13" s="21" t="n">
        <v>8.468845982E11</v>
      </c>
      <c r="H13" s="22" t="n">
        <f>91715677200</f>
        <v>9.17156772E10</v>
      </c>
    </row>
    <row r="14" spans="1:8" ht="24.9" customHeight="1">
      <c r="A14" s="51"/>
      <c r="B14" s="57"/>
      <c r="C14" s="39"/>
      <c r="D14" s="20" t="s">
        <v>17</v>
      </c>
      <c r="E14" s="21" t="n">
        <v>20641.0</v>
      </c>
      <c r="F14" s="22" t="n">
        <f>7272</f>
        <v>7272.0</v>
      </c>
      <c r="G14" s="21" t="n">
        <v>1.346727036139E12</v>
      </c>
      <c r="H14" s="22" t="n">
        <f>474033137139</f>
        <v>4.74033137139E11</v>
      </c>
    </row>
    <row r="15" spans="1:8" ht="24.9" customHeight="1">
      <c r="A15" s="51"/>
      <c r="B15" s="57"/>
      <c r="C15" s="39"/>
      <c r="D15" s="24" t="s">
        <v>18</v>
      </c>
      <c r="E15" s="25" t="n">
        <v>45550.0</v>
      </c>
      <c r="F15" s="26" t="n">
        <f>9415</f>
        <v>9415.0</v>
      </c>
      <c r="G15" s="25" t="n">
        <v>2.942991001738E12</v>
      </c>
      <c r="H15" s="26" t="n">
        <f>612007376738</f>
        <v>6.12007376738E11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261021.0</v>
      </c>
      <c r="F16" s="18" t="n">
        <f>34503</f>
        <v>34503.0</v>
      </c>
      <c r="G16" s="17" t="n">
        <v>1.652665352142E12</v>
      </c>
      <c r="H16" s="18" t="n">
        <f>218314984642</f>
        <v>2.18314984642E11</v>
      </c>
    </row>
    <row r="17" spans="1:8" ht="24.9" customHeight="1">
      <c r="A17" s="51"/>
      <c r="B17" s="57"/>
      <c r="C17" s="39"/>
      <c r="D17" s="20" t="s">
        <v>16</v>
      </c>
      <c r="E17" s="21" t="n">
        <v>195784.0</v>
      </c>
      <c r="F17" s="22" t="n">
        <f>24062</f>
        <v>24062.0</v>
      </c>
      <c r="G17" s="21" t="n">
        <v>1.26832648698E12</v>
      </c>
      <c r="H17" s="22" t="n">
        <f>155965908980</f>
        <v>1.5596590898E11</v>
      </c>
    </row>
    <row r="18" spans="1:8" ht="24.9" customHeight="1">
      <c r="A18" s="51"/>
      <c r="B18" s="57"/>
      <c r="C18" s="39"/>
      <c r="D18" s="20" t="s">
        <v>17</v>
      </c>
      <c r="E18" s="21" t="n">
        <v>147255.0</v>
      </c>
      <c r="F18" s="22" t="n">
        <f>17372</f>
        <v>17372.0</v>
      </c>
      <c r="G18" s="21" t="n">
        <v>9.6103675178E11</v>
      </c>
      <c r="H18" s="22" t="n">
        <f>113357347280</f>
        <v>1.1335734728E11</v>
      </c>
    </row>
    <row r="19" spans="1:8" ht="24.9" customHeight="1">
      <c r="A19" s="51"/>
      <c r="B19" s="57"/>
      <c r="C19" s="39"/>
      <c r="D19" s="24" t="s">
        <v>18</v>
      </c>
      <c r="E19" s="25" t="n">
        <v>604060.0</v>
      </c>
      <c r="F19" s="26" t="n">
        <f>75937</f>
        <v>75937.0</v>
      </c>
      <c r="G19" s="25" t="n">
        <v>3.882028590902E12</v>
      </c>
      <c r="H19" s="26" t="n">
        <f>487638240902</f>
        <v>4.87638240902E11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370795.0</v>
      </c>
      <c r="F20" s="18" t="str">
        <f>"－"</f>
        <v>－</v>
      </c>
      <c r="G20" s="17" t="n">
        <v>2.34753427E11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230693.0</v>
      </c>
      <c r="F21" s="22" t="str">
        <f>"－"</f>
        <v>－</v>
      </c>
      <c r="G21" s="21" t="n">
        <v>1.4957728865E11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164162.0</v>
      </c>
      <c r="F22" s="22" t="str">
        <f>"－"</f>
        <v>－</v>
      </c>
      <c r="G22" s="21" t="n">
        <v>1.0714672305E11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765650.0</v>
      </c>
      <c r="F23" s="26" t="str">
        <f>"－"</f>
        <v>－</v>
      </c>
      <c r="G23" s="25" t="n">
        <v>4.914774387E11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14320.0</v>
      </c>
      <c r="F24" s="18" t="n">
        <f>294</f>
        <v>294.0</v>
      </c>
      <c r="G24" s="17" t="n">
        <v>5.5611253E11</v>
      </c>
      <c r="H24" s="18" t="n">
        <f>11445925000</f>
        <v>1.1445925E10</v>
      </c>
    </row>
    <row r="25" spans="1:8" ht="24.9" customHeight="1">
      <c r="A25" s="51"/>
      <c r="B25" s="57"/>
      <c r="C25" s="39"/>
      <c r="D25" s="20" t="s">
        <v>16</v>
      </c>
      <c r="E25" s="21" t="n">
        <v>18597.0</v>
      </c>
      <c r="F25" s="22" t="n">
        <f>169</f>
        <v>169.0</v>
      </c>
      <c r="G25" s="21" t="n">
        <v>7.320040447E11</v>
      </c>
      <c r="H25" s="22" t="n">
        <f>6630391700</f>
        <v>6.6303917E9</v>
      </c>
    </row>
    <row r="26" spans="1:8" ht="24.9" customHeight="1">
      <c r="A26" s="51"/>
      <c r="B26" s="57"/>
      <c r="C26" s="39"/>
      <c r="D26" s="20" t="s">
        <v>17</v>
      </c>
      <c r="E26" s="21" t="n">
        <v>30804.0</v>
      </c>
      <c r="F26" s="22" t="n">
        <f>5758</f>
        <v>5758.0</v>
      </c>
      <c r="G26" s="21" t="n">
        <v>1.213707004802E12</v>
      </c>
      <c r="H26" s="22" t="n">
        <f>227095099802</f>
        <v>2.27095099802E11</v>
      </c>
    </row>
    <row r="27" spans="1:8" ht="24.9" customHeight="1">
      <c r="A27" s="51"/>
      <c r="B27" s="57"/>
      <c r="C27" s="39"/>
      <c r="D27" s="24" t="s">
        <v>18</v>
      </c>
      <c r="E27" s="25" t="n">
        <v>63721.0</v>
      </c>
      <c r="F27" s="26" t="n">
        <f>6221</f>
        <v>6221.0</v>
      </c>
      <c r="G27" s="25" t="n">
        <v>2.501823579502E12</v>
      </c>
      <c r="H27" s="26" t="n">
        <f>245171416502</f>
        <v>2.45171416502E11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5927.0</v>
      </c>
      <c r="F28" s="18" t="n">
        <f>568</f>
        <v>568.0</v>
      </c>
      <c r="G28" s="17" t="n">
        <v>2.30111888E10</v>
      </c>
      <c r="H28" s="18" t="n">
        <f>2205214050</f>
        <v>2.20521405E9</v>
      </c>
    </row>
    <row r="29" spans="1:8" ht="24.9" customHeight="1">
      <c r="A29" s="51"/>
      <c r="B29" s="57"/>
      <c r="C29" s="39"/>
      <c r="D29" s="20" t="s">
        <v>16</v>
      </c>
      <c r="E29" s="21" t="n">
        <v>8381.0</v>
      </c>
      <c r="F29" s="22" t="n">
        <f>259</f>
        <v>259.0</v>
      </c>
      <c r="G29" s="21" t="n">
        <v>3.29769576E10</v>
      </c>
      <c r="H29" s="22" t="n">
        <f>1017836600</f>
        <v>1.0178366E9</v>
      </c>
    </row>
    <row r="30" spans="1:8" ht="24.9" customHeight="1">
      <c r="A30" s="51"/>
      <c r="B30" s="57"/>
      <c r="C30" s="39"/>
      <c r="D30" s="20" t="s">
        <v>17</v>
      </c>
      <c r="E30" s="21" t="n">
        <v>7445.0</v>
      </c>
      <c r="F30" s="22" t="n">
        <f>282</f>
        <v>282.0</v>
      </c>
      <c r="G30" s="21" t="n">
        <v>2.933182885E10</v>
      </c>
      <c r="H30" s="22" t="n">
        <f>1111281850</f>
        <v>1.11128185E9</v>
      </c>
    </row>
    <row r="31" spans="1:8" ht="24.9" customHeight="1">
      <c r="A31" s="51"/>
      <c r="B31" s="57"/>
      <c r="C31" s="39"/>
      <c r="D31" s="24" t="s">
        <v>18</v>
      </c>
      <c r="E31" s="25" t="n">
        <v>21753.0</v>
      </c>
      <c r="F31" s="26" t="n">
        <f>1109</f>
        <v>1109.0</v>
      </c>
      <c r="G31" s="25" t="n">
        <v>8.531997525E10</v>
      </c>
      <c r="H31" s="26" t="n">
        <f>4334332500</f>
        <v>4.3343325E9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402.0</v>
      </c>
      <c r="F36" s="18" t="n">
        <f>1</f>
        <v>1.0</v>
      </c>
      <c r="G36" s="17" t="n">
        <v>1.416062E9</v>
      </c>
      <c r="H36" s="18" t="n">
        <f>3510000</f>
        <v>3510000.0</v>
      </c>
    </row>
    <row r="37" spans="1:8" ht="24.9" customHeight="1">
      <c r="A37" s="51"/>
      <c r="B37" s="57"/>
      <c r="C37" s="39"/>
      <c r="D37" s="20" t="s">
        <v>16</v>
      </c>
      <c r="E37" s="21" t="n">
        <v>1117.0</v>
      </c>
      <c r="F37" s="22" t="n">
        <f>0</f>
        <v>0.0</v>
      </c>
      <c r="G37" s="21" t="n">
        <v>3.980875E9</v>
      </c>
      <c r="H37" s="22" t="n">
        <f>0</f>
        <v>0.0</v>
      </c>
    </row>
    <row r="38" spans="1:8" ht="24.9" customHeight="1">
      <c r="A38" s="51"/>
      <c r="B38" s="57"/>
      <c r="C38" s="39"/>
      <c r="D38" s="20" t="s">
        <v>17</v>
      </c>
      <c r="E38" s="21" t="n">
        <v>832.0</v>
      </c>
      <c r="F38" s="22" t="n">
        <f>2</f>
        <v>2.0</v>
      </c>
      <c r="G38" s="21" t="n">
        <v>2.976359E9</v>
      </c>
      <c r="H38" s="22" t="n">
        <f>7158000</f>
        <v>7158000.0</v>
      </c>
    </row>
    <row r="39" spans="1:8" ht="24.9" customHeight="1">
      <c r="A39" s="51"/>
      <c r="B39" s="57"/>
      <c r="C39" s="39"/>
      <c r="D39" s="24" t="s">
        <v>18</v>
      </c>
      <c r="E39" s="25" t="n">
        <v>2351.0</v>
      </c>
      <c r="F39" s="26" t="n">
        <f>3</f>
        <v>3.0</v>
      </c>
      <c r="G39" s="25" t="n">
        <v>8.373296E9</v>
      </c>
      <c r="H39" s="26" t="n">
        <f>10668000</f>
        <v>1.0668E7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12.0</v>
      </c>
      <c r="F44" s="18" t="n">
        <f>12</f>
        <v>12.0</v>
      </c>
      <c r="G44" s="17" t="n">
        <v>7.8528E7</v>
      </c>
      <c r="H44" s="18" t="n">
        <f>78528000</f>
        <v>7.8528E7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4.0</v>
      </c>
      <c r="F46" s="22" t="n">
        <f>4</f>
        <v>4.0</v>
      </c>
      <c r="G46" s="21" t="n">
        <v>2.6048732E7</v>
      </c>
      <c r="H46" s="22" t="n">
        <f>26048732</f>
        <v>2.6048732E7</v>
      </c>
    </row>
    <row r="47" spans="1:8" ht="24.9" customHeight="1">
      <c r="A47" s="51"/>
      <c r="B47" s="57"/>
      <c r="C47" s="39"/>
      <c r="D47" s="24" t="s">
        <v>18</v>
      </c>
      <c r="E47" s="25" t="n">
        <v>16.0</v>
      </c>
      <c r="F47" s="26" t="n">
        <f>16</f>
        <v>16.0</v>
      </c>
      <c r="G47" s="25" t="n">
        <v>1.04576732E8</v>
      </c>
      <c r="H47" s="26" t="n">
        <f>104576732</f>
        <v>1.04576732E8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193.0</v>
      </c>
      <c r="F48" s="18" t="n">
        <f>193</f>
        <v>193.0</v>
      </c>
      <c r="G48" s="17" t="n">
        <v>3.4697592E8</v>
      </c>
      <c r="H48" s="18" t="n">
        <f>346975920</f>
        <v>3.4697592E8</v>
      </c>
    </row>
    <row r="49" spans="1:8" ht="24.9" customHeight="1">
      <c r="A49" s="51"/>
      <c r="B49" s="57"/>
      <c r="C49" s="39"/>
      <c r="D49" s="20" t="s">
        <v>16</v>
      </c>
      <c r="E49" s="21" t="n">
        <v>74.0</v>
      </c>
      <c r="F49" s="22" t="n">
        <f>0</f>
        <v>0.0</v>
      </c>
      <c r="G49" s="21" t="n">
        <v>1.330825E8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278.0</v>
      </c>
      <c r="F50" s="22" t="n">
        <f>201</f>
        <v>201.0</v>
      </c>
      <c r="G50" s="21" t="n">
        <v>4.9967031E8</v>
      </c>
      <c r="H50" s="22" t="n">
        <f>361291310</f>
        <v>3.6129131E8</v>
      </c>
    </row>
    <row r="51" spans="1:8" ht="24.9" customHeight="1">
      <c r="A51" s="51"/>
      <c r="B51" s="57"/>
      <c r="C51" s="39"/>
      <c r="D51" s="24" t="s">
        <v>18</v>
      </c>
      <c r="E51" s="25" t="n">
        <v>545.0</v>
      </c>
      <c r="F51" s="26" t="n">
        <f>394</f>
        <v>394.0</v>
      </c>
      <c r="G51" s="25" t="n">
        <v>9.7972873E8</v>
      </c>
      <c r="H51" s="26" t="n">
        <f>708267230</f>
        <v>7.0826723E8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1150.0</v>
      </c>
      <c r="F56" s="18" t="n">
        <f>6</f>
        <v>6.0</v>
      </c>
      <c r="G56" s="17" t="n">
        <v>9.440032E8</v>
      </c>
      <c r="H56" s="18" t="n">
        <f>4927200</f>
        <v>4927200.0</v>
      </c>
    </row>
    <row r="57" spans="1:8" ht="24.9" customHeight="1">
      <c r="A57" s="51"/>
      <c r="B57" s="57"/>
      <c r="C57" s="39"/>
      <c r="D57" s="20" t="s">
        <v>16</v>
      </c>
      <c r="E57" s="21" t="n">
        <v>1612.0</v>
      </c>
      <c r="F57" s="22" t="n">
        <f>32</f>
        <v>32.0</v>
      </c>
      <c r="G57" s="21" t="n">
        <v>1.3389169E9</v>
      </c>
      <c r="H57" s="22" t="n">
        <f>26578900</f>
        <v>2.65789E7</v>
      </c>
    </row>
    <row r="58" spans="1:8" ht="24.9" customHeight="1">
      <c r="A58" s="51"/>
      <c r="B58" s="57"/>
      <c r="C58" s="39"/>
      <c r="D58" s="20" t="s">
        <v>17</v>
      </c>
      <c r="E58" s="21" t="n">
        <v>862.0</v>
      </c>
      <c r="F58" s="22" t="n">
        <f>54</f>
        <v>54.0</v>
      </c>
      <c r="G58" s="21" t="n">
        <v>7.1777939E8</v>
      </c>
      <c r="H58" s="22" t="n">
        <f>45262390</f>
        <v>4.526239E7</v>
      </c>
    </row>
    <row r="59" spans="1:8" ht="24.9" customHeight="1">
      <c r="A59" s="51"/>
      <c r="B59" s="57"/>
      <c r="C59" s="39"/>
      <c r="D59" s="24" t="s">
        <v>18</v>
      </c>
      <c r="E59" s="25" t="n">
        <v>3624.0</v>
      </c>
      <c r="F59" s="26" t="n">
        <f>92</f>
        <v>92.0</v>
      </c>
      <c r="G59" s="25" t="n">
        <v>3.00069949E9</v>
      </c>
      <c r="H59" s="26" t="n">
        <f>76768490</f>
        <v>7.676849E7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191.0</v>
      </c>
      <c r="F60" s="18" t="n">
        <f>28</f>
        <v>28.0</v>
      </c>
      <c r="G60" s="17" t="n">
        <v>9.6842079E8</v>
      </c>
      <c r="H60" s="18" t="n">
        <f>141941390</f>
        <v>1.4194139E8</v>
      </c>
    </row>
    <row r="61" spans="1:8" ht="24.9" customHeight="1">
      <c r="A61" s="51"/>
      <c r="B61" s="57"/>
      <c r="C61" s="39"/>
      <c r="D61" s="20" t="s">
        <v>16</v>
      </c>
      <c r="E61" s="21" t="n">
        <v>43.0</v>
      </c>
      <c r="F61" s="22" t="n">
        <f>9</f>
        <v>9.0</v>
      </c>
      <c r="G61" s="21" t="n">
        <v>2.1905229E8</v>
      </c>
      <c r="H61" s="22" t="n">
        <f>45859590</f>
        <v>4.585959E7</v>
      </c>
    </row>
    <row r="62" spans="1:8" ht="24.9" customHeight="1">
      <c r="A62" s="51"/>
      <c r="B62" s="57"/>
      <c r="C62" s="39"/>
      <c r="D62" s="20" t="s">
        <v>17</v>
      </c>
      <c r="E62" s="21" t="n">
        <v>42.0</v>
      </c>
      <c r="F62" s="22" t="n">
        <f>3</f>
        <v>3.0</v>
      </c>
      <c r="G62" s="21" t="n">
        <v>2.146284E8</v>
      </c>
      <c r="H62" s="22" t="n">
        <f>15311600</f>
        <v>1.53116E7</v>
      </c>
    </row>
    <row r="63" spans="1:8" ht="24.9" customHeight="1">
      <c r="A63" s="51"/>
      <c r="B63" s="57"/>
      <c r="C63" s="39"/>
      <c r="D63" s="24" t="s">
        <v>18</v>
      </c>
      <c r="E63" s="25" t="n">
        <v>276.0</v>
      </c>
      <c r="F63" s="26" t="n">
        <f>40</f>
        <v>40.0</v>
      </c>
      <c r="G63" s="25" t="n">
        <v>1.40210148E9</v>
      </c>
      <c r="H63" s="26" t="n">
        <f>203112580</f>
        <v>2.0311258E8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15.0</v>
      </c>
      <c r="F74" s="22" t="n">
        <f>0</f>
        <v>0.0</v>
      </c>
      <c r="G74" s="21" t="n">
        <v>1.682E7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15.0</v>
      </c>
      <c r="F75" s="26" t="n">
        <f>0</f>
        <v>0.0</v>
      </c>
      <c r="G75" s="25" t="n">
        <v>1.682E7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32.0</v>
      </c>
      <c r="F77" s="22" t="n">
        <f>0</f>
        <v>0.0</v>
      </c>
      <c r="G77" s="21" t="n">
        <v>1.09135E7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3.0</v>
      </c>
      <c r="F78" s="22" t="n">
        <f>0</f>
        <v>0.0</v>
      </c>
      <c r="G78" s="21" t="n">
        <v>1028500.0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35.0</v>
      </c>
      <c r="F79" s="26" t="n">
        <f>0</f>
        <v>0.0</v>
      </c>
      <c r="G79" s="25" t="n">
        <v>1.1942E7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240.0</v>
      </c>
      <c r="F92" s="18" t="n">
        <f>0</f>
        <v>0.0</v>
      </c>
      <c r="G92" s="17" t="n">
        <v>3.811696E8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3.0</v>
      </c>
      <c r="F93" s="22" t="n">
        <f>0</f>
        <v>0.0</v>
      </c>
      <c r="G93" s="21" t="n">
        <v>4757500.0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7.0</v>
      </c>
      <c r="F94" s="22" t="n">
        <f>0</f>
        <v>0.0</v>
      </c>
      <c r="G94" s="21" t="n">
        <v>1.1104E7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250.0</v>
      </c>
      <c r="F95" s="26" t="n">
        <f>0</f>
        <v>0.0</v>
      </c>
      <c r="G95" s="25" t="n">
        <v>3.970311E8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947.0</v>
      </c>
      <c r="F96" s="18" t="n">
        <f>0</f>
        <v>0.0</v>
      </c>
      <c r="G96" s="17" t="n">
        <v>2.2165758E9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28.0</v>
      </c>
      <c r="F97" s="22" t="n">
        <f>0</f>
        <v>0.0</v>
      </c>
      <c r="G97" s="21" t="n">
        <v>6.55129E7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2.0</v>
      </c>
      <c r="F98" s="22" t="n">
        <f>0</f>
        <v>0.0</v>
      </c>
      <c r="G98" s="21" t="n">
        <v>4684800.0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977.0</v>
      </c>
      <c r="F99" s="26" t="n">
        <f>0</f>
        <v>0.0</v>
      </c>
      <c r="G99" s="25" t="n">
        <v>2.2867735E9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1161.0</v>
      </c>
      <c r="F100" s="18" t="n">
        <f>0</f>
        <v>0.0</v>
      </c>
      <c r="G100" s="17" t="n">
        <v>2.1419047E9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50.0</v>
      </c>
      <c r="F101" s="22" t="n">
        <f>0</f>
        <v>0.0</v>
      </c>
      <c r="G101" s="21" t="n">
        <v>9.238E7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50.0</v>
      </c>
      <c r="F102" s="22" t="n">
        <f>0</f>
        <v>0.0</v>
      </c>
      <c r="G102" s="21" t="n">
        <v>9.2385E7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1261.0</v>
      </c>
      <c r="F103" s="26" t="n">
        <f>0</f>
        <v>0.0</v>
      </c>
      <c r="G103" s="25" t="n">
        <v>2.3266697E9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8922.0</v>
      </c>
      <c r="F108" s="18" t="n">
        <f>395</f>
        <v>395.0</v>
      </c>
      <c r="G108" s="17" t="n">
        <v>1.14219074E12</v>
      </c>
      <c r="H108" s="18" t="n">
        <f>50545290000</f>
        <v>5.054529E10</v>
      </c>
    </row>
    <row r="109" spans="1:8" ht="24.9" customHeight="1">
      <c r="A109" s="51"/>
      <c r="B109" s="57"/>
      <c r="C109" s="39"/>
      <c r="D109" s="20" t="s">
        <v>16</v>
      </c>
      <c r="E109" s="21" t="n">
        <v>18865.0</v>
      </c>
      <c r="F109" s="22" t="n">
        <f>481</f>
        <v>481.0</v>
      </c>
      <c r="G109" s="21" t="n">
        <v>2.4152418E12</v>
      </c>
      <c r="H109" s="22" t="n">
        <f>61681550000</f>
        <v>6.168155E10</v>
      </c>
    </row>
    <row r="110" spans="1:8" ht="24.9" customHeight="1">
      <c r="A110" s="51"/>
      <c r="B110" s="57"/>
      <c r="C110" s="39"/>
      <c r="D110" s="20" t="s">
        <v>17</v>
      </c>
      <c r="E110" s="21" t="n">
        <v>15832.0</v>
      </c>
      <c r="F110" s="22" t="n">
        <f>993</f>
        <v>993.0</v>
      </c>
      <c r="G110" s="21" t="n">
        <v>2.033215825E12</v>
      </c>
      <c r="H110" s="22" t="n">
        <f>127485235000</f>
        <v>1.27485235E11</v>
      </c>
    </row>
    <row r="111" spans="1:8" ht="24.9" customHeight="1">
      <c r="A111" s="51"/>
      <c r="B111" s="57"/>
      <c r="C111" s="39"/>
      <c r="D111" s="24" t="s">
        <v>18</v>
      </c>
      <c r="E111" s="25" t="n">
        <v>43619.0</v>
      </c>
      <c r="F111" s="26" t="n">
        <f>1869</f>
        <v>1869.0</v>
      </c>
      <c r="G111" s="25" t="n">
        <v>5.590648365E12</v>
      </c>
      <c r="H111" s="26" t="n">
        <f>239712075000</f>
        <v>2.39712075E11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585.0</v>
      </c>
      <c r="F113" s="22" t="n">
        <f>0</f>
        <v>0.0</v>
      </c>
      <c r="G113" s="21" t="n">
        <v>7.499213E9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730.0</v>
      </c>
      <c r="F114" s="22" t="n">
        <f>0</f>
        <v>0.0</v>
      </c>
      <c r="G114" s="21" t="n">
        <v>9.375941E9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1315.0</v>
      </c>
      <c r="F115" s="26" t="n">
        <f>0</f>
        <v>0.0</v>
      </c>
      <c r="G115" s="25" t="n">
        <v>1.6875154E10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310.0</v>
      </c>
      <c r="F118" s="22" t="n">
        <f>0</f>
        <v>0.0</v>
      </c>
      <c r="G118" s="21" t="n">
        <v>2.8515E9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310.0</v>
      </c>
      <c r="F119" s="26" t="n">
        <f>0</f>
        <v>0.0</v>
      </c>
      <c r="G119" s="25" t="n">
        <v>2.8515E9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5002.0</v>
      </c>
      <c r="F120" s="18" t="n">
        <f>0</f>
        <v>0.0</v>
      </c>
      <c r="G120" s="17" t="n">
        <v>1.2355422E11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400.0</v>
      </c>
      <c r="F121" s="22" t="n">
        <f>0</f>
        <v>0.0</v>
      </c>
      <c r="G121" s="21" t="n">
        <v>9.911375E9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3396.0</v>
      </c>
      <c r="F122" s="22" t="n">
        <f>0</f>
        <v>0.0</v>
      </c>
      <c r="G122" s="21" t="n">
        <v>8.3973888125E10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8798.0</v>
      </c>
      <c r="F123" s="26" t="n">
        <f>0</f>
        <v>0.0</v>
      </c>
      <c r="G123" s="25" t="n">
        <v>2.17439483125E11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4930.0</v>
      </c>
      <c r="F124" s="18" t="n">
        <f>0</f>
        <v>0.0</v>
      </c>
      <c r="G124" s="17" t="n">
        <v>1.17345684E11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2590.0</v>
      </c>
      <c r="F125" s="22" t="n">
        <f>0</f>
        <v>0.0</v>
      </c>
      <c r="G125" s="21" t="n">
        <v>6.222997E10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2036.0</v>
      </c>
      <c r="F126" s="22" t="n">
        <f>0</f>
        <v>0.0</v>
      </c>
      <c r="G126" s="21" t="n">
        <v>4.8752797E10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9556.0</v>
      </c>
      <c r="F127" s="26" t="n">
        <f>0</f>
        <v>0.0</v>
      </c>
      <c r="G127" s="25" t="n">
        <v>2.28328451E11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66.0</v>
      </c>
      <c r="F128" s="18" t="n">
        <f>0</f>
        <v>0.0</v>
      </c>
      <c r="G128" s="17" t="n">
        <v>1.5706E8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62.0</v>
      </c>
      <c r="F129" s="22" t="n">
        <f>0</f>
        <v>0.0</v>
      </c>
      <c r="G129" s="21" t="n">
        <v>1.491097E8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25.0</v>
      </c>
      <c r="F130" s="22" t="n">
        <f>0</f>
        <v>0.0</v>
      </c>
      <c r="G130" s="21" t="n">
        <v>5.99363E7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153.0</v>
      </c>
      <c r="F131" s="26" t="n">
        <f>0</f>
        <v>0.0</v>
      </c>
      <c r="G131" s="25" t="n">
        <v>3.66106E8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3745.0</v>
      </c>
      <c r="F132" s="18" t="n">
        <f>0</f>
        <v>0.0</v>
      </c>
      <c r="G132" s="17" t="n">
        <v>8.93226795E9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2295.0</v>
      </c>
      <c r="F133" s="22" t="n">
        <f>0</f>
        <v>0.0</v>
      </c>
      <c r="G133" s="21" t="n">
        <v>5.5302607E9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1161.0</v>
      </c>
      <c r="F134" s="22" t="n">
        <f>0</f>
        <v>0.0</v>
      </c>
      <c r="G134" s="21" t="n">
        <v>2.7871421E9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7201.0</v>
      </c>
      <c r="F135" s="26" t="n">
        <f>0</f>
        <v>0.0</v>
      </c>
      <c r="G135" s="25" t="n">
        <v>1.724967075E10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63.0</v>
      </c>
      <c r="F136" s="18" t="n">
        <f>0</f>
        <v>0.0</v>
      </c>
      <c r="G136" s="17" t="n">
        <v>1.488059E8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48.0</v>
      </c>
      <c r="F137" s="22" t="n">
        <f>0</f>
        <v>0.0</v>
      </c>
      <c r="G137" s="21" t="n">
        <v>1.144763E8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66.0</v>
      </c>
      <c r="F138" s="22" t="n">
        <f>0</f>
        <v>0.0</v>
      </c>
      <c r="G138" s="21" t="n">
        <v>1.571888E8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177.0</v>
      </c>
      <c r="F139" s="26" t="n">
        <f>0</f>
        <v>0.0</v>
      </c>
      <c r="G139" s="25" t="n">
        <v>4.20471E8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1499.0</v>
      </c>
      <c r="F144" s="18" t="n">
        <f>0</f>
        <v>0.0</v>
      </c>
      <c r="G144" s="17" t="n">
        <v>7.3183055E9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1169.0</v>
      </c>
      <c r="F145" s="22" t="n">
        <f>0</f>
        <v>0.0</v>
      </c>
      <c r="G145" s="21" t="n">
        <v>5.801228E9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419.0</v>
      </c>
      <c r="F146" s="22" t="n">
        <f>0</f>
        <v>0.0</v>
      </c>
      <c r="G146" s="21" t="n">
        <v>2.0748895E9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3087.0</v>
      </c>
      <c r="F147" s="26" t="n">
        <f>0</f>
        <v>0.0</v>
      </c>
      <c r="G147" s="25" t="n">
        <v>1.5194423E10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552.0</v>
      </c>
      <c r="F148" s="18" t="n">
        <f>0</f>
        <v>0.0</v>
      </c>
      <c r="G148" s="17" t="n">
        <v>5.466558E8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216.0</v>
      </c>
      <c r="F149" s="22" t="n">
        <f>0</f>
        <v>0.0</v>
      </c>
      <c r="G149" s="21" t="n">
        <v>2.17671E8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47.0</v>
      </c>
      <c r="F150" s="22" t="n">
        <f>0</f>
        <v>0.0</v>
      </c>
      <c r="G150" s="21" t="n">
        <v>4.72666E7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815.0</v>
      </c>
      <c r="F151" s="26" t="n">
        <f>0</f>
        <v>0.0</v>
      </c>
      <c r="G151" s="25" t="n">
        <v>8.115934E8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249.0</v>
      </c>
      <c r="F152" s="18" t="n">
        <f>0</f>
        <v>0.0</v>
      </c>
      <c r="G152" s="17" t="n">
        <v>2.438928E8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181.0</v>
      </c>
      <c r="F153" s="22" t="n">
        <f>0</f>
        <v>0.0</v>
      </c>
      <c r="G153" s="21" t="n">
        <v>1.7969355E8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65.0</v>
      </c>
      <c r="F154" s="22" t="n">
        <f>0</f>
        <v>0.0</v>
      </c>
      <c r="G154" s="21" t="n">
        <v>6.447005E7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495.0</v>
      </c>
      <c r="F155" s="26" t="n">
        <f>0</f>
        <v>0.0</v>
      </c>
      <c r="G155" s="25" t="n">
        <v>4.880564E8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1468.0</v>
      </c>
      <c r="F156" s="18" t="n">
        <f>0</f>
        <v>0.0</v>
      </c>
      <c r="G156" s="17" t="n">
        <v>1.4378097E9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967.0</v>
      </c>
      <c r="F157" s="22" t="n">
        <f>0</f>
        <v>0.0</v>
      </c>
      <c r="G157" s="21" t="n">
        <v>9.66145E8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1693.0</v>
      </c>
      <c r="F158" s="22" t="n">
        <f>0</f>
        <v>0.0</v>
      </c>
      <c r="G158" s="21" t="n">
        <v>1.6890489E9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4128.0</v>
      </c>
      <c r="F159" s="26" t="n">
        <f>0</f>
        <v>0.0</v>
      </c>
      <c r="G159" s="25" t="n">
        <v>4.0930036E9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372.0</v>
      </c>
      <c r="F168" s="18" t="n">
        <f>293</f>
        <v>293.0</v>
      </c>
      <c r="G168" s="17" t="n">
        <v>7.75341E8</v>
      </c>
      <c r="H168" s="18" t="n">
        <f>615300000</f>
        <v>6.153E8</v>
      </c>
    </row>
    <row r="169" spans="1:8" ht="24.9" customHeight="1">
      <c r="A169" s="51"/>
      <c r="B169" s="57"/>
      <c r="C169" s="39"/>
      <c r="D169" s="20" t="s">
        <v>16</v>
      </c>
      <c r="E169" s="21" t="n">
        <v>114.0</v>
      </c>
      <c r="F169" s="22" t="n">
        <f>0</f>
        <v>0.0</v>
      </c>
      <c r="G169" s="21" t="n">
        <v>2.299625E8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233.0</v>
      </c>
      <c r="F170" s="22" t="n">
        <f>3</f>
        <v>3.0</v>
      </c>
      <c r="G170" s="21" t="n">
        <v>4.730805E8</v>
      </c>
      <c r="H170" s="22" t="n">
        <f>5910000</f>
        <v>5910000.0</v>
      </c>
    </row>
    <row r="171" spans="1:8" ht="24.9" customHeight="1">
      <c r="A171" s="51"/>
      <c r="B171" s="57"/>
      <c r="C171" s="39"/>
      <c r="D171" s="24" t="s">
        <v>18</v>
      </c>
      <c r="E171" s="25" t="n">
        <v>719.0</v>
      </c>
      <c r="F171" s="26" t="n">
        <f>296</f>
        <v>296.0</v>
      </c>
      <c r="G171" s="25" t="n">
        <v>1.478384E9</v>
      </c>
      <c r="H171" s="26" t="n">
        <f>621210000</f>
        <v>6.2121E8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2.0</v>
      </c>
      <c r="F176" s="18" t="n">
        <f>0</f>
        <v>0.0</v>
      </c>
      <c r="G176" s="17" t="n">
        <v>3501000.0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8.0</v>
      </c>
      <c r="F178" s="22" t="n">
        <f>0</f>
        <v>0.0</v>
      </c>
      <c r="G178" s="21" t="n">
        <v>1.408E7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10.0</v>
      </c>
      <c r="F179" s="26" t="n">
        <f>0</f>
        <v>0.0</v>
      </c>
      <c r="G179" s="25" t="n">
        <v>1.7581E7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720.0</v>
      </c>
      <c r="F204" s="18" t="n">
        <f>4</f>
        <v>4.0</v>
      </c>
      <c r="G204" s="17" t="n">
        <v>3.1159645E9</v>
      </c>
      <c r="H204" s="18" t="n">
        <f>17198000</f>
        <v>1.7198E7</v>
      </c>
    </row>
    <row r="205" spans="1:8" ht="24.9" customHeight="1">
      <c r="A205" s="57"/>
      <c r="B205" s="59"/>
      <c r="C205" s="39"/>
      <c r="D205" s="20" t="s">
        <v>16</v>
      </c>
      <c r="E205" s="21" t="n">
        <v>312.0</v>
      </c>
      <c r="F205" s="22" t="n">
        <f>0</f>
        <v>0.0</v>
      </c>
      <c r="G205" s="21" t="n">
        <v>1.2912835E9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2749.0</v>
      </c>
      <c r="F206" s="22" t="n">
        <f>0</f>
        <v>0.0</v>
      </c>
      <c r="G206" s="21" t="n">
        <v>1.1314534E10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3781.0</v>
      </c>
      <c r="F207" s="26" t="n">
        <f>4</f>
        <v>4.0</v>
      </c>
      <c r="G207" s="25" t="n">
        <v>1.5721782E10</v>
      </c>
      <c r="H207" s="26" t="n">
        <f>17198000</f>
        <v>1.7198E7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12.0</v>
      </c>
      <c r="F222" s="22" t="n">
        <f>12</f>
        <v>12.0</v>
      </c>
      <c r="G222" s="21" t="n">
        <v>9106080.0</v>
      </c>
      <c r="H222" s="22" t="n">
        <f>9106080</f>
        <v>9106080.0</v>
      </c>
    </row>
    <row r="223" spans="1:8" ht="24.9" customHeight="1">
      <c r="A223" s="57"/>
      <c r="B223" s="59"/>
      <c r="C223" s="39"/>
      <c r="D223" s="24" t="s">
        <v>18</v>
      </c>
      <c r="E223" s="25" t="n">
        <v>12.0</v>
      </c>
      <c r="F223" s="26" t="n">
        <f>12</f>
        <v>12.0</v>
      </c>
      <c r="G223" s="25" t="n">
        <v>9106080.0</v>
      </c>
      <c r="H223" s="26" t="n">
        <f>9106080</f>
        <v>9106080.0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5.0</v>
      </c>
      <c r="F250" s="22" t="n">
        <f>5</f>
        <v>5.0</v>
      </c>
      <c r="G250" s="21" t="n">
        <v>6.71976E7</v>
      </c>
      <c r="H250" s="22" t="n">
        <f>67197600</f>
        <v>6.71976E7</v>
      </c>
    </row>
    <row r="251" spans="1:8" ht="24.9" customHeight="1">
      <c r="A251" s="57"/>
      <c r="B251" s="59"/>
      <c r="C251" s="39"/>
      <c r="D251" s="24" t="s">
        <v>18</v>
      </c>
      <c r="E251" s="25" t="n">
        <v>5.0</v>
      </c>
      <c r="F251" s="26" t="n">
        <f>5</f>
        <v>5.0</v>
      </c>
      <c r="G251" s="25" t="n">
        <v>6.71976E7</v>
      </c>
      <c r="H251" s="26" t="n">
        <f>67197600</f>
        <v>6.71976E7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40.0</v>
      </c>
      <c r="F278" s="22" t="n">
        <f>20</f>
        <v>20.0</v>
      </c>
      <c r="G278" s="21" t="n">
        <v>3.7639E7</v>
      </c>
      <c r="H278" s="22" t="n">
        <f>18820000</f>
        <v>1.882E7</v>
      </c>
    </row>
    <row r="279" spans="1:8" ht="24.9" customHeight="1">
      <c r="A279" s="57"/>
      <c r="B279" s="59"/>
      <c r="C279" s="39"/>
      <c r="D279" s="24" t="s">
        <v>18</v>
      </c>
      <c r="E279" s="25" t="n">
        <v>40.0</v>
      </c>
      <c r="F279" s="26" t="n">
        <f>20</f>
        <v>20.0</v>
      </c>
      <c r="G279" s="25" t="n">
        <v>3.7639E7</v>
      </c>
      <c r="H279" s="26" t="n">
        <f>18820000</f>
        <v>1.882E7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7.0</v>
      </c>
      <c r="F282" s="22" t="n">
        <f>0</f>
        <v>0.0</v>
      </c>
      <c r="G282" s="21" t="n">
        <v>7350000.0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7.0</v>
      </c>
      <c r="F283" s="26" t="n">
        <f>0</f>
        <v>0.0</v>
      </c>
      <c r="G283" s="25" t="n">
        <v>7350000.0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46167.0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46167.0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2428</f>
        <v>2428.0</v>
      </c>
      <c r="E12" s="35" t="n">
        <f>939</f>
        <v>939.0</v>
      </c>
      <c r="F12" s="17" t="n">
        <f>2889</f>
        <v>2889.0</v>
      </c>
      <c r="G12" s="35" t="n">
        <f>765</f>
        <v>765.0</v>
      </c>
      <c r="H12" s="17" t="n">
        <f>5317</f>
        <v>5317.0</v>
      </c>
      <c r="I12" s="35" t="n">
        <f>1704</f>
        <v>1704.0</v>
      </c>
      <c r="J12" s="17" t="n">
        <f>1447244110</f>
        <v>1.44724411E9</v>
      </c>
      <c r="K12" s="35" t="n">
        <f>856049110</f>
        <v>8.5604911E8</v>
      </c>
      <c r="L12" s="17" t="n">
        <f>1946780730</f>
        <v>1.94678073E9</v>
      </c>
      <c r="M12" s="35" t="n">
        <f>1284879730</f>
        <v>1.28487973E9</v>
      </c>
      <c r="N12" s="17" t="n">
        <f>3394024840</f>
        <v>3.39402484E9</v>
      </c>
      <c r="O12" s="35" t="n">
        <f>2140928840</f>
        <v>2.14092884E9</v>
      </c>
    </row>
    <row r="13" spans="1:15" ht="24.9" customHeight="1">
      <c r="A13" s="38"/>
      <c r="B13" s="62"/>
      <c r="C13" s="20" t="s">
        <v>16</v>
      </c>
      <c r="D13" s="21" t="n">
        <f>7168</f>
        <v>7168.0</v>
      </c>
      <c r="E13" s="36" t="n">
        <f>2894</f>
        <v>2894.0</v>
      </c>
      <c r="F13" s="21" t="n">
        <f>9340</f>
        <v>9340.0</v>
      </c>
      <c r="G13" s="36" t="n">
        <f>3488</f>
        <v>3488.0</v>
      </c>
      <c r="H13" s="21" t="n">
        <f>16508</f>
        <v>16508.0</v>
      </c>
      <c r="I13" s="36" t="n">
        <f>6382</f>
        <v>6382.0</v>
      </c>
      <c r="J13" s="21" t="n">
        <f>3191417870</f>
        <v>3.19141787E9</v>
      </c>
      <c r="K13" s="36" t="n">
        <f>1385632870</f>
        <v>1.38563287E9</v>
      </c>
      <c r="L13" s="21" t="n">
        <f>8146642360</f>
        <v>8.14664236E9</v>
      </c>
      <c r="M13" s="36" t="n">
        <f>5109284360</f>
        <v>5.10928436E9</v>
      </c>
      <c r="N13" s="21" t="n">
        <f>11338060230</f>
        <v>1.133806023E10</v>
      </c>
      <c r="O13" s="36" t="n">
        <f>6494917230</f>
        <v>6.49491723E9</v>
      </c>
    </row>
    <row r="14" spans="1:15" ht="24.9" customHeight="1">
      <c r="A14" s="38"/>
      <c r="B14" s="62"/>
      <c r="C14" s="20" t="s">
        <v>17</v>
      </c>
      <c r="D14" s="21" t="n">
        <f>19450</f>
        <v>19450.0</v>
      </c>
      <c r="E14" s="36" t="n">
        <f>14137</f>
        <v>14137.0</v>
      </c>
      <c r="F14" s="21" t="n">
        <f>7758</f>
        <v>7758.0</v>
      </c>
      <c r="G14" s="36" t="n">
        <f>4278</f>
        <v>4278.0</v>
      </c>
      <c r="H14" s="21" t="n">
        <f>27208</f>
        <v>27208.0</v>
      </c>
      <c r="I14" s="36" t="n">
        <f>18415</f>
        <v>18415.0</v>
      </c>
      <c r="J14" s="21" t="n">
        <f>14134223120</f>
        <v>1.413422312E10</v>
      </c>
      <c r="K14" s="36" t="n">
        <f>12111186120</f>
        <v>1.211118612E10</v>
      </c>
      <c r="L14" s="21" t="n">
        <f>8773895040</f>
        <v>8.77389504E9</v>
      </c>
      <c r="M14" s="36" t="n">
        <f>7036834040</f>
        <v>7.03683404E9</v>
      </c>
      <c r="N14" s="21" t="n">
        <f>22908118160</f>
        <v>2.290811816E10</v>
      </c>
      <c r="O14" s="36" t="n">
        <f>19148020160</f>
        <v>1.914802016E10</v>
      </c>
    </row>
    <row r="15" spans="1:15" ht="24.9" customHeight="1">
      <c r="A15" s="38"/>
      <c r="B15" s="62"/>
      <c r="C15" s="24" t="s">
        <v>18</v>
      </c>
      <c r="D15" s="25" t="n">
        <f>29046</f>
        <v>29046.0</v>
      </c>
      <c r="E15" s="37" t="n">
        <f>17970</f>
        <v>17970.0</v>
      </c>
      <c r="F15" s="25" t="n">
        <f>19987</f>
        <v>19987.0</v>
      </c>
      <c r="G15" s="37" t="n">
        <f>8531</f>
        <v>8531.0</v>
      </c>
      <c r="H15" s="25" t="n">
        <f>49033</f>
        <v>49033.0</v>
      </c>
      <c r="I15" s="37" t="n">
        <f>26501</f>
        <v>26501.0</v>
      </c>
      <c r="J15" s="25" t="n">
        <f>18772885100</f>
        <v>1.87728851E10</v>
      </c>
      <c r="K15" s="37" t="n">
        <f>14352868100</f>
        <v>1.43528681E10</v>
      </c>
      <c r="L15" s="25" t="n">
        <f>18867318130</f>
        <v>1.886731813E10</v>
      </c>
      <c r="M15" s="37" t="n">
        <f>13430998130</f>
        <v>1.343099813E10</v>
      </c>
      <c r="N15" s="25" t="n">
        <f>37640203230</f>
        <v>3.764020323E10</v>
      </c>
      <c r="O15" s="37" t="n">
        <f>27783866230</f>
        <v>2.778386623E10</v>
      </c>
    </row>
    <row r="16" spans="1:15" ht="24.9" customHeight="1">
      <c r="A16" s="38"/>
      <c r="B16" s="61" t="s">
        <v>105</v>
      </c>
      <c r="C16" s="16" t="s">
        <v>15</v>
      </c>
      <c r="D16" s="17" t="n">
        <f>8350</f>
        <v>8350.0</v>
      </c>
      <c r="E16" s="35" t="n">
        <f>810</f>
        <v>810.0</v>
      </c>
      <c r="F16" s="17" t="n">
        <f>5777</f>
        <v>5777.0</v>
      </c>
      <c r="G16" s="35" t="n">
        <f>200</f>
        <v>200.0</v>
      </c>
      <c r="H16" s="17" t="n">
        <f>14127</f>
        <v>14127.0</v>
      </c>
      <c r="I16" s="35" t="n">
        <f>1010</f>
        <v>1010.0</v>
      </c>
      <c r="J16" s="17" t="n">
        <f>295471610</f>
        <v>2.9547161E8</v>
      </c>
      <c r="K16" s="35" t="n">
        <f>8898710</f>
        <v>8898710.0</v>
      </c>
      <c r="L16" s="17" t="n">
        <f>324570630</f>
        <v>3.2457063E8</v>
      </c>
      <c r="M16" s="35" t="n">
        <f>5697330</f>
        <v>5697330.0</v>
      </c>
      <c r="N16" s="17" t="n">
        <f>620042240</f>
        <v>6.2004224E8</v>
      </c>
      <c r="O16" s="35" t="n">
        <f>14596040</f>
        <v>1.459604E7</v>
      </c>
    </row>
    <row r="17" spans="1:15" ht="24.9" customHeight="1">
      <c r="A17" s="38"/>
      <c r="B17" s="62"/>
      <c r="C17" s="20" t="s">
        <v>16</v>
      </c>
      <c r="D17" s="21" t="n">
        <f>16203</f>
        <v>16203.0</v>
      </c>
      <c r="E17" s="36" t="n">
        <f>1690</f>
        <v>1690.0</v>
      </c>
      <c r="F17" s="21" t="n">
        <f>7209</f>
        <v>7209.0</v>
      </c>
      <c r="G17" s="36" t="n">
        <f>680</f>
        <v>680.0</v>
      </c>
      <c r="H17" s="21" t="n">
        <f>23412</f>
        <v>23412.0</v>
      </c>
      <c r="I17" s="36" t="n">
        <f>2370</f>
        <v>2370.0</v>
      </c>
      <c r="J17" s="21" t="n">
        <f>354830990</f>
        <v>3.5483099E8</v>
      </c>
      <c r="K17" s="36" t="n">
        <f>9081290</f>
        <v>9081290.0</v>
      </c>
      <c r="L17" s="21" t="n">
        <f>641722110</f>
        <v>6.4172211E8</v>
      </c>
      <c r="M17" s="36" t="n">
        <f>33093010</f>
        <v>3.309301E7</v>
      </c>
      <c r="N17" s="21" t="n">
        <f>996553100</f>
        <v>9.965531E8</v>
      </c>
      <c r="O17" s="36" t="n">
        <f>42174300</f>
        <v>4.21743E7</v>
      </c>
    </row>
    <row r="18" spans="1:15" ht="24.9" customHeight="1">
      <c r="A18" s="38"/>
      <c r="B18" s="62"/>
      <c r="C18" s="20" t="s">
        <v>17</v>
      </c>
      <c r="D18" s="21" t="n">
        <f>12544</f>
        <v>12544.0</v>
      </c>
      <c r="E18" s="36" t="n">
        <f>1370</f>
        <v>1370.0</v>
      </c>
      <c r="F18" s="21" t="n">
        <f>4174</f>
        <v>4174.0</v>
      </c>
      <c r="G18" s="36" t="n">
        <f>600</f>
        <v>600.0</v>
      </c>
      <c r="H18" s="21" t="n">
        <f>16718</f>
        <v>16718.0</v>
      </c>
      <c r="I18" s="36" t="n">
        <f>1970</f>
        <v>1970.0</v>
      </c>
      <c r="J18" s="21" t="n">
        <f>290326200</f>
        <v>2.903262E8</v>
      </c>
      <c r="K18" s="36" t="n">
        <f>11853600</f>
        <v>1.18536E7</v>
      </c>
      <c r="L18" s="21" t="n">
        <f>373551800</f>
        <v>3.735518E8</v>
      </c>
      <c r="M18" s="36" t="n">
        <f>28658600</f>
        <v>2.86586E7</v>
      </c>
      <c r="N18" s="21" t="n">
        <f>663878000</f>
        <v>6.63878E8</v>
      </c>
      <c r="O18" s="36" t="n">
        <f>40512200</f>
        <v>4.05122E7</v>
      </c>
    </row>
    <row r="19" spans="1:15" ht="24.9" customHeight="1">
      <c r="A19" s="38"/>
      <c r="B19" s="62"/>
      <c r="C19" s="24" t="s">
        <v>18</v>
      </c>
      <c r="D19" s="25" t="n">
        <f>37097</f>
        <v>37097.0</v>
      </c>
      <c r="E19" s="37" t="n">
        <f>3870</f>
        <v>3870.0</v>
      </c>
      <c r="F19" s="25" t="n">
        <f>17160</f>
        <v>17160.0</v>
      </c>
      <c r="G19" s="37" t="n">
        <f>1480</f>
        <v>1480.0</v>
      </c>
      <c r="H19" s="25" t="n">
        <f>54257</f>
        <v>54257.0</v>
      </c>
      <c r="I19" s="37" t="n">
        <f>5350</f>
        <v>5350.0</v>
      </c>
      <c r="J19" s="25" t="n">
        <f>940628800</f>
        <v>9.406288E8</v>
      </c>
      <c r="K19" s="37" t="n">
        <f>29833600</f>
        <v>2.98336E7</v>
      </c>
      <c r="L19" s="25" t="n">
        <f>1339844540</f>
        <v>1.33984454E9</v>
      </c>
      <c r="M19" s="37" t="n">
        <f>67448940</f>
        <v>6.744894E7</v>
      </c>
      <c r="N19" s="25" t="n">
        <f>2280473340</f>
        <v>2.28047334E9</v>
      </c>
      <c r="O19" s="37" t="n">
        <f>97282540</f>
        <v>9.728254E7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0</f>
        <v>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0</f>
        <v>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2590</f>
        <v>2590.0</v>
      </c>
      <c r="E22" s="36" t="n">
        <f>2590</f>
        <v>2590.0</v>
      </c>
      <c r="F22" s="21" t="n">
        <f>210</f>
        <v>210.0</v>
      </c>
      <c r="G22" s="36" t="n">
        <f>100</f>
        <v>100.0</v>
      </c>
      <c r="H22" s="21" t="n">
        <f>2800</f>
        <v>2800.0</v>
      </c>
      <c r="I22" s="36" t="n">
        <f>2690</f>
        <v>2690.0</v>
      </c>
      <c r="J22" s="21" t="n">
        <f>1217233500</f>
        <v>1.2172335E9</v>
      </c>
      <c r="K22" s="36" t="n">
        <f>1217233500</f>
        <v>1.2172335E9</v>
      </c>
      <c r="L22" s="21" t="n">
        <f>250550000</f>
        <v>2.5055E8</v>
      </c>
      <c r="M22" s="36" t="n">
        <f>217000000</f>
        <v>2.17E8</v>
      </c>
      <c r="N22" s="21" t="n">
        <f>1467783500</f>
        <v>1.4677835E9</v>
      </c>
      <c r="O22" s="36" t="n">
        <f>1434233500</f>
        <v>1.4342335E9</v>
      </c>
    </row>
    <row r="23" spans="1:15" ht="24.9" customHeight="1">
      <c r="A23" s="38"/>
      <c r="B23" s="62"/>
      <c r="C23" s="24" t="s">
        <v>18</v>
      </c>
      <c r="D23" s="25" t="n">
        <f>2590</f>
        <v>2590.0</v>
      </c>
      <c r="E23" s="37" t="n">
        <f>2590</f>
        <v>2590.0</v>
      </c>
      <c r="F23" s="25" t="n">
        <f>210</f>
        <v>210.0</v>
      </c>
      <c r="G23" s="37" t="n">
        <f>100</f>
        <v>100.0</v>
      </c>
      <c r="H23" s="25" t="n">
        <f>2800</f>
        <v>2800.0</v>
      </c>
      <c r="I23" s="37" t="n">
        <f>2690</f>
        <v>2690.0</v>
      </c>
      <c r="J23" s="25" t="n">
        <f>1217233500</f>
        <v>1.2172335E9</v>
      </c>
      <c r="K23" s="37" t="n">
        <f>1217233500</f>
        <v>1.2172335E9</v>
      </c>
      <c r="L23" s="25" t="n">
        <f>250550000</f>
        <v>2.5055E8</v>
      </c>
      <c r="M23" s="37" t="n">
        <f>217000000</f>
        <v>2.17E8</v>
      </c>
      <c r="N23" s="25" t="n">
        <f>1467783500</f>
        <v>1.4677835E9</v>
      </c>
      <c r="O23" s="37" t="n">
        <f>1434233500</f>
        <v>1.4342335E9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25</f>
        <v>25.0</v>
      </c>
      <c r="E37" s="22" t="n">
        <f>0</f>
        <v>0.0</v>
      </c>
      <c r="F37" s="21" t="n">
        <f>64</f>
        <v>64.0</v>
      </c>
      <c r="G37" s="22" t="n">
        <f>0</f>
        <v>0.0</v>
      </c>
      <c r="H37" s="21" t="n">
        <f>89</f>
        <v>89.0</v>
      </c>
      <c r="I37" s="22" t="n">
        <f>0</f>
        <v>0.0</v>
      </c>
      <c r="J37" s="21" t="n">
        <f>3350000</f>
        <v>3350000.0</v>
      </c>
      <c r="K37" s="22" t="n">
        <f>0</f>
        <v>0.0</v>
      </c>
      <c r="L37" s="21" t="n">
        <f>6890000</f>
        <v>6890000.0</v>
      </c>
      <c r="M37" s="22" t="n">
        <f>0</f>
        <v>0.0</v>
      </c>
      <c r="N37" s="21" t="n">
        <f>10240000</f>
        <v>1.024E7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160</f>
        <v>160.0</v>
      </c>
      <c r="E38" s="36" t="n">
        <f>150</f>
        <v>150.0</v>
      </c>
      <c r="F38" s="21" t="n">
        <f>208</f>
        <v>208.0</v>
      </c>
      <c r="G38" s="36" t="n">
        <f>150</f>
        <v>150.0</v>
      </c>
      <c r="H38" s="21" t="n">
        <f>368</f>
        <v>368.0</v>
      </c>
      <c r="I38" s="36" t="n">
        <f>300</f>
        <v>300.0</v>
      </c>
      <c r="J38" s="21" t="n">
        <f>22500000</f>
        <v>2.25E7</v>
      </c>
      <c r="K38" s="36" t="n">
        <f>21000000</f>
        <v>2.1E7</v>
      </c>
      <c r="L38" s="21" t="n">
        <f>46120000</f>
        <v>4.612E7</v>
      </c>
      <c r="M38" s="36" t="n">
        <f>40500000</f>
        <v>4.05E7</v>
      </c>
      <c r="N38" s="21" t="n">
        <f>68620000</f>
        <v>6.862E7</v>
      </c>
      <c r="O38" s="36" t="n">
        <f>61500000</f>
        <v>6.15E7</v>
      </c>
    </row>
    <row r="39" spans="1:15" ht="24.9" customHeight="1">
      <c r="A39" s="38"/>
      <c r="B39" s="62"/>
      <c r="C39" s="24" t="s">
        <v>18</v>
      </c>
      <c r="D39" s="25" t="n">
        <f>185</f>
        <v>185.0</v>
      </c>
      <c r="E39" s="37" t="n">
        <f>150</f>
        <v>150.0</v>
      </c>
      <c r="F39" s="25" t="n">
        <f>272</f>
        <v>272.0</v>
      </c>
      <c r="G39" s="37" t="n">
        <f>150</f>
        <v>150.0</v>
      </c>
      <c r="H39" s="25" t="n">
        <f>457</f>
        <v>457.0</v>
      </c>
      <c r="I39" s="37" t="n">
        <f>300</f>
        <v>300.0</v>
      </c>
      <c r="J39" s="25" t="n">
        <f>25850000</f>
        <v>2.585E7</v>
      </c>
      <c r="K39" s="37" t="n">
        <f>21000000</f>
        <v>2.1E7</v>
      </c>
      <c r="L39" s="25" t="n">
        <f>53010000</f>
        <v>5.301E7</v>
      </c>
      <c r="M39" s="37" t="n">
        <f>40500000</f>
        <v>4.05E7</v>
      </c>
      <c r="N39" s="25" t="n">
        <f>78860000</f>
        <v>7.886E7</v>
      </c>
      <c r="O39" s="37" t="n">
        <f>61500000</f>
        <v>6.15E7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6996</f>
        <v>6996.0</v>
      </c>
      <c r="E41" s="36" t="n">
        <f>0</f>
        <v>0.0</v>
      </c>
      <c r="F41" s="21" t="n">
        <f>1711</f>
        <v>1711.0</v>
      </c>
      <c r="G41" s="36" t="n">
        <f>0</f>
        <v>0.0</v>
      </c>
      <c r="H41" s="21" t="n">
        <f>8707</f>
        <v>8707.0</v>
      </c>
      <c r="I41" s="36" t="n">
        <f>0</f>
        <v>0.0</v>
      </c>
      <c r="J41" s="21" t="n">
        <f>21197175</f>
        <v>2.1197175E7</v>
      </c>
      <c r="K41" s="36" t="n">
        <f>0</f>
        <v>0.0</v>
      </c>
      <c r="L41" s="21" t="n">
        <f>74423570</f>
        <v>7.442357E7</v>
      </c>
      <c r="M41" s="36" t="n">
        <f>0</f>
        <v>0.0</v>
      </c>
      <c r="N41" s="21" t="n">
        <f>95620745</f>
        <v>9.5620745E7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2164</f>
        <v>2164.0</v>
      </c>
      <c r="E42" s="36" t="n">
        <f>2005</f>
        <v>2005.0</v>
      </c>
      <c r="F42" s="21" t="n">
        <f>4284</f>
        <v>4284.0</v>
      </c>
      <c r="G42" s="36" t="n">
        <f>75</f>
        <v>75.0</v>
      </c>
      <c r="H42" s="21" t="n">
        <f>6448</f>
        <v>6448.0</v>
      </c>
      <c r="I42" s="36" t="n">
        <f>2080</f>
        <v>2080.0</v>
      </c>
      <c r="J42" s="21" t="n">
        <f>275465904</f>
        <v>2.75465904E8</v>
      </c>
      <c r="K42" s="36" t="n">
        <f>271825000</f>
        <v>2.71825E8</v>
      </c>
      <c r="L42" s="21" t="n">
        <f>88985876</f>
        <v>8.8985876E7</v>
      </c>
      <c r="M42" s="36" t="n">
        <f>67500000</f>
        <v>6.75E7</v>
      </c>
      <c r="N42" s="21" t="n">
        <f>364451780</f>
        <v>3.6445178E8</v>
      </c>
      <c r="O42" s="36" t="n">
        <f>339325000</f>
        <v>3.39325E8</v>
      </c>
    </row>
    <row r="43" spans="1:15" ht="24.9" customHeight="1">
      <c r="A43" s="38"/>
      <c r="B43" s="62"/>
      <c r="C43" s="24" t="s">
        <v>18</v>
      </c>
      <c r="D43" s="25" t="n">
        <f>9160</f>
        <v>9160.0</v>
      </c>
      <c r="E43" s="37" t="n">
        <f>2005</f>
        <v>2005.0</v>
      </c>
      <c r="F43" s="25" t="n">
        <f>5995</f>
        <v>5995.0</v>
      </c>
      <c r="G43" s="37" t="n">
        <f>75</f>
        <v>75.0</v>
      </c>
      <c r="H43" s="25" t="n">
        <f>15155</f>
        <v>15155.0</v>
      </c>
      <c r="I43" s="37" t="n">
        <f>2080</f>
        <v>2080.0</v>
      </c>
      <c r="J43" s="25" t="n">
        <f>296663079</f>
        <v>2.96663079E8</v>
      </c>
      <c r="K43" s="37" t="n">
        <f>271825000</f>
        <v>2.71825E8</v>
      </c>
      <c r="L43" s="25" t="n">
        <f>163409446</f>
        <v>1.63409446E8</v>
      </c>
      <c r="M43" s="37" t="n">
        <f>67500000</f>
        <v>6.75E7</v>
      </c>
      <c r="N43" s="25" t="n">
        <f>460072525</f>
        <v>4.60072525E8</v>
      </c>
      <c r="O43" s="37" t="n">
        <f>339325000</f>
        <v>3.39325E8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