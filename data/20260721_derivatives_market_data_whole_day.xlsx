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<sst xmlns="http://schemas.openxmlformats.org/spreadsheetml/2006/main" count="528" uniqueCount="129">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</sst>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DATE(2026,07,21)</f>
        <v>46224.0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DATE(2026,07,21)</f>
        <v>46224.0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2450278.0</f>
        <v>2450278.0</v>
      </c>
      <c r="E12" s="18" t="n">
        <f>95773.0</f>
        <v>95773.0</v>
      </c>
      <c r="F12" s="19" t="n">
        <f>1.0</f>
        <v>1.0</v>
      </c>
      <c r="G12" s="17" t="n">
        <f>12756398138909.0</f>
        <v>1.2756398138909E13</v>
      </c>
      <c r="H12" s="18" t="n">
        <f>893330378134.0</f>
        <v>8.93330378134E11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549456.0</f>
        <v>549456.0</v>
      </c>
      <c r="E13" s="22" t="n">
        <f>18730.0</f>
        <v>18730.0</v>
      </c>
      <c r="F13" s="23" t="n">
        <f>1.0</f>
        <v>1.0</v>
      </c>
      <c r="G13" s="21" t="n">
        <f>4766984149160.0</f>
        <v>4.76698414916E12</v>
      </c>
      <c r="H13" s="22" t="n">
        <f>318383704210.0</f>
        <v>3.1838370421E11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570864.0</f>
        <v>570864.0</v>
      </c>
      <c r="E14" s="22" t="n">
        <f>39033.0</f>
        <v>39033.0</v>
      </c>
      <c r="F14" s="23" t="n">
        <f>1.0</f>
        <v>1.0</v>
      </c>
      <c r="G14" s="21" t="n">
        <f>6299689249610.0</f>
        <v>6.29968924961E12</v>
      </c>
      <c r="H14" s="22" t="n">
        <f>1119647027910.0</f>
        <v>1.11964702791E12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3570598.0</f>
        <v>3570598.0</v>
      </c>
      <c r="E15" s="26" t="n">
        <f>153536.0</f>
        <v>153536.0</v>
      </c>
      <c r="F15" s="27" t="n">
        <f>1.0</f>
        <v>1.0</v>
      </c>
      <c r="G15" s="25" t="n">
        <f>23823071537679.0</f>
        <v>2.3823071537679E13</v>
      </c>
      <c r="H15" s="26" t="n">
        <f>2331361110254.0</f>
        <v>2.331361110254E12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12565.0</f>
        <v>12565.0</v>
      </c>
      <c r="E16" s="18" t="n">
        <f>451.0</f>
        <v>451.0</v>
      </c>
      <c r="F16" s="19" t="n">
        <f>0.005</f>
        <v>0.005</v>
      </c>
      <c r="G16" s="17" t="n">
        <f>1574149441875.0</f>
        <v>1.574149441875E12</v>
      </c>
      <c r="H16" s="18" t="n">
        <f>57680610000.0</f>
        <v>5.768061E10</v>
      </c>
      <c r="I16" s="19" t="n">
        <f>0.123</f>
        <v>0.123</v>
      </c>
    </row>
    <row r="17" spans="1:9" ht="24.9" customHeight="1">
      <c r="A17" s="41"/>
      <c r="B17" s="39"/>
      <c r="C17" s="20" t="s">
        <v>16</v>
      </c>
      <c r="D17" s="21" t="n">
        <f>10159.0</f>
        <v>10159.0</v>
      </c>
      <c r="E17" s="22" t="n">
        <f>1070.0</f>
        <v>1070.0</v>
      </c>
      <c r="F17" s="23" t="n">
        <f>0.018</f>
        <v>0.018</v>
      </c>
      <c r="G17" s="21" t="n">
        <f>1249500571500.0</f>
        <v>1.2495005715E12</v>
      </c>
      <c r="H17" s="22" t="n">
        <f>136638565000.0</f>
        <v>1.36638565E11</v>
      </c>
      <c r="I17" s="23" t="n">
        <f>0.262</f>
        <v>0.262</v>
      </c>
    </row>
    <row r="18" spans="1:9" ht="24.9" customHeight="1">
      <c r="A18" s="41"/>
      <c r="B18" s="39"/>
      <c r="C18" s="20" t="s">
        <v>17</v>
      </c>
      <c r="D18" s="21" t="n">
        <f>12512.0</f>
        <v>12512.0</v>
      </c>
      <c r="E18" s="22" t="n">
        <f>1256.0</f>
        <v>1256.0</v>
      </c>
      <c r="F18" s="23" t="n">
        <f>0.022</f>
        <v>0.022</v>
      </c>
      <c r="G18" s="21" t="n">
        <f>1308177993750.0</f>
        <v>1.30817799375E12</v>
      </c>
      <c r="H18" s="22" t="n">
        <f>160296480000.0</f>
        <v>1.6029648E11</v>
      </c>
      <c r="I18" s="23" t="n">
        <f>0.208</f>
        <v>0.208</v>
      </c>
    </row>
    <row r="19" spans="1:9" ht="24.9" customHeight="1">
      <c r="A19" s="41"/>
      <c r="B19" s="39"/>
      <c r="C19" s="24" t="s">
        <v>18</v>
      </c>
      <c r="D19" s="25" t="n">
        <f>35236.0</f>
        <v>35236.0</v>
      </c>
      <c r="E19" s="26" t="n">
        <f>2777.0</f>
        <v>2777.0</v>
      </c>
      <c r="F19" s="27" t="n">
        <f>0.01</f>
        <v>0.01</v>
      </c>
      <c r="G19" s="25" t="n">
        <f>4131828007125.0</f>
        <v>4.131828007125E12</v>
      </c>
      <c r="H19" s="26" t="n">
        <f>354615655000.0</f>
        <v>3.54615655E11</v>
      </c>
      <c r="I19" s="27" t="n">
        <f>0.173</f>
        <v>0.173</v>
      </c>
    </row>
    <row r="20" spans="1:9" ht="24.9" customHeight="1">
      <c r="A20" s="41"/>
      <c r="B20" s="39" t="s">
        <v>21</v>
      </c>
      <c r="C20" s="16" t="s">
        <v>15</v>
      </c>
      <c r="D20" s="17" t="n">
        <f>2414360.0</f>
        <v>2414360.0</v>
      </c>
      <c r="E20" s="18" t="n">
        <f>95311.0</f>
        <v>95311.0</v>
      </c>
      <c r="F20" s="19" t="n">
        <f>0.985</f>
        <v>0.985</v>
      </c>
      <c r="G20" s="17" t="n">
        <f>10918241974034.0</f>
        <v>1.0918241974034E13</v>
      </c>
      <c r="H20" s="18" t="n">
        <f>835567695334.0</f>
        <v>8.35567695334E11</v>
      </c>
      <c r="I20" s="19" t="n">
        <f>0.856</f>
        <v>0.856</v>
      </c>
    </row>
    <row r="21" spans="1:9" ht="24.9" customHeight="1">
      <c r="A21" s="41"/>
      <c r="B21" s="39"/>
      <c r="C21" s="20" t="s">
        <v>16</v>
      </c>
      <c r="D21" s="21" t="n">
        <f>534555.0</f>
        <v>534555.0</v>
      </c>
      <c r="E21" s="22" t="n">
        <f>17660.0</f>
        <v>17660.0</v>
      </c>
      <c r="F21" s="23" t="n">
        <f>0.973</f>
        <v>0.973</v>
      </c>
      <c r="G21" s="21" t="n">
        <f>3470767039960.0</f>
        <v>3.47076703996E12</v>
      </c>
      <c r="H21" s="22" t="n">
        <f>181745139210.0</f>
        <v>1.8174513921E11</v>
      </c>
      <c r="I21" s="23" t="n">
        <f>0.728</f>
        <v>0.728</v>
      </c>
    </row>
    <row r="22" spans="1:9" ht="24.9" customHeight="1">
      <c r="A22" s="41"/>
      <c r="B22" s="39"/>
      <c r="C22" s="20" t="s">
        <v>17</v>
      </c>
      <c r="D22" s="21" t="n">
        <f>548069.0</f>
        <v>548069.0</v>
      </c>
      <c r="E22" s="22" t="n">
        <f>37776.0</f>
        <v>37776.0</v>
      </c>
      <c r="F22" s="23" t="n">
        <f>0.96</f>
        <v>0.96</v>
      </c>
      <c r="G22" s="21" t="n">
        <f>4894265799210.0</f>
        <v>4.89426579921E12</v>
      </c>
      <c r="H22" s="22" t="n">
        <f>959328997910.0</f>
        <v>9.5932899791E11</v>
      </c>
      <c r="I22" s="23" t="n">
        <f>0.777</f>
        <v>0.777</v>
      </c>
    </row>
    <row r="23" spans="1:9" ht="24.9" customHeight="1">
      <c r="A23" s="41"/>
      <c r="B23" s="39"/>
      <c r="C23" s="24" t="s">
        <v>18</v>
      </c>
      <c r="D23" s="25" t="n">
        <f>3496984.0</f>
        <v>3496984.0</v>
      </c>
      <c r="E23" s="26" t="n">
        <f>150747.0</f>
        <v>150747.0</v>
      </c>
      <c r="F23" s="27" t="n">
        <f>0.979</f>
        <v>0.979</v>
      </c>
      <c r="G23" s="25" t="n">
        <f>19283274813204.0</f>
        <v>1.9283274813204E13</v>
      </c>
      <c r="H23" s="26" t="n">
        <f>1976641832454.0</f>
        <v>1.976641832454E12</v>
      </c>
      <c r="I23" s="27" t="n">
        <f>0.809</f>
        <v>0.809</v>
      </c>
    </row>
    <row r="24" spans="1:9" ht="24.9" customHeight="1">
      <c r="A24" s="41"/>
      <c r="B24" s="39" t="s">
        <v>22</v>
      </c>
      <c r="C24" s="16" t="s">
        <v>15</v>
      </c>
      <c r="D24" s="17" t="n">
        <f>22825.0</f>
        <v>22825.0</v>
      </c>
      <c r="E24" s="18" t="n">
        <f>0.0</f>
        <v>0.0</v>
      </c>
      <c r="F24" s="19" t="n">
        <f>0.009</f>
        <v>0.009</v>
      </c>
      <c r="G24" s="17" t="n">
        <f>261888310200.0</f>
        <v>2.618883102E11</v>
      </c>
      <c r="H24" s="18" t="n">
        <f>0.0</f>
        <v>0.0</v>
      </c>
      <c r="I24" s="19" t="n">
        <f>0.021</f>
        <v>0.021</v>
      </c>
    </row>
    <row r="25" spans="1:9" ht="24.9" customHeight="1">
      <c r="A25" s="41"/>
      <c r="B25" s="39"/>
      <c r="C25" s="20" t="s">
        <v>16</v>
      </c>
      <c r="D25" s="21" t="n">
        <f>4580.0</f>
        <v>4580.0</v>
      </c>
      <c r="E25" s="22" t="n">
        <f>0.0</f>
        <v>0.0</v>
      </c>
      <c r="F25" s="23" t="n">
        <f>0.008</f>
        <v>0.008</v>
      </c>
      <c r="G25" s="21" t="n">
        <f>46080331700.0</f>
        <v>4.60803317E10</v>
      </c>
      <c r="H25" s="22" t="n">
        <f>0.0</f>
        <v>0.0</v>
      </c>
      <c r="I25" s="23" t="n">
        <f>0.01</f>
        <v>0.01</v>
      </c>
    </row>
    <row r="26" spans="1:9" ht="24.9" customHeight="1">
      <c r="A26" s="41"/>
      <c r="B26" s="39"/>
      <c r="C26" s="20" t="s">
        <v>17</v>
      </c>
      <c r="D26" s="21" t="n">
        <f>9263.0</f>
        <v>9263.0</v>
      </c>
      <c r="E26" s="22" t="n">
        <f>1.0</f>
        <v>1.0</v>
      </c>
      <c r="F26" s="23" t="n">
        <f>0.016</f>
        <v>0.016</v>
      </c>
      <c r="G26" s="21" t="n">
        <f>93238651150.0</f>
        <v>9.323865115E10</v>
      </c>
      <c r="H26" s="22" t="n">
        <f>21550000.0</f>
        <v>2.155E7</v>
      </c>
      <c r="I26" s="23" t="n">
        <f>0.015</f>
        <v>0.015</v>
      </c>
    </row>
    <row r="27" spans="1:9" ht="24.9" customHeight="1">
      <c r="A27" s="42"/>
      <c r="B27" s="39"/>
      <c r="C27" s="24" t="s">
        <v>18</v>
      </c>
      <c r="D27" s="25" t="n">
        <f>36668.0</f>
        <v>36668.0</v>
      </c>
      <c r="E27" s="26" t="n">
        <f>1.0</f>
        <v>1.0</v>
      </c>
      <c r="F27" s="27" t="n">
        <f>0.01</f>
        <v>0.01</v>
      </c>
      <c r="G27" s="25" t="n">
        <f>401207293050.0</f>
        <v>4.0120729305E11</v>
      </c>
      <c r="H27" s="26" t="n">
        <f>21550000.0</f>
        <v>2.155E7</v>
      </c>
      <c r="I27" s="27" t="n">
        <f>0.017</f>
        <v>0.017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528.0</f>
        <v>528.0</v>
      </c>
      <c r="E28" s="18" t="n">
        <f>11.0</f>
        <v>11.0</v>
      </c>
      <c r="F28" s="19" t="n">
        <f>0.0</f>
        <v>0.0</v>
      </c>
      <c r="G28" s="17" t="n">
        <f>2118412800.0</f>
        <v>2.1184128E9</v>
      </c>
      <c r="H28" s="18" t="n">
        <f>82072800.0</f>
        <v>8.20728E7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162.0</f>
        <v>162.0</v>
      </c>
      <c r="E29" s="22" t="n">
        <f>0.0</f>
        <v>0.0</v>
      </c>
      <c r="F29" s="23" t="n">
        <f>0.0</f>
        <v>0.0</v>
      </c>
      <c r="G29" s="21" t="n">
        <f>636206000.0</f>
        <v>6.36206E8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1020.0</f>
        <v>1020.0</v>
      </c>
      <c r="E30" s="22" t="n">
        <f>0.0</f>
        <v>0.0</v>
      </c>
      <c r="F30" s="23" t="n">
        <f>0.002</f>
        <v>0.002</v>
      </c>
      <c r="G30" s="21" t="n">
        <f>4006805500.0</f>
        <v>4.0068055E9</v>
      </c>
      <c r="H30" s="22" t="n">
        <f>0.0</f>
        <v>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1710.0</f>
        <v>1710.0</v>
      </c>
      <c r="E31" s="26" t="n">
        <f>11.0</f>
        <v>11.0</v>
      </c>
      <c r="F31" s="27" t="n">
        <f>0.0</f>
        <v>0.0</v>
      </c>
      <c r="G31" s="25" t="n">
        <f>6761424300.0</f>
        <v>6.7614243E9</v>
      </c>
      <c r="H31" s="26" t="n">
        <f>82072800.0</f>
        <v>8.20728E7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46224.0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46224.0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55577</f>
        <v>55577.0</v>
      </c>
      <c r="E11" s="18" t="n">
        <f>9860</f>
        <v>9860.0</v>
      </c>
      <c r="F11" s="19" t="n">
        <f>1</f>
        <v>1.0</v>
      </c>
      <c r="G11" s="17" t="n">
        <f>19547378930</f>
        <v>1.954737893E10</v>
      </c>
      <c r="H11" s="18" t="n">
        <f>13320861330</f>
        <v>1.332086133E10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54154</f>
        <v>54154.0</v>
      </c>
      <c r="E12" s="22" t="n">
        <f>5568</f>
        <v>5568.0</v>
      </c>
      <c r="F12" s="23" t="n">
        <f>1</f>
        <v>1.0</v>
      </c>
      <c r="G12" s="21" t="n">
        <f>6243438834</f>
        <v>6.243438834E9</v>
      </c>
      <c r="H12" s="22" t="n">
        <f>4335423230</f>
        <v>4.33542323E9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63322</f>
        <v>63322.0</v>
      </c>
      <c r="E13" s="22" t="n">
        <f>18421</f>
        <v>18421.0</v>
      </c>
      <c r="F13" s="23" t="n">
        <f>1</f>
        <v>1.0</v>
      </c>
      <c r="G13" s="21" t="n">
        <f>25403612766</f>
        <v>2.5403612766E10</v>
      </c>
      <c r="H13" s="22" t="n">
        <f>19368414611</f>
        <v>1.9368414611E10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173053</f>
        <v>173053.0</v>
      </c>
      <c r="E14" s="26" t="n">
        <f>33849</f>
        <v>33849.0</v>
      </c>
      <c r="F14" s="27" t="n">
        <f>1</f>
        <v>1.0</v>
      </c>
      <c r="G14" s="25" t="n">
        <f>51194430530</f>
        <v>5.119443053E10</v>
      </c>
      <c r="H14" s="26" t="n">
        <f>37024699171</f>
        <v>3.7024699171E10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3</f>
        <v>3.0</v>
      </c>
      <c r="E16" s="22" t="n">
        <f>0</f>
        <v>0.0</v>
      </c>
      <c r="F16" s="23" t="n">
        <f>0</f>
        <v>0.0</v>
      </c>
      <c r="G16" s="21" t="n">
        <f>220000</f>
        <v>220000.0</v>
      </c>
      <c r="H16" s="22" t="n">
        <f>0</f>
        <v>0.0</v>
      </c>
      <c r="I16" s="23" t="n">
        <f>0</f>
        <v>0.0</v>
      </c>
    </row>
    <row r="17" spans="1:9" ht="24.9" customHeight="1">
      <c r="A17" s="41"/>
      <c r="B17" s="39"/>
      <c r="C17" s="20" t="s">
        <v>17</v>
      </c>
      <c r="D17" s="21" t="n">
        <f>27</f>
        <v>27.0</v>
      </c>
      <c r="E17" s="22" t="n">
        <f>0</f>
        <v>0.0</v>
      </c>
      <c r="F17" s="23" t="n">
        <f>0</f>
        <v>0.0</v>
      </c>
      <c r="G17" s="21" t="n">
        <f>4250000</f>
        <v>4250000.0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30</f>
        <v>30.0</v>
      </c>
      <c r="E18" s="26" t="n">
        <f>0</f>
        <v>0.0</v>
      </c>
      <c r="F18" s="27" t="n">
        <f>0</f>
        <v>0.0</v>
      </c>
      <c r="G18" s="25" t="n">
        <f>4470000</f>
        <v>4470000.0</v>
      </c>
      <c r="H18" s="26" t="n">
        <f>0</f>
        <v>0.0</v>
      </c>
      <c r="I18" s="27" t="n">
        <f>0</f>
        <v>0.0</v>
      </c>
    </row>
    <row r="19" spans="1:9" ht="24.9" customHeight="1">
      <c r="A19" s="41"/>
      <c r="B19" s="39" t="s">
        <v>31</v>
      </c>
      <c r="C19" s="16" t="s">
        <v>15</v>
      </c>
      <c r="D19" s="17" t="n">
        <f>55577</f>
        <v>55577.0</v>
      </c>
      <c r="E19" s="18" t="n">
        <f>9860</f>
        <v>9860.0</v>
      </c>
      <c r="F19" s="19" t="n">
        <f>1</f>
        <v>1.0</v>
      </c>
      <c r="G19" s="17" t="n">
        <f>19547378930</f>
        <v>1.954737893E10</v>
      </c>
      <c r="H19" s="18" t="n">
        <f>13320861330</f>
        <v>1.332086133E10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19939</f>
        <v>19939.0</v>
      </c>
      <c r="E20" s="22" t="n">
        <f>5568</f>
        <v>5568.0</v>
      </c>
      <c r="F20" s="23" t="n">
        <f>0.368</f>
        <v>0.368</v>
      </c>
      <c r="G20" s="21" t="n">
        <f>6153228730</f>
        <v>6.15322873E9</v>
      </c>
      <c r="H20" s="22" t="n">
        <f>4335423230</f>
        <v>4.33542323E9</v>
      </c>
      <c r="I20" s="23" t="n">
        <f>0.986</f>
        <v>0.986</v>
      </c>
    </row>
    <row r="21" spans="1:9" ht="24.9" customHeight="1">
      <c r="A21" s="41"/>
      <c r="B21" s="39"/>
      <c r="C21" s="20" t="s">
        <v>17</v>
      </c>
      <c r="D21" s="21" t="n">
        <f>48657</f>
        <v>48657.0</v>
      </c>
      <c r="E21" s="22" t="n">
        <f>18421</f>
        <v>18421.0</v>
      </c>
      <c r="F21" s="23" t="n">
        <f>0.768</f>
        <v>0.768</v>
      </c>
      <c r="G21" s="21" t="n">
        <f>25368631311</f>
        <v>2.5368631311E10</v>
      </c>
      <c r="H21" s="22" t="n">
        <f>19368414611</f>
        <v>1.9368414611E10</v>
      </c>
      <c r="I21" s="23" t="n">
        <f>0.999</f>
        <v>0.999</v>
      </c>
    </row>
    <row r="22" spans="1:9" ht="24.9" customHeight="1">
      <c r="A22" s="41"/>
      <c r="B22" s="39"/>
      <c r="C22" s="24" t="s">
        <v>18</v>
      </c>
      <c r="D22" s="25" t="n">
        <f>124173</f>
        <v>124173.0</v>
      </c>
      <c r="E22" s="26" t="n">
        <f>33849</f>
        <v>33849.0</v>
      </c>
      <c r="F22" s="27" t="n">
        <f>0.718</f>
        <v>0.718</v>
      </c>
      <c r="G22" s="25" t="n">
        <f>51069238971</f>
        <v>5.1069238971E10</v>
      </c>
      <c r="H22" s="26" t="n">
        <f>37024699171</f>
        <v>3.7024699171E10</v>
      </c>
      <c r="I22" s="27" t="n">
        <f>0.998</f>
        <v>0.998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34212</f>
        <v>34212.0</v>
      </c>
      <c r="E24" s="22" t="n">
        <f>0</f>
        <v>0.0</v>
      </c>
      <c r="F24" s="23" t="n">
        <f>0.632</f>
        <v>0.632</v>
      </c>
      <c r="G24" s="21" t="n">
        <f>89990104</f>
        <v>8.9990104E7</v>
      </c>
      <c r="H24" s="22" t="n">
        <f>0</f>
        <v>0.0</v>
      </c>
      <c r="I24" s="23" t="n">
        <f>0.014</f>
        <v>0.014</v>
      </c>
    </row>
    <row r="25" spans="1:9" ht="24.9" customHeight="1">
      <c r="A25" s="41"/>
      <c r="B25" s="39"/>
      <c r="C25" s="20" t="s">
        <v>17</v>
      </c>
      <c r="D25" s="21" t="n">
        <f>14638</f>
        <v>14638.0</v>
      </c>
      <c r="E25" s="22" t="n">
        <f>0</f>
        <v>0.0</v>
      </c>
      <c r="F25" s="23" t="n">
        <f>0.231</f>
        <v>0.231</v>
      </c>
      <c r="G25" s="21" t="n">
        <f>30731455</f>
        <v>3.0731455E7</v>
      </c>
      <c r="H25" s="22" t="n">
        <f>0</f>
        <v>0.0</v>
      </c>
      <c r="I25" s="23" t="n">
        <f>0.001</f>
        <v>0.001</v>
      </c>
    </row>
    <row r="26" spans="1:9" ht="24.9" customHeight="1">
      <c r="A26" s="41"/>
      <c r="B26" s="39"/>
      <c r="C26" s="24" t="s">
        <v>18</v>
      </c>
      <c r="D26" s="25" t="n">
        <f>48850</f>
        <v>48850.0</v>
      </c>
      <c r="E26" s="26" t="n">
        <f>0</f>
        <v>0.0</v>
      </c>
      <c r="F26" s="27" t="n">
        <f>0.282</f>
        <v>0.282</v>
      </c>
      <c r="G26" s="25" t="n">
        <f>120721559</f>
        <v>1.20721559E8</v>
      </c>
      <c r="H26" s="26" t="n">
        <f>0</f>
        <v>0.0</v>
      </c>
      <c r="I26" s="27" t="n">
        <f>0.002</f>
        <v>0.002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46224.0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46224.0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44319.0</v>
      </c>
      <c r="F12" s="18" t="n">
        <f>3713</f>
        <v>3713.0</v>
      </c>
      <c r="G12" s="17" t="n">
        <v>2.87349396666E12</v>
      </c>
      <c r="H12" s="18" t="n">
        <f>240724281660</f>
        <v>2.4072428166E11</v>
      </c>
    </row>
    <row r="13" spans="1:8" ht="24.9" customHeight="1">
      <c r="A13" s="51"/>
      <c r="B13" s="57"/>
      <c r="C13" s="39"/>
      <c r="D13" s="20" t="s">
        <v>16</v>
      </c>
      <c r="E13" s="21" t="n">
        <v>14737.0</v>
      </c>
      <c r="F13" s="22" t="n">
        <f>1103</f>
        <v>1103.0</v>
      </c>
      <c r="G13" s="21" t="n">
        <v>9.58703519E11</v>
      </c>
      <c r="H13" s="22" t="n">
        <f>71517063000</f>
        <v>7.1517063E10</v>
      </c>
    </row>
    <row r="14" spans="1:8" ht="24.9" customHeight="1">
      <c r="A14" s="51"/>
      <c r="B14" s="57"/>
      <c r="C14" s="39"/>
      <c r="D14" s="20" t="s">
        <v>17</v>
      </c>
      <c r="E14" s="21" t="n">
        <v>28598.0</v>
      </c>
      <c r="F14" s="22" t="n">
        <f>9225</f>
        <v>9225.0</v>
      </c>
      <c r="G14" s="21" t="n">
        <v>1.88715446887E12</v>
      </c>
      <c r="H14" s="22" t="n">
        <f>609162583870</f>
        <v>6.0916258387E11</v>
      </c>
    </row>
    <row r="15" spans="1:8" ht="24.9" customHeight="1">
      <c r="A15" s="51"/>
      <c r="B15" s="57"/>
      <c r="C15" s="39"/>
      <c r="D15" s="24" t="s">
        <v>18</v>
      </c>
      <c r="E15" s="25" t="n">
        <v>87654.0</v>
      </c>
      <c r="F15" s="26" t="n">
        <f>14041</f>
        <v>14041.0</v>
      </c>
      <c r="G15" s="25" t="n">
        <v>5.71935195453E12</v>
      </c>
      <c r="H15" s="26" t="n">
        <f>921403928530</f>
        <v>9.2140392853E11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837240.0</v>
      </c>
      <c r="F16" s="18" t="n">
        <f>90359</f>
        <v>90359.0</v>
      </c>
      <c r="G16" s="17" t="n">
        <v>5.427739740654E12</v>
      </c>
      <c r="H16" s="18" t="n">
        <f>585544202154</f>
        <v>5.85544202154E11</v>
      </c>
    </row>
    <row r="17" spans="1:8" ht="24.9" customHeight="1">
      <c r="A17" s="51"/>
      <c r="B17" s="57"/>
      <c r="C17" s="39"/>
      <c r="D17" s="20" t="s">
        <v>16</v>
      </c>
      <c r="E17" s="21" t="n">
        <v>224186.0</v>
      </c>
      <c r="F17" s="22" t="n">
        <f>16165</f>
        <v>16165.0</v>
      </c>
      <c r="G17" s="21" t="n">
        <v>1.45725690281E12</v>
      </c>
      <c r="H17" s="22" t="n">
        <f>105082179810</f>
        <v>1.0508217981E11</v>
      </c>
    </row>
    <row r="18" spans="1:8" ht="24.9" customHeight="1">
      <c r="A18" s="51"/>
      <c r="B18" s="57"/>
      <c r="C18" s="39"/>
      <c r="D18" s="20" t="s">
        <v>17</v>
      </c>
      <c r="E18" s="21" t="n">
        <v>215476.0</v>
      </c>
      <c r="F18" s="22" t="n">
        <f>20635</f>
        <v>20635.0</v>
      </c>
      <c r="G18" s="21" t="n">
        <v>1.41973775767E12</v>
      </c>
      <c r="H18" s="22" t="n">
        <f>135799330170</f>
        <v>1.3579933017E11</v>
      </c>
    </row>
    <row r="19" spans="1:8" ht="24.9" customHeight="1">
      <c r="A19" s="51"/>
      <c r="B19" s="57"/>
      <c r="C19" s="39"/>
      <c r="D19" s="24" t="s">
        <v>18</v>
      </c>
      <c r="E19" s="25" t="n">
        <v>1276902.0</v>
      </c>
      <c r="F19" s="26" t="n">
        <f>127159</f>
        <v>127159.0</v>
      </c>
      <c r="G19" s="25" t="n">
        <v>8.304734401134E12</v>
      </c>
      <c r="H19" s="26" t="n">
        <f>826425712134</f>
        <v>8.26425712134E11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1474807.0</v>
      </c>
      <c r="F20" s="18" t="str">
        <f>"－"</f>
        <v>－</v>
      </c>
      <c r="G20" s="17" t="n">
        <v>9.5624376645E11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262552.0</v>
      </c>
      <c r="F21" s="22" t="str">
        <f>"－"</f>
        <v>－</v>
      </c>
      <c r="G21" s="21" t="n">
        <v>1.706758976E11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256334.0</v>
      </c>
      <c r="F22" s="22" t="str">
        <f>"－"</f>
        <v>－</v>
      </c>
      <c r="G22" s="21" t="n">
        <v>1.6881172775E11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1993693.0</v>
      </c>
      <c r="F23" s="26" t="str">
        <f>"－"</f>
        <v>－</v>
      </c>
      <c r="G23" s="25" t="n">
        <v>1.2957313918E12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40453.0</v>
      </c>
      <c r="F24" s="18" t="n">
        <f>127</f>
        <v>127.0</v>
      </c>
      <c r="G24" s="17" t="n">
        <v>1.5963165944E12</v>
      </c>
      <c r="H24" s="18" t="n">
        <f>5013024400</f>
        <v>5.0130244E9</v>
      </c>
    </row>
    <row r="25" spans="1:8" ht="24.9" customHeight="1">
      <c r="A25" s="51"/>
      <c r="B25" s="57"/>
      <c r="C25" s="39"/>
      <c r="D25" s="20" t="s">
        <v>16</v>
      </c>
      <c r="E25" s="21" t="n">
        <v>21179.0</v>
      </c>
      <c r="F25" s="22" t="n">
        <f>104</f>
        <v>104.0</v>
      </c>
      <c r="G25" s="21" t="n">
        <v>8.4096297851E11</v>
      </c>
      <c r="H25" s="22" t="n">
        <f>4112198510</f>
        <v>4.11219851E9</v>
      </c>
    </row>
    <row r="26" spans="1:8" ht="24.9" customHeight="1">
      <c r="A26" s="51"/>
      <c r="B26" s="57"/>
      <c r="C26" s="39"/>
      <c r="D26" s="20" t="s">
        <v>17</v>
      </c>
      <c r="E26" s="21" t="n">
        <v>33822.0</v>
      </c>
      <c r="F26" s="22" t="n">
        <f>4790</f>
        <v>4790.0</v>
      </c>
      <c r="G26" s="21" t="n">
        <v>1.3562964806E12</v>
      </c>
      <c r="H26" s="22" t="n">
        <f>192177240600</f>
        <v>1.921772406E11</v>
      </c>
    </row>
    <row r="27" spans="1:8" ht="24.9" customHeight="1">
      <c r="A27" s="51"/>
      <c r="B27" s="57"/>
      <c r="C27" s="39"/>
      <c r="D27" s="24" t="s">
        <v>18</v>
      </c>
      <c r="E27" s="25" t="n">
        <v>95454.0</v>
      </c>
      <c r="F27" s="26" t="n">
        <f>5021</f>
        <v>5021.0</v>
      </c>
      <c r="G27" s="25" t="n">
        <v>3.79357605351E12</v>
      </c>
      <c r="H27" s="26" t="n">
        <f>201302463510</f>
        <v>2.0130246351E11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13512.0</v>
      </c>
      <c r="F28" s="18" t="n">
        <f>1027</f>
        <v>1027.0</v>
      </c>
      <c r="G28" s="17" t="n">
        <v>5.332866217E10</v>
      </c>
      <c r="H28" s="18" t="n">
        <f>4047912420</f>
        <v>4.04791242E9</v>
      </c>
    </row>
    <row r="29" spans="1:8" ht="24.9" customHeight="1">
      <c r="A29" s="51"/>
      <c r="B29" s="57"/>
      <c r="C29" s="39"/>
      <c r="D29" s="20" t="s">
        <v>16</v>
      </c>
      <c r="E29" s="21" t="n">
        <v>9045.0</v>
      </c>
      <c r="F29" s="22" t="n">
        <f>229</f>
        <v>229.0</v>
      </c>
      <c r="G29" s="21" t="n">
        <v>3.588822155E10</v>
      </c>
      <c r="H29" s="22" t="n">
        <f>906999800</f>
        <v>9.069998E8</v>
      </c>
    </row>
    <row r="30" spans="1:8" ht="24.9" customHeight="1">
      <c r="A30" s="51"/>
      <c r="B30" s="57"/>
      <c r="C30" s="39"/>
      <c r="D30" s="20" t="s">
        <v>17</v>
      </c>
      <c r="E30" s="21" t="n">
        <v>9080.0</v>
      </c>
      <c r="F30" s="22" t="n">
        <f>141</f>
        <v>141.0</v>
      </c>
      <c r="G30" s="21" t="n">
        <v>3.640144545E10</v>
      </c>
      <c r="H30" s="22" t="n">
        <f>565246700</f>
        <v>5.652467E8</v>
      </c>
    </row>
    <row r="31" spans="1:8" ht="24.9" customHeight="1">
      <c r="A31" s="51"/>
      <c r="B31" s="57"/>
      <c r="C31" s="39"/>
      <c r="D31" s="24" t="s">
        <v>18</v>
      </c>
      <c r="E31" s="25" t="n">
        <v>31637.0</v>
      </c>
      <c r="F31" s="26" t="n">
        <f>1397</f>
        <v>1397.0</v>
      </c>
      <c r="G31" s="25" t="n">
        <v>1.2561832917E11</v>
      </c>
      <c r="H31" s="26" t="n">
        <f>5520158920</f>
        <v>5.52015892E9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1757.0</v>
      </c>
      <c r="F36" s="18" t="n">
        <f>2</f>
        <v>2.0</v>
      </c>
      <c r="G36" s="17" t="n">
        <v>6.27415151E9</v>
      </c>
      <c r="H36" s="18" t="n">
        <f>7169010</f>
        <v>7169010.0</v>
      </c>
    </row>
    <row r="37" spans="1:8" ht="24.9" customHeight="1">
      <c r="A37" s="51"/>
      <c r="B37" s="57"/>
      <c r="C37" s="39"/>
      <c r="D37" s="20" t="s">
        <v>16</v>
      </c>
      <c r="E37" s="21" t="n">
        <v>1783.0</v>
      </c>
      <c r="F37" s="22" t="n">
        <f>1</f>
        <v>1.0</v>
      </c>
      <c r="G37" s="21" t="n">
        <v>6.3939515E9</v>
      </c>
      <c r="H37" s="22" t="n">
        <f>3591000</f>
        <v>3591000.0</v>
      </c>
    </row>
    <row r="38" spans="1:8" ht="24.9" customHeight="1">
      <c r="A38" s="51"/>
      <c r="B38" s="57"/>
      <c r="C38" s="39"/>
      <c r="D38" s="20" t="s">
        <v>17</v>
      </c>
      <c r="E38" s="21" t="n">
        <v>891.0</v>
      </c>
      <c r="F38" s="22" t="n">
        <f>13</f>
        <v>13.0</v>
      </c>
      <c r="G38" s="21" t="n">
        <v>3.23043452E9</v>
      </c>
      <c r="H38" s="22" t="n">
        <f>47056520</f>
        <v>4.705652E7</v>
      </c>
    </row>
    <row r="39" spans="1:8" ht="24.9" customHeight="1">
      <c r="A39" s="51"/>
      <c r="B39" s="57"/>
      <c r="C39" s="39"/>
      <c r="D39" s="24" t="s">
        <v>18</v>
      </c>
      <c r="E39" s="25" t="n">
        <v>4431.0</v>
      </c>
      <c r="F39" s="26" t="n">
        <f>16</f>
        <v>16.0</v>
      </c>
      <c r="G39" s="25" t="n">
        <v>1.589853753E10</v>
      </c>
      <c r="H39" s="26" t="n">
        <f>57816530</f>
        <v>5.781653E7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12.0</v>
      </c>
      <c r="F45" s="22" t="n">
        <f>12</f>
        <v>12.0</v>
      </c>
      <c r="G45" s="21" t="n">
        <v>8.694E7</v>
      </c>
      <c r="H45" s="22" t="n">
        <f>86940000</f>
        <v>8.694E7</v>
      </c>
    </row>
    <row r="46" spans="1:8" ht="24.9" customHeight="1">
      <c r="A46" s="51"/>
      <c r="B46" s="57"/>
      <c r="C46" s="39"/>
      <c r="D46" s="20" t="s">
        <v>17</v>
      </c>
      <c r="E46" s="21" t="n">
        <v>2900.0</v>
      </c>
      <c r="F46" s="22" t="n">
        <f>2900</f>
        <v>2900.0</v>
      </c>
      <c r="G46" s="21" t="n">
        <v>2.14711897E10</v>
      </c>
      <c r="H46" s="22" t="n">
        <f>21471189700</f>
        <v>2.14711897E10</v>
      </c>
    </row>
    <row r="47" spans="1:8" ht="24.9" customHeight="1">
      <c r="A47" s="51"/>
      <c r="B47" s="57"/>
      <c r="C47" s="39"/>
      <c r="D47" s="24" t="s">
        <v>18</v>
      </c>
      <c r="E47" s="25" t="n">
        <v>2912.0</v>
      </c>
      <c r="F47" s="26" t="n">
        <f>2912</f>
        <v>2912.0</v>
      </c>
      <c r="G47" s="25" t="n">
        <v>2.15581297E10</v>
      </c>
      <c r="H47" s="26" t="n">
        <f>21558129700</f>
        <v>2.15581297E10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0.0</v>
      </c>
      <c r="F48" s="18" t="n">
        <f>0</f>
        <v>0.0</v>
      </c>
      <c r="G48" s="17" t="n">
        <v>0.0</v>
      </c>
      <c r="H48" s="18" t="n">
        <f>0</f>
        <v>0.0</v>
      </c>
    </row>
    <row r="49" spans="1:8" ht="24.9" customHeight="1">
      <c r="A49" s="51"/>
      <c r="B49" s="57"/>
      <c r="C49" s="39"/>
      <c r="D49" s="20" t="s">
        <v>16</v>
      </c>
      <c r="E49" s="21" t="n">
        <v>39.0</v>
      </c>
      <c r="F49" s="22" t="n">
        <f>0</f>
        <v>0.0</v>
      </c>
      <c r="G49" s="21" t="n">
        <v>7.21335E7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199.0</v>
      </c>
      <c r="F50" s="22" t="n">
        <f>21</f>
        <v>21.0</v>
      </c>
      <c r="G50" s="21" t="n">
        <v>3.6767572E8</v>
      </c>
      <c r="H50" s="22" t="n">
        <f>38897220</f>
        <v>3.889722E7</v>
      </c>
    </row>
    <row r="51" spans="1:8" ht="24.9" customHeight="1">
      <c r="A51" s="51"/>
      <c r="B51" s="57"/>
      <c r="C51" s="39"/>
      <c r="D51" s="24" t="s">
        <v>18</v>
      </c>
      <c r="E51" s="25" t="n">
        <v>238.0</v>
      </c>
      <c r="F51" s="26" t="n">
        <f>21</f>
        <v>21.0</v>
      </c>
      <c r="G51" s="25" t="n">
        <v>4.3980922E8</v>
      </c>
      <c r="H51" s="26" t="n">
        <f>38897220</f>
        <v>3.889722E7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1362.0</v>
      </c>
      <c r="F56" s="18" t="n">
        <f>45</f>
        <v>45.0</v>
      </c>
      <c r="G56" s="17" t="n">
        <v>9.401449E8</v>
      </c>
      <c r="H56" s="18" t="n">
        <f>31069900</f>
        <v>3.10699E7</v>
      </c>
    </row>
    <row r="57" spans="1:8" ht="24.9" customHeight="1">
      <c r="A57" s="51"/>
      <c r="B57" s="57"/>
      <c r="C57" s="39"/>
      <c r="D57" s="20" t="s">
        <v>16</v>
      </c>
      <c r="E57" s="21" t="n">
        <v>1014.0</v>
      </c>
      <c r="F57" s="22" t="n">
        <f>45</f>
        <v>45.0</v>
      </c>
      <c r="G57" s="21" t="n">
        <v>6.968309E8</v>
      </c>
      <c r="H57" s="22" t="n">
        <f>30958900</f>
        <v>3.09589E7</v>
      </c>
    </row>
    <row r="58" spans="1:8" ht="24.9" customHeight="1">
      <c r="A58" s="51"/>
      <c r="B58" s="57"/>
      <c r="C58" s="39"/>
      <c r="D58" s="20" t="s">
        <v>17</v>
      </c>
      <c r="E58" s="21" t="n">
        <v>676.0</v>
      </c>
      <c r="F58" s="22" t="n">
        <f>44</f>
        <v>44.0</v>
      </c>
      <c r="G58" s="21" t="n">
        <v>4.6959764E8</v>
      </c>
      <c r="H58" s="22" t="n">
        <f>30881640</f>
        <v>3.088164E7</v>
      </c>
    </row>
    <row r="59" spans="1:8" ht="24.9" customHeight="1">
      <c r="A59" s="51"/>
      <c r="B59" s="57"/>
      <c r="C59" s="39"/>
      <c r="D59" s="24" t="s">
        <v>18</v>
      </c>
      <c r="E59" s="25" t="n">
        <v>3052.0</v>
      </c>
      <c r="F59" s="26" t="n">
        <f>134</f>
        <v>134.0</v>
      </c>
      <c r="G59" s="25" t="n">
        <v>2.10657344E9</v>
      </c>
      <c r="H59" s="26" t="n">
        <f>92910440</f>
        <v>9.291044E7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627.0</v>
      </c>
      <c r="F60" s="18" t="n">
        <f>38</f>
        <v>38.0</v>
      </c>
      <c r="G60" s="17" t="n">
        <v>3.29107839E9</v>
      </c>
      <c r="H60" s="18" t="n">
        <f>200035790</f>
        <v>2.0003579E8</v>
      </c>
    </row>
    <row r="61" spans="1:8" ht="24.9" customHeight="1">
      <c r="A61" s="51"/>
      <c r="B61" s="57"/>
      <c r="C61" s="39"/>
      <c r="D61" s="20" t="s">
        <v>16</v>
      </c>
      <c r="E61" s="21" t="n">
        <v>5.0</v>
      </c>
      <c r="F61" s="22" t="n">
        <f>1</f>
        <v>1.0</v>
      </c>
      <c r="G61" s="21" t="n">
        <v>2.604829E7</v>
      </c>
      <c r="H61" s="22" t="n">
        <f>5208190</f>
        <v>5208190.0</v>
      </c>
    </row>
    <row r="62" spans="1:8" ht="24.9" customHeight="1">
      <c r="A62" s="51"/>
      <c r="B62" s="57"/>
      <c r="C62" s="39"/>
      <c r="D62" s="20" t="s">
        <v>17</v>
      </c>
      <c r="E62" s="21" t="n">
        <v>39.0</v>
      </c>
      <c r="F62" s="22" t="n">
        <f>7</f>
        <v>7.0</v>
      </c>
      <c r="G62" s="21" t="n">
        <v>2.0355179E8</v>
      </c>
      <c r="H62" s="22" t="n">
        <f>36571490</f>
        <v>3.657149E7</v>
      </c>
    </row>
    <row r="63" spans="1:8" ht="24.9" customHeight="1">
      <c r="A63" s="51"/>
      <c r="B63" s="57"/>
      <c r="C63" s="39"/>
      <c r="D63" s="24" t="s">
        <v>18</v>
      </c>
      <c r="E63" s="25" t="n">
        <v>671.0</v>
      </c>
      <c r="F63" s="26" t="n">
        <f>46</f>
        <v>46.0</v>
      </c>
      <c r="G63" s="25" t="n">
        <v>3.52067847E9</v>
      </c>
      <c r="H63" s="26" t="n">
        <f>241815470</f>
        <v>2.4181547E8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2.0</v>
      </c>
      <c r="F76" s="18" t="n">
        <f>0</f>
        <v>0.0</v>
      </c>
      <c r="G76" s="17" t="n">
        <v>815000.0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1.0</v>
      </c>
      <c r="F77" s="22" t="n">
        <f>0</f>
        <v>0.0</v>
      </c>
      <c r="G77" s="21" t="n">
        <v>380000.0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4.0</v>
      </c>
      <c r="F78" s="22" t="n">
        <f>0</f>
        <v>0.0</v>
      </c>
      <c r="G78" s="21" t="n">
        <v>1479500.0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7.0</v>
      </c>
      <c r="F79" s="26" t="n">
        <f>0</f>
        <v>0.0</v>
      </c>
      <c r="G79" s="25" t="n">
        <v>2674500.0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71.0</v>
      </c>
      <c r="F92" s="18" t="n">
        <f>0</f>
        <v>0.0</v>
      </c>
      <c r="G92" s="17" t="n">
        <v>1.148249E8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2.0</v>
      </c>
      <c r="F93" s="22" t="n">
        <f>0</f>
        <v>0.0</v>
      </c>
      <c r="G93" s="21" t="n">
        <v>3236300.0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0.0</v>
      </c>
      <c r="F94" s="22" t="n">
        <f>0</f>
        <v>0.0</v>
      </c>
      <c r="G94" s="21" t="n">
        <v>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73.0</v>
      </c>
      <c r="F95" s="26" t="n">
        <f>0</f>
        <v>0.0</v>
      </c>
      <c r="G95" s="25" t="n">
        <v>1.180612E8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200.0</v>
      </c>
      <c r="F96" s="18" t="n">
        <f>0</f>
        <v>0.0</v>
      </c>
      <c r="G96" s="17" t="n">
        <v>4.7972E8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50.0</v>
      </c>
      <c r="F98" s="22" t="n">
        <f>0</f>
        <v>0.0</v>
      </c>
      <c r="G98" s="21" t="n">
        <v>1.1999E8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250.0</v>
      </c>
      <c r="F99" s="26" t="n">
        <f>0</f>
        <v>0.0</v>
      </c>
      <c r="G99" s="25" t="n">
        <v>5.9971E8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10.0</v>
      </c>
      <c r="F100" s="18" t="n">
        <f>0</f>
        <v>0.0</v>
      </c>
      <c r="G100" s="17" t="n">
        <v>1.8509E7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10.0</v>
      </c>
      <c r="F103" s="26" t="n">
        <f>0</f>
        <v>0.0</v>
      </c>
      <c r="G103" s="25" t="n">
        <v>1.8509E7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12240.0</v>
      </c>
      <c r="F108" s="18" t="n">
        <f>451</f>
        <v>451.0</v>
      </c>
      <c r="G108" s="17" t="n">
        <v>1.56611554E12</v>
      </c>
      <c r="H108" s="18" t="n">
        <f>57680610000</f>
        <v>5.768061E10</v>
      </c>
    </row>
    <row r="109" spans="1:8" ht="24.9" customHeight="1">
      <c r="A109" s="51"/>
      <c r="B109" s="57"/>
      <c r="C109" s="39"/>
      <c r="D109" s="20" t="s">
        <v>16</v>
      </c>
      <c r="E109" s="21" t="n">
        <v>9728.0</v>
      </c>
      <c r="F109" s="22" t="n">
        <f>1070</f>
        <v>1070.0</v>
      </c>
      <c r="G109" s="21" t="n">
        <v>1.242144055E12</v>
      </c>
      <c r="H109" s="22" t="n">
        <f>136638565000</f>
        <v>1.36638565E11</v>
      </c>
    </row>
    <row r="110" spans="1:8" ht="24.9" customHeight="1">
      <c r="A110" s="51"/>
      <c r="B110" s="57"/>
      <c r="C110" s="39"/>
      <c r="D110" s="20" t="s">
        <v>17</v>
      </c>
      <c r="E110" s="21" t="n">
        <v>9787.0</v>
      </c>
      <c r="F110" s="22" t="n">
        <f>1256</f>
        <v>1256.0</v>
      </c>
      <c r="G110" s="21" t="n">
        <v>1.24919215E12</v>
      </c>
      <c r="H110" s="22" t="n">
        <f>160296480000</f>
        <v>1.6029648E11</v>
      </c>
    </row>
    <row r="111" spans="1:8" ht="24.9" customHeight="1">
      <c r="A111" s="51"/>
      <c r="B111" s="57"/>
      <c r="C111" s="39"/>
      <c r="D111" s="24" t="s">
        <v>18</v>
      </c>
      <c r="E111" s="25" t="n">
        <v>31755.0</v>
      </c>
      <c r="F111" s="26" t="n">
        <f>2777</f>
        <v>2777.0</v>
      </c>
      <c r="G111" s="25" t="n">
        <v>4.057451745E12</v>
      </c>
      <c r="H111" s="26" t="n">
        <f>354615655000</f>
        <v>3.54615655E11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276.0</v>
      </c>
      <c r="F113" s="22" t="n">
        <f>0</f>
        <v>0.0</v>
      </c>
      <c r="G113" s="21" t="n">
        <v>3.523524E9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630.0</v>
      </c>
      <c r="F114" s="22" t="n">
        <f>0</f>
        <v>0.0</v>
      </c>
      <c r="G114" s="21" t="n">
        <v>8.04069E9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906.0</v>
      </c>
      <c r="F115" s="26" t="n">
        <f>0</f>
        <v>0.0</v>
      </c>
      <c r="G115" s="25" t="n">
        <v>1.1564214E10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50.0</v>
      </c>
      <c r="F118" s="22" t="n">
        <f>0</f>
        <v>0.0</v>
      </c>
      <c r="G118" s="21" t="n">
        <v>4.5445E8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50.0</v>
      </c>
      <c r="F119" s="26" t="n">
        <f>0</f>
        <v>0.0</v>
      </c>
      <c r="G119" s="25" t="n">
        <v>4.5445E8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325.0</v>
      </c>
      <c r="F120" s="18" t="n">
        <f>0</f>
        <v>0.0</v>
      </c>
      <c r="G120" s="17" t="n">
        <v>8.033901875E9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155.0</v>
      </c>
      <c r="F121" s="22" t="n">
        <f>0</f>
        <v>0.0</v>
      </c>
      <c r="G121" s="21" t="n">
        <v>3.8329925E9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2045.0</v>
      </c>
      <c r="F122" s="22" t="n">
        <f>0</f>
        <v>0.0</v>
      </c>
      <c r="G122" s="21" t="n">
        <v>5.049070375E10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2525.0</v>
      </c>
      <c r="F123" s="26" t="n">
        <f>0</f>
        <v>0.0</v>
      </c>
      <c r="G123" s="25" t="n">
        <v>6.2357598125E10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10991.0</v>
      </c>
      <c r="F124" s="18" t="n">
        <f>0</f>
        <v>0.0</v>
      </c>
      <c r="G124" s="17" t="n">
        <v>2.34857683E11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1885.0</v>
      </c>
      <c r="F125" s="22" t="n">
        <f>0</f>
        <v>0.0</v>
      </c>
      <c r="G125" s="21" t="n">
        <v>4.0485602E10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3741.0</v>
      </c>
      <c r="F126" s="22" t="n">
        <f>1</f>
        <v>1.0</v>
      </c>
      <c r="G126" s="21" t="n">
        <v>8.0946934E10</v>
      </c>
      <c r="H126" s="22" t="n">
        <f>21550000</f>
        <v>2.155E7</v>
      </c>
    </row>
    <row r="127" spans="1:8" ht="24.9" customHeight="1">
      <c r="A127" s="51"/>
      <c r="B127" s="57"/>
      <c r="C127" s="39"/>
      <c r="D127" s="24" t="s">
        <v>18</v>
      </c>
      <c r="E127" s="25" t="n">
        <v>16617.0</v>
      </c>
      <c r="F127" s="26" t="n">
        <f>1</f>
        <v>1.0</v>
      </c>
      <c r="G127" s="25" t="n">
        <v>3.56290219E11</v>
      </c>
      <c r="H127" s="26" t="n">
        <f>21550000</f>
        <v>2.155E7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142.0</v>
      </c>
      <c r="F128" s="18" t="n">
        <f>0</f>
        <v>0.0</v>
      </c>
      <c r="G128" s="17" t="n">
        <v>3.016404E8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192.0</v>
      </c>
      <c r="F129" s="22" t="n">
        <f>0</f>
        <v>0.0</v>
      </c>
      <c r="G129" s="21" t="n">
        <v>4.095276E8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84.0</v>
      </c>
      <c r="F130" s="22" t="n">
        <f>0</f>
        <v>0.0</v>
      </c>
      <c r="G130" s="21" t="n">
        <v>1.805222E8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418.0</v>
      </c>
      <c r="F131" s="26" t="n">
        <f>0</f>
        <v>0.0</v>
      </c>
      <c r="G131" s="25" t="n">
        <v>8.916902E8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9071.0</v>
      </c>
      <c r="F132" s="18" t="n">
        <f>0</f>
        <v>0.0</v>
      </c>
      <c r="G132" s="17" t="n">
        <v>1.93642386E10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1473.0</v>
      </c>
      <c r="F133" s="22" t="n">
        <f>0</f>
        <v>0.0</v>
      </c>
      <c r="G133" s="21" t="n">
        <v>3.1630011E9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2547.0</v>
      </c>
      <c r="F134" s="22" t="n">
        <f>0</f>
        <v>0.0</v>
      </c>
      <c r="G134" s="21" t="n">
        <v>5.51417475E9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13091.0</v>
      </c>
      <c r="F135" s="26" t="n">
        <f>0</f>
        <v>0.0</v>
      </c>
      <c r="G135" s="25" t="n">
        <v>2.804141445E10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96.0</v>
      </c>
      <c r="F136" s="18" t="n">
        <f>0</f>
        <v>0.0</v>
      </c>
      <c r="G136" s="17" t="n">
        <v>2.029716E8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7.0</v>
      </c>
      <c r="F137" s="22" t="n">
        <f>0</f>
        <v>0.0</v>
      </c>
      <c r="G137" s="21" t="n">
        <v>1.48677E7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46.0</v>
      </c>
      <c r="F138" s="22" t="n">
        <f>0</f>
        <v>0.0</v>
      </c>
      <c r="G138" s="21" t="n">
        <v>9.86225E7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149.0</v>
      </c>
      <c r="F139" s="26" t="n">
        <f>0</f>
        <v>0.0</v>
      </c>
      <c r="G139" s="25" t="n">
        <v>3.164618E8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1.0</v>
      </c>
      <c r="F140" s="18" t="n">
        <f>0</f>
        <v>0.0</v>
      </c>
      <c r="G140" s="17" t="n">
        <v>9048000.0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2.0</v>
      </c>
      <c r="F142" s="22" t="n">
        <f>0</f>
        <v>0.0</v>
      </c>
      <c r="G142" s="21" t="n">
        <v>1.8195E7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3.0</v>
      </c>
      <c r="F143" s="26" t="n">
        <f>0</f>
        <v>0.0</v>
      </c>
      <c r="G143" s="25" t="n">
        <v>2.7243E7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1455.0</v>
      </c>
      <c r="F144" s="18" t="n">
        <f>0</f>
        <v>0.0</v>
      </c>
      <c r="G144" s="17" t="n">
        <v>5.887199E9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286.0</v>
      </c>
      <c r="F145" s="22" t="n">
        <f>0</f>
        <v>0.0</v>
      </c>
      <c r="G145" s="21" t="n">
        <v>1.165762E9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1061.0</v>
      </c>
      <c r="F146" s="22" t="n">
        <f>0</f>
        <v>0.0</v>
      </c>
      <c r="G146" s="21" t="n">
        <v>4.3828625E9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2802.0</v>
      </c>
      <c r="F147" s="26" t="n">
        <f>0</f>
        <v>0.0</v>
      </c>
      <c r="G147" s="25" t="n">
        <v>1.14358235E10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18.0</v>
      </c>
      <c r="F148" s="18" t="n">
        <f>0</f>
        <v>0.0</v>
      </c>
      <c r="G148" s="17" t="n">
        <v>1.48285E7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8.0</v>
      </c>
      <c r="F149" s="22" t="n">
        <f>0</f>
        <v>0.0</v>
      </c>
      <c r="G149" s="21" t="n">
        <v>6685200.0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217.0</v>
      </c>
      <c r="F150" s="22" t="n">
        <f>0</f>
        <v>0.0</v>
      </c>
      <c r="G150" s="21" t="n">
        <v>1.833849E8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243.0</v>
      </c>
      <c r="F151" s="26" t="n">
        <f>0</f>
        <v>0.0</v>
      </c>
      <c r="G151" s="25" t="n">
        <v>2.048986E8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589.0</v>
      </c>
      <c r="F152" s="18" t="n">
        <f>0</f>
        <v>0.0</v>
      </c>
      <c r="G152" s="17" t="n">
        <v>4.764332E8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196.0</v>
      </c>
      <c r="F153" s="22" t="n">
        <f>0</f>
        <v>0.0</v>
      </c>
      <c r="G153" s="21" t="n">
        <v>1.597118E8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304.0</v>
      </c>
      <c r="F154" s="22" t="n">
        <f>0</f>
        <v>0.0</v>
      </c>
      <c r="G154" s="21" t="n">
        <v>2.508715E8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1089.0</v>
      </c>
      <c r="F155" s="26" t="n">
        <f>0</f>
        <v>0.0</v>
      </c>
      <c r="G155" s="25" t="n">
        <v>8.870165E8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139.0</v>
      </c>
      <c r="F156" s="18" t="n">
        <f>0</f>
        <v>0.0</v>
      </c>
      <c r="G156" s="17" t="n">
        <v>1.129364E8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346.0</v>
      </c>
      <c r="F157" s="22" t="n">
        <f>0</f>
        <v>0.0</v>
      </c>
      <c r="G157" s="21" t="n">
        <v>2.835668E8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765.0</v>
      </c>
      <c r="F158" s="22" t="n">
        <f>0</f>
        <v>0.0</v>
      </c>
      <c r="G158" s="21" t="n">
        <v>6.328738E8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1250.0</v>
      </c>
      <c r="F159" s="26" t="n">
        <f>0</f>
        <v>0.0</v>
      </c>
      <c r="G159" s="25" t="n">
        <v>1.029377E9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276.0</v>
      </c>
      <c r="F168" s="18" t="n">
        <f>0</f>
        <v>0.0</v>
      </c>
      <c r="G168" s="17" t="n">
        <v>5.811465E8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187.0</v>
      </c>
      <c r="F169" s="22" t="n">
        <f>0</f>
        <v>0.0</v>
      </c>
      <c r="G169" s="21" t="n">
        <v>3.916075E8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492.0</v>
      </c>
      <c r="F170" s="22" t="n">
        <f>0</f>
        <v>0.0</v>
      </c>
      <c r="G170" s="21" t="n">
        <v>1.023152E9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955.0</v>
      </c>
      <c r="F171" s="26" t="n">
        <f>0</f>
        <v>0.0</v>
      </c>
      <c r="G171" s="25" t="n">
        <v>1.995906E9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47.0</v>
      </c>
      <c r="F176" s="18" t="n">
        <f>0</f>
        <v>0.0</v>
      </c>
      <c r="G176" s="17" t="n">
        <v>8.0185E7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4.0</v>
      </c>
      <c r="F178" s="22" t="n">
        <f>0</f>
        <v>0.0</v>
      </c>
      <c r="G178" s="21" t="n">
        <v>7058000.0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51.0</v>
      </c>
      <c r="F179" s="26" t="n">
        <f>0</f>
        <v>0.0</v>
      </c>
      <c r="G179" s="25" t="n">
        <v>8.7243E7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517.0</v>
      </c>
      <c r="F204" s="18" t="n">
        <f>0</f>
        <v>0.0</v>
      </c>
      <c r="G204" s="17" t="n">
        <v>2.03634E9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162.0</v>
      </c>
      <c r="F205" s="22" t="n">
        <f>0</f>
        <v>0.0</v>
      </c>
      <c r="G205" s="21" t="n">
        <v>6.36206E8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1020.0</v>
      </c>
      <c r="F206" s="22" t="n">
        <f>0</f>
        <v>0.0</v>
      </c>
      <c r="G206" s="21" t="n">
        <v>4.0068055E9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1699.0</v>
      </c>
      <c r="F207" s="26" t="n">
        <f>0</f>
        <v>0.0</v>
      </c>
      <c r="G207" s="25" t="n">
        <v>6.6793515E9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6.0</v>
      </c>
      <c r="F208" s="18" t="n">
        <f>6</f>
        <v>6.0</v>
      </c>
      <c r="G208" s="17" t="n">
        <v>1.0044E7</v>
      </c>
      <c r="H208" s="18" t="n">
        <f>10044000</f>
        <v>1.0044E7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6.0</v>
      </c>
      <c r="F211" s="26" t="n">
        <f>6</f>
        <v>6.0</v>
      </c>
      <c r="G211" s="25" t="n">
        <v>1.0044E7</v>
      </c>
      <c r="H211" s="26" t="n">
        <f>10044000</f>
        <v>1.0044E7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5.0</v>
      </c>
      <c r="F248" s="18" t="n">
        <f>5</f>
        <v>5.0</v>
      </c>
      <c r="G248" s="17" t="n">
        <v>7.20288E7</v>
      </c>
      <c r="H248" s="18" t="n">
        <f>72028800</f>
        <v>7.20288E7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5.0</v>
      </c>
      <c r="F251" s="26" t="n">
        <f>5</f>
        <v>5.0</v>
      </c>
      <c r="G251" s="25" t="n">
        <v>7.20288E7</v>
      </c>
      <c r="H251" s="26" t="n">
        <f>72028800</f>
        <v>7.20288E7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46224.0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46224.0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10096</f>
        <v>10096.0</v>
      </c>
      <c r="E12" s="35" t="n">
        <f>5268</f>
        <v>5268.0</v>
      </c>
      <c r="F12" s="17" t="n">
        <f>5645</f>
        <v>5645.0</v>
      </c>
      <c r="G12" s="35" t="n">
        <f>1892</f>
        <v>1892.0</v>
      </c>
      <c r="H12" s="17" t="n">
        <f>15741</f>
        <v>15741.0</v>
      </c>
      <c r="I12" s="35" t="n">
        <f>7160</f>
        <v>7160.0</v>
      </c>
      <c r="J12" s="17" t="n">
        <f>10176419540</f>
        <v>1.017641954E10</v>
      </c>
      <c r="K12" s="35" t="n">
        <f>7597420540</f>
        <v>7.59742054E9</v>
      </c>
      <c r="L12" s="17" t="n">
        <f>6294735090</f>
        <v>6.29473509E9</v>
      </c>
      <c r="M12" s="35" t="n">
        <f>4865625090</f>
        <v>4.86562509E9</v>
      </c>
      <c r="N12" s="17" t="n">
        <f>16471154630</f>
        <v>1.647115463E10</v>
      </c>
      <c r="O12" s="35" t="n">
        <f>12463045630</f>
        <v>1.246304563E10</v>
      </c>
    </row>
    <row r="13" spans="1:15" ht="24.9" customHeight="1">
      <c r="A13" s="38"/>
      <c r="B13" s="62"/>
      <c r="C13" s="20" t="s">
        <v>16</v>
      </c>
      <c r="D13" s="21" t="n">
        <f>5059</f>
        <v>5059.0</v>
      </c>
      <c r="E13" s="36" t="n">
        <f>3962</f>
        <v>3962.0</v>
      </c>
      <c r="F13" s="21" t="n">
        <f>2643</f>
        <v>2643.0</v>
      </c>
      <c r="G13" s="36" t="n">
        <f>586</f>
        <v>586.0</v>
      </c>
      <c r="H13" s="21" t="n">
        <f>7702</f>
        <v>7702.0</v>
      </c>
      <c r="I13" s="36" t="n">
        <f>4548</f>
        <v>4548.0</v>
      </c>
      <c r="J13" s="21" t="n">
        <f>4451829450</f>
        <v>4.45182945E9</v>
      </c>
      <c r="K13" s="36" t="n">
        <f>3895754450</f>
        <v>3.89575445E9</v>
      </c>
      <c r="L13" s="21" t="n">
        <f>1027230260</f>
        <v>1.02723026E9</v>
      </c>
      <c r="M13" s="36" t="n">
        <f>252929260</f>
        <v>2.5292926E8</v>
      </c>
      <c r="N13" s="21" t="n">
        <f>5479059710</f>
        <v>5.47905971E9</v>
      </c>
      <c r="O13" s="36" t="n">
        <f>4148683710</f>
        <v>4.14868371E9</v>
      </c>
    </row>
    <row r="14" spans="1:15" ht="24.9" customHeight="1">
      <c r="A14" s="38"/>
      <c r="B14" s="62"/>
      <c r="C14" s="20" t="s">
        <v>17</v>
      </c>
      <c r="D14" s="21" t="n">
        <f>18330</f>
        <v>18330.0</v>
      </c>
      <c r="E14" s="36" t="n">
        <f>13085</f>
        <v>13085.0</v>
      </c>
      <c r="F14" s="21" t="n">
        <f>7508</f>
        <v>7508.0</v>
      </c>
      <c r="G14" s="36" t="n">
        <f>3571</f>
        <v>3571.0</v>
      </c>
      <c r="H14" s="21" t="n">
        <f>25838</f>
        <v>25838.0</v>
      </c>
      <c r="I14" s="36" t="n">
        <f>16656</f>
        <v>16656.0</v>
      </c>
      <c r="J14" s="21" t="n">
        <f>17639342016</f>
        <v>1.7639342016E10</v>
      </c>
      <c r="K14" s="36" t="n">
        <f>14678953016</f>
        <v>1.4678953016E10</v>
      </c>
      <c r="L14" s="21" t="n">
        <f>5404478255</f>
        <v>5.404478255E9</v>
      </c>
      <c r="M14" s="36" t="n">
        <f>3769570255</f>
        <v>3.769570255E9</v>
      </c>
      <c r="N14" s="21" t="n">
        <f>23043820271</f>
        <v>2.3043820271E10</v>
      </c>
      <c r="O14" s="36" t="n">
        <f>18448523271</f>
        <v>1.8448523271E10</v>
      </c>
    </row>
    <row r="15" spans="1:15" ht="24.9" customHeight="1">
      <c r="A15" s="38"/>
      <c r="B15" s="62"/>
      <c r="C15" s="24" t="s">
        <v>18</v>
      </c>
      <c r="D15" s="25" t="n">
        <f>33485</f>
        <v>33485.0</v>
      </c>
      <c r="E15" s="37" t="n">
        <f>22315</f>
        <v>22315.0</v>
      </c>
      <c r="F15" s="25" t="n">
        <f>15796</f>
        <v>15796.0</v>
      </c>
      <c r="G15" s="37" t="n">
        <f>6049</f>
        <v>6049.0</v>
      </c>
      <c r="H15" s="25" t="n">
        <f>49281</f>
        <v>49281.0</v>
      </c>
      <c r="I15" s="37" t="n">
        <f>28364</f>
        <v>28364.0</v>
      </c>
      <c r="J15" s="25" t="n">
        <f>32267591006</f>
        <v>3.2267591006E10</v>
      </c>
      <c r="K15" s="37" t="n">
        <f>26172128006</f>
        <v>2.6172128006E10</v>
      </c>
      <c r="L15" s="25" t="n">
        <f>12726443605</f>
        <v>1.2726443605E10</v>
      </c>
      <c r="M15" s="37" t="n">
        <f>8888124605</f>
        <v>8.888124605E9</v>
      </c>
      <c r="N15" s="25" t="n">
        <f>44994034611</f>
        <v>4.4994034611E10</v>
      </c>
      <c r="O15" s="37" t="n">
        <f>35060252611</f>
        <v>3.5060252611E10</v>
      </c>
    </row>
    <row r="16" spans="1:15" ht="24.9" customHeight="1">
      <c r="A16" s="38"/>
      <c r="B16" s="61" t="s">
        <v>105</v>
      </c>
      <c r="C16" s="16" t="s">
        <v>15</v>
      </c>
      <c r="D16" s="17" t="n">
        <f>9907</f>
        <v>9907.0</v>
      </c>
      <c r="E16" s="35" t="n">
        <f>610</f>
        <v>610.0</v>
      </c>
      <c r="F16" s="17" t="n">
        <f>29609</f>
        <v>29609.0</v>
      </c>
      <c r="G16" s="35" t="n">
        <f>1770</f>
        <v>1770.0</v>
      </c>
      <c r="H16" s="17" t="n">
        <f>39516</f>
        <v>39516.0</v>
      </c>
      <c r="I16" s="35" t="n">
        <f>2380</f>
        <v>2380.0</v>
      </c>
      <c r="J16" s="17" t="n">
        <f>1246598880</f>
        <v>1.24659888E9</v>
      </c>
      <c r="K16" s="35" t="n">
        <f>79187380</f>
        <v>7.918738E7</v>
      </c>
      <c r="L16" s="17" t="n">
        <f>1150045420</f>
        <v>1.15004542E9</v>
      </c>
      <c r="M16" s="35" t="n">
        <f>99048320</f>
        <v>9.904832E7</v>
      </c>
      <c r="N16" s="17" t="n">
        <f>2396644300</f>
        <v>2.3966443E9</v>
      </c>
      <c r="O16" s="35" t="n">
        <f>178235700</f>
        <v>1.782357E8</v>
      </c>
    </row>
    <row r="17" spans="1:15" ht="24.9" customHeight="1">
      <c r="A17" s="38"/>
      <c r="B17" s="62"/>
      <c r="C17" s="20" t="s">
        <v>16</v>
      </c>
      <c r="D17" s="21" t="n">
        <f>4599</f>
        <v>4599.0</v>
      </c>
      <c r="E17" s="36" t="n">
        <f>480</f>
        <v>480.0</v>
      </c>
      <c r="F17" s="21" t="n">
        <f>7478</f>
        <v>7478.0</v>
      </c>
      <c r="G17" s="36" t="n">
        <f>380</f>
        <v>380.0</v>
      </c>
      <c r="H17" s="21" t="n">
        <f>12077</f>
        <v>12077.0</v>
      </c>
      <c r="I17" s="36" t="n">
        <f>860</f>
        <v>860.0</v>
      </c>
      <c r="J17" s="21" t="n">
        <f>256305420</f>
        <v>2.5630542E8</v>
      </c>
      <c r="K17" s="36" t="n">
        <f>11379220</f>
        <v>1.137922E7</v>
      </c>
      <c r="L17" s="21" t="n">
        <f>243463600</f>
        <v>2.434636E8</v>
      </c>
      <c r="M17" s="36" t="n">
        <f>960300</f>
        <v>960300.0</v>
      </c>
      <c r="N17" s="21" t="n">
        <f>499769020</f>
        <v>4.9976902E8</v>
      </c>
      <c r="O17" s="36" t="n">
        <f>12339520</f>
        <v>1.233952E7</v>
      </c>
    </row>
    <row r="18" spans="1:15" ht="24.9" customHeight="1">
      <c r="A18" s="38"/>
      <c r="B18" s="62"/>
      <c r="C18" s="20" t="s">
        <v>17</v>
      </c>
      <c r="D18" s="21" t="n">
        <f>10143</f>
        <v>10143.0</v>
      </c>
      <c r="E18" s="36" t="n">
        <f>410</f>
        <v>410.0</v>
      </c>
      <c r="F18" s="21" t="n">
        <f>11556</f>
        <v>11556.0</v>
      </c>
      <c r="G18" s="36" t="n">
        <f>340</f>
        <v>340.0</v>
      </c>
      <c r="H18" s="21" t="n">
        <f>21699</f>
        <v>21699.0</v>
      </c>
      <c r="I18" s="36" t="n">
        <f>750</f>
        <v>750.0</v>
      </c>
      <c r="J18" s="21" t="n">
        <f>623768620</f>
        <v>6.2376862E8</v>
      </c>
      <c r="K18" s="36" t="n">
        <f>8929220</f>
        <v>8929220.0</v>
      </c>
      <c r="L18" s="21" t="n">
        <f>744536420</f>
        <v>7.4453642E8</v>
      </c>
      <c r="M18" s="36" t="n">
        <f>6506120</f>
        <v>6506120.0</v>
      </c>
      <c r="N18" s="21" t="n">
        <f>1368305040</f>
        <v>1.36830504E9</v>
      </c>
      <c r="O18" s="36" t="n">
        <f>15435340</f>
        <v>1.543534E7</v>
      </c>
    </row>
    <row r="19" spans="1:15" ht="24.9" customHeight="1">
      <c r="A19" s="38"/>
      <c r="B19" s="62"/>
      <c r="C19" s="24" t="s">
        <v>18</v>
      </c>
      <c r="D19" s="25" t="n">
        <f>24649</f>
        <v>24649.0</v>
      </c>
      <c r="E19" s="37" t="n">
        <f>1500</f>
        <v>1500.0</v>
      </c>
      <c r="F19" s="25" t="n">
        <f>48643</f>
        <v>48643.0</v>
      </c>
      <c r="G19" s="37" t="n">
        <f>2490</f>
        <v>2490.0</v>
      </c>
      <c r="H19" s="25" t="n">
        <f>73292</f>
        <v>73292.0</v>
      </c>
      <c r="I19" s="37" t="n">
        <f>3990</f>
        <v>3990.0</v>
      </c>
      <c r="J19" s="25" t="n">
        <f>2126672920</f>
        <v>2.12667292E9</v>
      </c>
      <c r="K19" s="37" t="n">
        <f>99495820</f>
        <v>9.949582E7</v>
      </c>
      <c r="L19" s="25" t="n">
        <f>2138045440</f>
        <v>2.13804544E9</v>
      </c>
      <c r="M19" s="37" t="n">
        <f>106514740</f>
        <v>1.0651474E8</v>
      </c>
      <c r="N19" s="25" t="n">
        <f>4264718360</f>
        <v>4.26471836E9</v>
      </c>
      <c r="O19" s="37" t="n">
        <f>206010560</f>
        <v>2.0601056E8</v>
      </c>
    </row>
    <row r="20" spans="1:15" ht="24.9" customHeight="1">
      <c r="A20" s="38"/>
      <c r="B20" s="61" t="s">
        <v>106</v>
      </c>
      <c r="C20" s="16" t="s">
        <v>15</v>
      </c>
      <c r="D20" s="17" t="n">
        <f>270</f>
        <v>270.0</v>
      </c>
      <c r="E20" s="35" t="n">
        <f>270</f>
        <v>270.0</v>
      </c>
      <c r="F20" s="17" t="n">
        <f>50</f>
        <v>50.0</v>
      </c>
      <c r="G20" s="35" t="n">
        <f>50</f>
        <v>50.0</v>
      </c>
      <c r="H20" s="17" t="n">
        <f>320</f>
        <v>320.0</v>
      </c>
      <c r="I20" s="35" t="n">
        <f>320</f>
        <v>320.0</v>
      </c>
      <c r="J20" s="17" t="n">
        <f>570580000</f>
        <v>5.7058E8</v>
      </c>
      <c r="K20" s="35" t="n">
        <f>570580000</f>
        <v>5.7058E8</v>
      </c>
      <c r="L20" s="17" t="n">
        <f>109000000</f>
        <v>1.09E8</v>
      </c>
      <c r="M20" s="35" t="n">
        <f>109000000</f>
        <v>1.09E8</v>
      </c>
      <c r="N20" s="17" t="n">
        <f>679580000</f>
        <v>6.7958E8</v>
      </c>
      <c r="O20" s="35" t="n">
        <f>679580000</f>
        <v>6.7958E8</v>
      </c>
    </row>
    <row r="21" spans="1:15" ht="24.9" customHeight="1">
      <c r="A21" s="38"/>
      <c r="B21" s="62"/>
      <c r="C21" s="20" t="s">
        <v>16</v>
      </c>
      <c r="D21" s="21" t="n">
        <f>160</f>
        <v>160.0</v>
      </c>
      <c r="E21" s="36" t="n">
        <f>160</f>
        <v>160.0</v>
      </c>
      <c r="F21" s="21" t="n">
        <f>0</f>
        <v>0.0</v>
      </c>
      <c r="G21" s="36" t="n">
        <f>0</f>
        <v>0.0</v>
      </c>
      <c r="H21" s="21" t="n">
        <f>160</f>
        <v>160.0</v>
      </c>
      <c r="I21" s="36" t="n">
        <f>160</f>
        <v>160.0</v>
      </c>
      <c r="J21" s="21" t="n">
        <f>174400000</f>
        <v>1.744E8</v>
      </c>
      <c r="K21" s="36" t="n">
        <f>174400000</f>
        <v>1.744E8</v>
      </c>
      <c r="L21" s="21" t="n">
        <f>0</f>
        <v>0.0</v>
      </c>
      <c r="M21" s="36" t="n">
        <f>0</f>
        <v>0.0</v>
      </c>
      <c r="N21" s="21" t="n">
        <f>174400000</f>
        <v>1.744E8</v>
      </c>
      <c r="O21" s="36" t="n">
        <f>174400000</f>
        <v>1.744E8</v>
      </c>
    </row>
    <row r="22" spans="1:15" ht="24.9" customHeight="1">
      <c r="A22" s="38"/>
      <c r="B22" s="62"/>
      <c r="C22" s="20" t="s">
        <v>17</v>
      </c>
      <c r="D22" s="21" t="n">
        <f>845</f>
        <v>845.0</v>
      </c>
      <c r="E22" s="36" t="n">
        <f>740</f>
        <v>740.0</v>
      </c>
      <c r="F22" s="21" t="n">
        <f>275</f>
        <v>275.0</v>
      </c>
      <c r="G22" s="36" t="n">
        <f>275</f>
        <v>275.0</v>
      </c>
      <c r="H22" s="21" t="n">
        <f>1120</f>
        <v>1120.0</v>
      </c>
      <c r="I22" s="36" t="n">
        <f>1015</f>
        <v>1015.0</v>
      </c>
      <c r="J22" s="21" t="n">
        <f>708246000</f>
        <v>7.08246E8</v>
      </c>
      <c r="K22" s="36" t="n">
        <f>656196000</f>
        <v>6.56196E8</v>
      </c>
      <c r="L22" s="21" t="n">
        <f>248260000</f>
        <v>2.4826E8</v>
      </c>
      <c r="M22" s="36" t="n">
        <f>248260000</f>
        <v>2.4826E8</v>
      </c>
      <c r="N22" s="21" t="n">
        <f>956506000</f>
        <v>9.56506E8</v>
      </c>
      <c r="O22" s="36" t="n">
        <f>904456000</f>
        <v>9.04456E8</v>
      </c>
    </row>
    <row r="23" spans="1:15" ht="24.9" customHeight="1">
      <c r="A23" s="38"/>
      <c r="B23" s="62"/>
      <c r="C23" s="24" t="s">
        <v>18</v>
      </c>
      <c r="D23" s="25" t="n">
        <f>1275</f>
        <v>1275.0</v>
      </c>
      <c r="E23" s="37" t="n">
        <f>1170</f>
        <v>1170.0</v>
      </c>
      <c r="F23" s="25" t="n">
        <f>325</f>
        <v>325.0</v>
      </c>
      <c r="G23" s="37" t="n">
        <f>325</f>
        <v>325.0</v>
      </c>
      <c r="H23" s="25" t="n">
        <f>1600</f>
        <v>1600.0</v>
      </c>
      <c r="I23" s="37" t="n">
        <f>1495</f>
        <v>1495.0</v>
      </c>
      <c r="J23" s="25" t="n">
        <f>1453226000</f>
        <v>1.453226E9</v>
      </c>
      <c r="K23" s="37" t="n">
        <f>1401176000</f>
        <v>1.401176E9</v>
      </c>
      <c r="L23" s="25" t="n">
        <f>357260000</f>
        <v>3.5726E8</v>
      </c>
      <c r="M23" s="37" t="n">
        <f>357260000</f>
        <v>3.5726E8</v>
      </c>
      <c r="N23" s="25" t="n">
        <f>1810486000</f>
        <v>1.810486E9</v>
      </c>
      <c r="O23" s="37" t="n">
        <f>1758436000</f>
        <v>1.758436E9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2</f>
        <v>2.0</v>
      </c>
      <c r="E37" s="22" t="n">
        <f>0</f>
        <v>0.0</v>
      </c>
      <c r="F37" s="21" t="n">
        <f>1</f>
        <v>1.0</v>
      </c>
      <c r="G37" s="22" t="n">
        <f>0</f>
        <v>0.0</v>
      </c>
      <c r="H37" s="21" t="n">
        <f>3</f>
        <v>3.0</v>
      </c>
      <c r="I37" s="22" t="n">
        <f>0</f>
        <v>0.0</v>
      </c>
      <c r="J37" s="21" t="n">
        <f>90000</f>
        <v>90000.0</v>
      </c>
      <c r="K37" s="22" t="n">
        <f>0</f>
        <v>0.0</v>
      </c>
      <c r="L37" s="21" t="n">
        <f>130000</f>
        <v>130000.0</v>
      </c>
      <c r="M37" s="22" t="n">
        <f>0</f>
        <v>0.0</v>
      </c>
      <c r="N37" s="21" t="n">
        <f>220000</f>
        <v>220000.0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26</f>
        <v>26.0</v>
      </c>
      <c r="E38" s="36" t="n">
        <f>0</f>
        <v>0.0</v>
      </c>
      <c r="F38" s="21" t="n">
        <f>1</f>
        <v>1.0</v>
      </c>
      <c r="G38" s="36" t="n">
        <f>0</f>
        <v>0.0</v>
      </c>
      <c r="H38" s="21" t="n">
        <f>27</f>
        <v>27.0</v>
      </c>
      <c r="I38" s="36" t="n">
        <f>0</f>
        <v>0.0</v>
      </c>
      <c r="J38" s="21" t="n">
        <f>4090000</f>
        <v>4090000.0</v>
      </c>
      <c r="K38" s="36" t="n">
        <f>0</f>
        <v>0.0</v>
      </c>
      <c r="L38" s="21" t="n">
        <f>160000</f>
        <v>160000.0</v>
      </c>
      <c r="M38" s="36" t="n">
        <f>0</f>
        <v>0.0</v>
      </c>
      <c r="N38" s="21" t="n">
        <f>4250000</f>
        <v>4250000.0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28</f>
        <v>28.0</v>
      </c>
      <c r="E39" s="37" t="n">
        <f>0</f>
        <v>0.0</v>
      </c>
      <c r="F39" s="25" t="n">
        <f>2</f>
        <v>2.0</v>
      </c>
      <c r="G39" s="37" t="n">
        <f>0</f>
        <v>0.0</v>
      </c>
      <c r="H39" s="25" t="n">
        <f>30</f>
        <v>30.0</v>
      </c>
      <c r="I39" s="37" t="n">
        <f>0</f>
        <v>0.0</v>
      </c>
      <c r="J39" s="25" t="n">
        <f>4180000</f>
        <v>4180000.0</v>
      </c>
      <c r="K39" s="37" t="n">
        <f>0</f>
        <v>0.0</v>
      </c>
      <c r="L39" s="25" t="n">
        <f>290000</f>
        <v>290000.0</v>
      </c>
      <c r="M39" s="37" t="n">
        <f>0</f>
        <v>0.0</v>
      </c>
      <c r="N39" s="25" t="n">
        <f>4470000</f>
        <v>4470000.0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107</f>
        <v>107.0</v>
      </c>
      <c r="E41" s="36" t="n">
        <f>0</f>
        <v>0.0</v>
      </c>
      <c r="F41" s="21" t="n">
        <f>34105</f>
        <v>34105.0</v>
      </c>
      <c r="G41" s="36" t="n">
        <f>0</f>
        <v>0.0</v>
      </c>
      <c r="H41" s="21" t="n">
        <f>34212</f>
        <v>34212.0</v>
      </c>
      <c r="I41" s="36" t="n">
        <f>0</f>
        <v>0.0</v>
      </c>
      <c r="J41" s="21" t="n">
        <f>63731544</f>
        <v>6.3731544E7</v>
      </c>
      <c r="K41" s="36" t="n">
        <f>0</f>
        <v>0.0</v>
      </c>
      <c r="L41" s="21" t="n">
        <f>26258560</f>
        <v>2.625856E7</v>
      </c>
      <c r="M41" s="36" t="n">
        <f>0</f>
        <v>0.0</v>
      </c>
      <c r="N41" s="21" t="n">
        <f>89990104</f>
        <v>8.9990104E7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1372</f>
        <v>1372.0</v>
      </c>
      <c r="E42" s="36" t="n">
        <f>0</f>
        <v>0.0</v>
      </c>
      <c r="F42" s="21" t="n">
        <f>13266</f>
        <v>13266.0</v>
      </c>
      <c r="G42" s="36" t="n">
        <f>0</f>
        <v>0.0</v>
      </c>
      <c r="H42" s="21" t="n">
        <f>14638</f>
        <v>14638.0</v>
      </c>
      <c r="I42" s="36" t="n">
        <f>0</f>
        <v>0.0</v>
      </c>
      <c r="J42" s="21" t="n">
        <f>10091240</f>
        <v>1.009124E7</v>
      </c>
      <c r="K42" s="36" t="n">
        <f>0</f>
        <v>0.0</v>
      </c>
      <c r="L42" s="21" t="n">
        <f>20640215</f>
        <v>2.0640215E7</v>
      </c>
      <c r="M42" s="36" t="n">
        <f>0</f>
        <v>0.0</v>
      </c>
      <c r="N42" s="21" t="n">
        <f>30731455</f>
        <v>3.0731455E7</v>
      </c>
      <c r="O42" s="36" t="n">
        <f>0</f>
        <v>0.0</v>
      </c>
    </row>
    <row r="43" spans="1:15" ht="24.9" customHeight="1">
      <c r="A43" s="38"/>
      <c r="B43" s="62"/>
      <c r="C43" s="24" t="s">
        <v>18</v>
      </c>
      <c r="D43" s="25" t="n">
        <f>1479</f>
        <v>1479.0</v>
      </c>
      <c r="E43" s="37" t="n">
        <f>0</f>
        <v>0.0</v>
      </c>
      <c r="F43" s="25" t="n">
        <f>47371</f>
        <v>47371.0</v>
      </c>
      <c r="G43" s="37" t="n">
        <f>0</f>
        <v>0.0</v>
      </c>
      <c r="H43" s="25" t="n">
        <f>48850</f>
        <v>48850.0</v>
      </c>
      <c r="I43" s="37" t="n">
        <f>0</f>
        <v>0.0</v>
      </c>
      <c r="J43" s="25" t="n">
        <f>73822784</f>
        <v>7.3822784E7</v>
      </c>
      <c r="K43" s="37" t="n">
        <f>0</f>
        <v>0.0</v>
      </c>
      <c r="L43" s="25" t="n">
        <f>46898775</f>
        <v>4.6898775E7</v>
      </c>
      <c r="M43" s="37" t="n">
        <f>0</f>
        <v>0.0</v>
      </c>
      <c r="N43" s="25" t="n">
        <f>120721559</f>
        <v>1.20721559E8</v>
      </c>
      <c r="O43" s="37" t="n">
        <f>0</f>
        <v>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