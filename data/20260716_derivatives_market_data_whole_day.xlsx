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<sst xmlns="http://schemas.openxmlformats.org/spreadsheetml/2006/main" count="528" uniqueCount="129">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</sst>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DATE(2026,07,16)</f>
        <v>46219.0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DATE(2026,07,16)</f>
        <v>46219.0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810321.0</f>
        <v>810321.0</v>
      </c>
      <c r="E12" s="18" t="n">
        <f>35192.0</f>
        <v>35192.0</v>
      </c>
      <c r="F12" s="19" t="n">
        <f>1.0</f>
        <v>1.0</v>
      </c>
      <c r="G12" s="17" t="n">
        <f>5514975983329.0</f>
        <v>5.514975983329E12</v>
      </c>
      <c r="H12" s="18" t="n">
        <f>299054851854.0</f>
        <v>2.99054851854E11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498648.0</f>
        <v>498648.0</v>
      </c>
      <c r="E13" s="22" t="n">
        <f>21734.0</f>
        <v>21734.0</v>
      </c>
      <c r="F13" s="23" t="n">
        <f>1.0</f>
        <v>1.0</v>
      </c>
      <c r="G13" s="21" t="n">
        <f>5249770777123.0</f>
        <v>5.249770777123E12</v>
      </c>
      <c r="H13" s="22" t="n">
        <f>487513379323.0</f>
        <v>4.87513379323E11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566032.0</f>
        <v>566032.0</v>
      </c>
      <c r="E14" s="22" t="n">
        <f>37243.0</f>
        <v>37243.0</v>
      </c>
      <c r="F14" s="23" t="n">
        <f>1.0</f>
        <v>1.0</v>
      </c>
      <c r="G14" s="21" t="n">
        <f>6395282769460.0</f>
        <v>6.39528276946E12</v>
      </c>
      <c r="H14" s="22" t="n">
        <f>805505773760.0</f>
        <v>8.0550577376E11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1875001.0</f>
        <v>1875001.0</v>
      </c>
      <c r="E15" s="26" t="n">
        <f>94169.0</f>
        <v>94169.0</v>
      </c>
      <c r="F15" s="27" t="n">
        <f>1.0</f>
        <v>1.0</v>
      </c>
      <c r="G15" s="25" t="n">
        <f>17160029529912.0</f>
        <v>1.7160029529912E13</v>
      </c>
      <c r="H15" s="26" t="n">
        <f>1592074004937.0</f>
        <v>1.592074004937E12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16502.0</f>
        <v>16502.0</v>
      </c>
      <c r="E16" s="18" t="n">
        <f>93.0</f>
        <v>93.0</v>
      </c>
      <c r="F16" s="19" t="n">
        <f>0.02</f>
        <v>0.02</v>
      </c>
      <c r="G16" s="17" t="n">
        <f>1769815905625.0</f>
        <v>1.769815905625E12</v>
      </c>
      <c r="H16" s="18" t="n">
        <f>11897930000.0</f>
        <v>1.189793E10</v>
      </c>
      <c r="I16" s="19" t="n">
        <f>0.321</f>
        <v>0.321</v>
      </c>
    </row>
    <row r="17" spans="1:9" ht="24.9" customHeight="1">
      <c r="A17" s="41"/>
      <c r="B17" s="39"/>
      <c r="C17" s="20" t="s">
        <v>16</v>
      </c>
      <c r="D17" s="21" t="n">
        <f>16647.0</f>
        <v>16647.0</v>
      </c>
      <c r="E17" s="22" t="n">
        <f>2177.0</f>
        <v>2177.0</v>
      </c>
      <c r="F17" s="23" t="n">
        <f>0.033</f>
        <v>0.033</v>
      </c>
      <c r="G17" s="21" t="n">
        <f>2109071151250.0</f>
        <v>2.10907115125E12</v>
      </c>
      <c r="H17" s="22" t="n">
        <f>278412965000.0</f>
        <v>2.78412965E11</v>
      </c>
      <c r="I17" s="23" t="n">
        <f>0.402</f>
        <v>0.402</v>
      </c>
    </row>
    <row r="18" spans="1:9" ht="24.9" customHeight="1">
      <c r="A18" s="41"/>
      <c r="B18" s="39"/>
      <c r="C18" s="20" t="s">
        <v>17</v>
      </c>
      <c r="D18" s="21" t="n">
        <f>18234.0</f>
        <v>18234.0</v>
      </c>
      <c r="E18" s="22" t="n">
        <f>794.0</f>
        <v>794.0</v>
      </c>
      <c r="F18" s="23" t="n">
        <f>0.032</f>
        <v>0.032</v>
      </c>
      <c r="G18" s="21" t="n">
        <f>1870336567500.0</f>
        <v>1.8703365675E12</v>
      </c>
      <c r="H18" s="22" t="n">
        <f>101500060000.0</f>
        <v>1.0150006E11</v>
      </c>
      <c r="I18" s="23" t="n">
        <f>0.292</f>
        <v>0.292</v>
      </c>
    </row>
    <row r="19" spans="1:9" ht="24.9" customHeight="1">
      <c r="A19" s="41"/>
      <c r="B19" s="39"/>
      <c r="C19" s="24" t="s">
        <v>18</v>
      </c>
      <c r="D19" s="25" t="n">
        <f>51383.0</f>
        <v>51383.0</v>
      </c>
      <c r="E19" s="26" t="n">
        <f>3064.0</f>
        <v>3064.0</v>
      </c>
      <c r="F19" s="27" t="n">
        <f>0.027</f>
        <v>0.027</v>
      </c>
      <c r="G19" s="25" t="n">
        <f>5749223624375.0</f>
        <v>5.749223624375E12</v>
      </c>
      <c r="H19" s="26" t="n">
        <f>391810955000.0</f>
        <v>3.91810955E11</v>
      </c>
      <c r="I19" s="27" t="n">
        <f>0.335</f>
        <v>0.335</v>
      </c>
    </row>
    <row r="20" spans="1:9" ht="24.9" customHeight="1">
      <c r="A20" s="41"/>
      <c r="B20" s="39" t="s">
        <v>21</v>
      </c>
      <c r="C20" s="16" t="s">
        <v>15</v>
      </c>
      <c r="D20" s="17" t="n">
        <f>779621.0</f>
        <v>779621.0</v>
      </c>
      <c r="E20" s="18" t="n">
        <f>35099.0</f>
        <v>35099.0</v>
      </c>
      <c r="F20" s="19" t="n">
        <f>0.962</f>
        <v>0.962</v>
      </c>
      <c r="G20" s="17" t="n">
        <f>3631110598254.0</f>
        <v>3.631110598254E12</v>
      </c>
      <c r="H20" s="18" t="n">
        <f>287156921854.0</f>
        <v>2.87156921854E11</v>
      </c>
      <c r="I20" s="19" t="n">
        <f>0.658</f>
        <v>0.658</v>
      </c>
    </row>
    <row r="21" spans="1:9" ht="24.9" customHeight="1">
      <c r="A21" s="41"/>
      <c r="B21" s="39"/>
      <c r="C21" s="20" t="s">
        <v>16</v>
      </c>
      <c r="D21" s="21" t="n">
        <f>476067.0</f>
        <v>476067.0</v>
      </c>
      <c r="E21" s="22" t="n">
        <f>19488.0</f>
        <v>19488.0</v>
      </c>
      <c r="F21" s="23" t="n">
        <f>0.955</f>
        <v>0.955</v>
      </c>
      <c r="G21" s="21" t="n">
        <f>3094561705123.0</f>
        <v>3.094561705123E12</v>
      </c>
      <c r="H21" s="22" t="n">
        <f>208945578323.0</f>
        <v>2.08945578323E11</v>
      </c>
      <c r="I21" s="23" t="n">
        <f>0.589</f>
        <v>0.589</v>
      </c>
    </row>
    <row r="22" spans="1:9" ht="24.9" customHeight="1">
      <c r="A22" s="41"/>
      <c r="B22" s="39"/>
      <c r="C22" s="20" t="s">
        <v>17</v>
      </c>
      <c r="D22" s="21" t="n">
        <f>540964.0</f>
        <v>540964.0</v>
      </c>
      <c r="E22" s="22" t="n">
        <f>36359.0</f>
        <v>36359.0</v>
      </c>
      <c r="F22" s="23" t="n">
        <f>0.956</f>
        <v>0.956</v>
      </c>
      <c r="G22" s="21" t="n">
        <f>4476098097310.0</f>
        <v>4.47609809731E12</v>
      </c>
      <c r="H22" s="22" t="n">
        <f>703743288160.0</f>
        <v>7.0374328816E11</v>
      </c>
      <c r="I22" s="23" t="n">
        <f>0.7</f>
        <v>0.7</v>
      </c>
    </row>
    <row r="23" spans="1:9" ht="24.9" customHeight="1">
      <c r="A23" s="41"/>
      <c r="B23" s="39"/>
      <c r="C23" s="24" t="s">
        <v>18</v>
      </c>
      <c r="D23" s="25" t="n">
        <f>1796652.0</f>
        <v>1796652.0</v>
      </c>
      <c r="E23" s="26" t="n">
        <f>90946.0</f>
        <v>90946.0</v>
      </c>
      <c r="F23" s="27" t="n">
        <f>0.958</f>
        <v>0.958</v>
      </c>
      <c r="G23" s="25" t="n">
        <f>11201770400687.0</f>
        <v>1.1201770400687E13</v>
      </c>
      <c r="H23" s="26" t="n">
        <f>1199845788337.0</f>
        <v>1.199845788337E12</v>
      </c>
      <c r="I23" s="27" t="n">
        <f>0.653</f>
        <v>0.653</v>
      </c>
    </row>
    <row r="24" spans="1:9" ht="24.9" customHeight="1">
      <c r="A24" s="41"/>
      <c r="B24" s="39" t="s">
        <v>22</v>
      </c>
      <c r="C24" s="16" t="s">
        <v>15</v>
      </c>
      <c r="D24" s="17" t="n">
        <f>13655.0</f>
        <v>13655.0</v>
      </c>
      <c r="E24" s="18" t="n">
        <f>0.0</f>
        <v>0.0</v>
      </c>
      <c r="F24" s="19" t="n">
        <f>0.017</f>
        <v>0.017</v>
      </c>
      <c r="G24" s="17" t="n">
        <f>111935439950.0</f>
        <v>1.1193543995E11</v>
      </c>
      <c r="H24" s="18" t="n">
        <f>0.0</f>
        <v>0.0</v>
      </c>
      <c r="I24" s="19" t="n">
        <f>0.02</f>
        <v>0.02</v>
      </c>
    </row>
    <row r="25" spans="1:9" ht="24.9" customHeight="1">
      <c r="A25" s="41"/>
      <c r="B25" s="39"/>
      <c r="C25" s="20" t="s">
        <v>16</v>
      </c>
      <c r="D25" s="21" t="n">
        <f>5633.0</f>
        <v>5633.0</v>
      </c>
      <c r="E25" s="22" t="n">
        <f>69.0</f>
        <v>69.0</v>
      </c>
      <c r="F25" s="23" t="n">
        <f>0.011</f>
        <v>0.011</v>
      </c>
      <c r="G25" s="21" t="n">
        <f>44977495250.0</f>
        <v>4.497749525E10</v>
      </c>
      <c r="H25" s="22" t="n">
        <f>154836000.0</f>
        <v>1.54836E8</v>
      </c>
      <c r="I25" s="23" t="n">
        <f>0.009</f>
        <v>0.009</v>
      </c>
    </row>
    <row r="26" spans="1:9" ht="24.9" customHeight="1">
      <c r="A26" s="41"/>
      <c r="B26" s="39"/>
      <c r="C26" s="20" t="s">
        <v>17</v>
      </c>
      <c r="D26" s="21" t="n">
        <f>5517.0</f>
        <v>5517.0</v>
      </c>
      <c r="E26" s="22" t="n">
        <f>64.0</f>
        <v>64.0</v>
      </c>
      <c r="F26" s="23" t="n">
        <f>0.01</f>
        <v>0.01</v>
      </c>
      <c r="G26" s="21" t="n">
        <f>43844529050.0</f>
        <v>4.384452905E10</v>
      </c>
      <c r="H26" s="22" t="n">
        <f>224856000.0</f>
        <v>2.24856E8</v>
      </c>
      <c r="I26" s="23" t="n">
        <f>0.007</f>
        <v>0.007</v>
      </c>
    </row>
    <row r="27" spans="1:9" ht="24.9" customHeight="1">
      <c r="A27" s="42"/>
      <c r="B27" s="39"/>
      <c r="C27" s="24" t="s">
        <v>18</v>
      </c>
      <c r="D27" s="25" t="n">
        <f>24805.0</f>
        <v>24805.0</v>
      </c>
      <c r="E27" s="26" t="n">
        <f>133.0</f>
        <v>133.0</v>
      </c>
      <c r="F27" s="27" t="n">
        <f>0.013</f>
        <v>0.013</v>
      </c>
      <c r="G27" s="25" t="n">
        <f>200757464250.0</f>
        <v>2.0075746425E11</v>
      </c>
      <c r="H27" s="26" t="n">
        <f>379692000.0</f>
        <v>3.79692E8</v>
      </c>
      <c r="I27" s="27" t="n">
        <f>0.012</f>
        <v>0.012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543.0</f>
        <v>543.0</v>
      </c>
      <c r="E28" s="18" t="n">
        <f>0.0</f>
        <v>0.0</v>
      </c>
      <c r="F28" s="19" t="n">
        <f>0.001</f>
        <v>0.001</v>
      </c>
      <c r="G28" s="17" t="n">
        <f>2114039500.0</f>
        <v>2.1140395E9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301.0</f>
        <v>301.0</v>
      </c>
      <c r="E29" s="22" t="n">
        <f>0.0</f>
        <v>0.0</v>
      </c>
      <c r="F29" s="23" t="n">
        <f>0.001</f>
        <v>0.001</v>
      </c>
      <c r="G29" s="21" t="n">
        <f>1160425500.0</f>
        <v>1.1604255E9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1317.0</f>
        <v>1317.0</v>
      </c>
      <c r="E30" s="22" t="n">
        <f>26.0</f>
        <v>26.0</v>
      </c>
      <c r="F30" s="23" t="n">
        <f>0.002</f>
        <v>0.002</v>
      </c>
      <c r="G30" s="21" t="n">
        <f>5003575600.0</f>
        <v>5.0035756E9</v>
      </c>
      <c r="H30" s="22" t="n">
        <f>37569600.0</f>
        <v>3.75696E7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2161.0</f>
        <v>2161.0</v>
      </c>
      <c r="E31" s="26" t="n">
        <f>26.0</f>
        <v>26.0</v>
      </c>
      <c r="F31" s="27" t="n">
        <f>0.001</f>
        <v>0.001</v>
      </c>
      <c r="G31" s="25" t="n">
        <f>8278040600.0</f>
        <v>8.2780406E9</v>
      </c>
      <c r="H31" s="26" t="n">
        <f>37569600.0</f>
        <v>3.75696E7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46219.0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46219.0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31923</f>
        <v>31923.0</v>
      </c>
      <c r="E11" s="18" t="n">
        <f>6011</f>
        <v>6011.0</v>
      </c>
      <c r="F11" s="19" t="n">
        <f>1</f>
        <v>1.0</v>
      </c>
      <c r="G11" s="17" t="n">
        <f>2746318060</f>
        <v>2.74631806E9</v>
      </c>
      <c r="H11" s="18" t="n">
        <f>1265413660</f>
        <v>1.26541366E9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52192</f>
        <v>52192.0</v>
      </c>
      <c r="E12" s="22" t="n">
        <f>9830</f>
        <v>9830.0</v>
      </c>
      <c r="F12" s="23" t="n">
        <f>1</f>
        <v>1.0</v>
      </c>
      <c r="G12" s="21" t="n">
        <f>7828580294</f>
        <v>7.828580294E9</v>
      </c>
      <c r="H12" s="22" t="n">
        <f>6028807150</f>
        <v>6.02880715E9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73690</f>
        <v>73690.0</v>
      </c>
      <c r="E13" s="22" t="n">
        <f>13202</f>
        <v>13202.0</v>
      </c>
      <c r="F13" s="23" t="n">
        <f>1</f>
        <v>1.0</v>
      </c>
      <c r="G13" s="21" t="n">
        <f>19992379925</f>
        <v>1.9992379925E10</v>
      </c>
      <c r="H13" s="22" t="n">
        <f>17756121150</f>
        <v>1.775612115E10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157805</f>
        <v>157805.0</v>
      </c>
      <c r="E14" s="26" t="n">
        <f>29043</f>
        <v>29043.0</v>
      </c>
      <c r="F14" s="27" t="n">
        <f>1</f>
        <v>1.0</v>
      </c>
      <c r="G14" s="25" t="n">
        <f>30567278279</f>
        <v>3.0567278279E10</v>
      </c>
      <c r="H14" s="26" t="n">
        <f>25050341960</f>
        <v>2.505034196E10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157</f>
        <v>157.0</v>
      </c>
      <c r="E16" s="22" t="n">
        <f>60</f>
        <v>60.0</v>
      </c>
      <c r="F16" s="23" t="n">
        <f>0.003</f>
        <v>0.003</v>
      </c>
      <c r="G16" s="21" t="n">
        <f>26810000</f>
        <v>2.681E7</v>
      </c>
      <c r="H16" s="22" t="n">
        <f>8200000</f>
        <v>8200000.0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161</f>
        <v>161.0</v>
      </c>
      <c r="E17" s="22" t="n">
        <f>100</f>
        <v>100.0</v>
      </c>
      <c r="F17" s="23" t="n">
        <f>0.002</f>
        <v>0.002</v>
      </c>
      <c r="G17" s="21" t="n">
        <f>49330000</f>
        <v>4.933E7</v>
      </c>
      <c r="H17" s="22" t="n">
        <f>39000000</f>
        <v>3.9E7</v>
      </c>
      <c r="I17" s="23" t="n">
        <f>0.002</f>
        <v>0.002</v>
      </c>
    </row>
    <row r="18" spans="1:9" ht="24.9" customHeight="1">
      <c r="A18" s="41"/>
      <c r="B18" s="39"/>
      <c r="C18" s="24" t="s">
        <v>18</v>
      </c>
      <c r="D18" s="25" t="n">
        <f>318</f>
        <v>318.0</v>
      </c>
      <c r="E18" s="26" t="n">
        <f>160</f>
        <v>160.0</v>
      </c>
      <c r="F18" s="27" t="n">
        <f>0.002</f>
        <v>0.002</v>
      </c>
      <c r="G18" s="25" t="n">
        <f>76140000</f>
        <v>7.614E7</v>
      </c>
      <c r="H18" s="26" t="n">
        <f>47200000</f>
        <v>4.72E7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31923</f>
        <v>31923.0</v>
      </c>
      <c r="E19" s="18" t="n">
        <f>6011</f>
        <v>6011.0</v>
      </c>
      <c r="F19" s="19" t="n">
        <f>1</f>
        <v>1.0</v>
      </c>
      <c r="G19" s="17" t="n">
        <f>2746318060</f>
        <v>2.74631806E9</v>
      </c>
      <c r="H19" s="18" t="n">
        <f>1265413660</f>
        <v>1.26541366E9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33284</f>
        <v>33284.0</v>
      </c>
      <c r="E20" s="22" t="n">
        <f>9770</f>
        <v>9770.0</v>
      </c>
      <c r="F20" s="23" t="n">
        <f>0.638</f>
        <v>0.638</v>
      </c>
      <c r="G20" s="21" t="n">
        <f>7716673650</f>
        <v>7.71667365E9</v>
      </c>
      <c r="H20" s="22" t="n">
        <f>6020607150</f>
        <v>6.02060715E9</v>
      </c>
      <c r="I20" s="23" t="n">
        <f>0.986</f>
        <v>0.986</v>
      </c>
    </row>
    <row r="21" spans="1:9" ht="24.9" customHeight="1">
      <c r="A21" s="41"/>
      <c r="B21" s="39"/>
      <c r="C21" s="20" t="s">
        <v>17</v>
      </c>
      <c r="D21" s="21" t="n">
        <f>38779</f>
        <v>38779.0</v>
      </c>
      <c r="E21" s="22" t="n">
        <f>13102</f>
        <v>13102.0</v>
      </c>
      <c r="F21" s="23" t="n">
        <f>0.526</f>
        <v>0.526</v>
      </c>
      <c r="G21" s="21" t="n">
        <f>19844161250</f>
        <v>1.984416125E10</v>
      </c>
      <c r="H21" s="22" t="n">
        <f>17717121150</f>
        <v>1.771712115E10</v>
      </c>
      <c r="I21" s="23" t="n">
        <f>0.993</f>
        <v>0.993</v>
      </c>
    </row>
    <row r="22" spans="1:9" ht="24.9" customHeight="1">
      <c r="A22" s="41"/>
      <c r="B22" s="39"/>
      <c r="C22" s="24" t="s">
        <v>18</v>
      </c>
      <c r="D22" s="25" t="n">
        <f>103986</f>
        <v>103986.0</v>
      </c>
      <c r="E22" s="26" t="n">
        <f>28883</f>
        <v>28883.0</v>
      </c>
      <c r="F22" s="27" t="n">
        <f>0.659</f>
        <v>0.659</v>
      </c>
      <c r="G22" s="25" t="n">
        <f>30307152960</f>
        <v>3.030715296E10</v>
      </c>
      <c r="H22" s="26" t="n">
        <f>25003141960</f>
        <v>2.500314196E10</v>
      </c>
      <c r="I22" s="27" t="n">
        <f>0.991</f>
        <v>0.991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18751</f>
        <v>18751.0</v>
      </c>
      <c r="E24" s="22" t="n">
        <f>0</f>
        <v>0.0</v>
      </c>
      <c r="F24" s="23" t="n">
        <f>0.359</f>
        <v>0.359</v>
      </c>
      <c r="G24" s="21" t="n">
        <f>85096644</f>
        <v>8.5096644E7</v>
      </c>
      <c r="H24" s="22" t="n">
        <f>0</f>
        <v>0.0</v>
      </c>
      <c r="I24" s="23" t="n">
        <f>0.011</f>
        <v>0.011</v>
      </c>
    </row>
    <row r="25" spans="1:9" ht="24.9" customHeight="1">
      <c r="A25" s="41"/>
      <c r="B25" s="39"/>
      <c r="C25" s="20" t="s">
        <v>17</v>
      </c>
      <c r="D25" s="21" t="n">
        <f>34750</f>
        <v>34750.0</v>
      </c>
      <c r="E25" s="22" t="n">
        <f>0</f>
        <v>0.0</v>
      </c>
      <c r="F25" s="23" t="n">
        <f>0.472</f>
        <v>0.472</v>
      </c>
      <c r="G25" s="21" t="n">
        <f>98888675</f>
        <v>9.8888675E7</v>
      </c>
      <c r="H25" s="22" t="n">
        <f>0</f>
        <v>0.0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53501</f>
        <v>53501.0</v>
      </c>
      <c r="E26" s="26" t="n">
        <f>0</f>
        <v>0.0</v>
      </c>
      <c r="F26" s="27" t="n">
        <f>0.339</f>
        <v>0.339</v>
      </c>
      <c r="G26" s="25" t="n">
        <f>183985319</f>
        <v>1.83985319E8</v>
      </c>
      <c r="H26" s="26" t="n">
        <f>0</f>
        <v>0.0</v>
      </c>
      <c r="I26" s="27" t="n">
        <f>0.006</f>
        <v>0.006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46219.0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46219.0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12293.0</v>
      </c>
      <c r="F12" s="18" t="n">
        <f>756</f>
        <v>756.0</v>
      </c>
      <c r="G12" s="17" t="n">
        <v>8.347824008E11</v>
      </c>
      <c r="H12" s="18" t="n">
        <f>51420970800</f>
        <v>5.14209708E10</v>
      </c>
    </row>
    <row r="13" spans="1:8" ht="24.9" customHeight="1">
      <c r="A13" s="51"/>
      <c r="B13" s="57"/>
      <c r="C13" s="39"/>
      <c r="D13" s="20" t="s">
        <v>16</v>
      </c>
      <c r="E13" s="21" t="n">
        <v>14853.0</v>
      </c>
      <c r="F13" s="22" t="n">
        <f>1251</f>
        <v>1251.0</v>
      </c>
      <c r="G13" s="21" t="n">
        <v>9.96085553303E11</v>
      </c>
      <c r="H13" s="22" t="n">
        <f>83958023303</f>
        <v>8.3958023303E10</v>
      </c>
    </row>
    <row r="14" spans="1:8" ht="24.9" customHeight="1">
      <c r="A14" s="51"/>
      <c r="B14" s="57"/>
      <c r="C14" s="39"/>
      <c r="D14" s="20" t="s">
        <v>17</v>
      </c>
      <c r="E14" s="21" t="n">
        <v>25411.0</v>
      </c>
      <c r="F14" s="22" t="n">
        <f>4295</f>
        <v>4295.0</v>
      </c>
      <c r="G14" s="21" t="n">
        <v>1.70103971532E12</v>
      </c>
      <c r="H14" s="22" t="n">
        <f>287346423320</f>
        <v>2.8734642332E11</v>
      </c>
    </row>
    <row r="15" spans="1:8" ht="24.9" customHeight="1">
      <c r="A15" s="51"/>
      <c r="B15" s="57"/>
      <c r="C15" s="39"/>
      <c r="D15" s="24" t="s">
        <v>18</v>
      </c>
      <c r="E15" s="25" t="n">
        <v>52557.0</v>
      </c>
      <c r="F15" s="26" t="n">
        <f>6302</f>
        <v>6302.0</v>
      </c>
      <c r="G15" s="25" t="n">
        <v>3.531907669423E12</v>
      </c>
      <c r="H15" s="26" t="n">
        <f>422725417423</f>
        <v>4.22725417423E11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277826.0</v>
      </c>
      <c r="F16" s="18" t="n">
        <f>33806</f>
        <v>33806.0</v>
      </c>
      <c r="G16" s="17" t="n">
        <v>1.888329386774E12</v>
      </c>
      <c r="H16" s="18" t="n">
        <f>229952374774</f>
        <v>2.29952374774E11</v>
      </c>
    </row>
    <row r="17" spans="1:8" ht="24.9" customHeight="1">
      <c r="A17" s="51"/>
      <c r="B17" s="57"/>
      <c r="C17" s="39"/>
      <c r="D17" s="20" t="s">
        <v>16</v>
      </c>
      <c r="E17" s="21" t="n">
        <v>196451.0</v>
      </c>
      <c r="F17" s="22" t="n">
        <f>17883</f>
        <v>17883.0</v>
      </c>
      <c r="G17" s="21" t="n">
        <v>1.31779084162E12</v>
      </c>
      <c r="H17" s="22" t="n">
        <f>119918355120</f>
        <v>1.1991835512E11</v>
      </c>
    </row>
    <row r="18" spans="1:8" ht="24.9" customHeight="1">
      <c r="A18" s="51"/>
      <c r="B18" s="57"/>
      <c r="C18" s="39"/>
      <c r="D18" s="20" t="s">
        <v>17</v>
      </c>
      <c r="E18" s="21" t="n">
        <v>214161.0</v>
      </c>
      <c r="F18" s="22" t="n">
        <f>21858</f>
        <v>21858.0</v>
      </c>
      <c r="G18" s="21" t="n">
        <v>1.43360664602E12</v>
      </c>
      <c r="H18" s="22" t="n">
        <f>146351785520</f>
        <v>1.4635178552E11</v>
      </c>
    </row>
    <row r="19" spans="1:8" ht="24.9" customHeight="1">
      <c r="A19" s="51"/>
      <c r="B19" s="57"/>
      <c r="C19" s="39"/>
      <c r="D19" s="24" t="s">
        <v>18</v>
      </c>
      <c r="E19" s="25" t="n">
        <v>688438.0</v>
      </c>
      <c r="F19" s="26" t="n">
        <f>73547</f>
        <v>73547.0</v>
      </c>
      <c r="G19" s="25" t="n">
        <v>4.639726874414E12</v>
      </c>
      <c r="H19" s="26" t="n">
        <f>496222515414</f>
        <v>4.96222515414E11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469591.0</v>
      </c>
      <c r="F20" s="18" t="str">
        <f>"－"</f>
        <v>－</v>
      </c>
      <c r="G20" s="17" t="n">
        <v>3.192185303E11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241751.0</v>
      </c>
      <c r="F21" s="22" t="str">
        <f>"－"</f>
        <v>－</v>
      </c>
      <c r="G21" s="21" t="n">
        <v>1.6208768815E11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261013.0</v>
      </c>
      <c r="F22" s="22" t="str">
        <f>"－"</f>
        <v>－</v>
      </c>
      <c r="G22" s="21" t="n">
        <v>1.747317284E11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972355.0</v>
      </c>
      <c r="F23" s="26" t="str">
        <f>"－"</f>
        <v>－</v>
      </c>
      <c r="G23" s="25" t="n">
        <v>6.5603794685E11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13942.0</v>
      </c>
      <c r="F24" s="18" t="n">
        <f>99</f>
        <v>99.0</v>
      </c>
      <c r="G24" s="17" t="n">
        <v>5.672811994E11</v>
      </c>
      <c r="H24" s="18" t="n">
        <f>4043534400</f>
        <v>4.0435344E9</v>
      </c>
    </row>
    <row r="25" spans="1:8" ht="24.9" customHeight="1">
      <c r="A25" s="51"/>
      <c r="B25" s="57"/>
      <c r="C25" s="39"/>
      <c r="D25" s="20" t="s">
        <v>16</v>
      </c>
      <c r="E25" s="21" t="n">
        <v>14484.0</v>
      </c>
      <c r="F25" s="22" t="n">
        <f>102</f>
        <v>102.0</v>
      </c>
      <c r="G25" s="21" t="n">
        <v>5.87133401E11</v>
      </c>
      <c r="H25" s="22" t="n">
        <f>4144291000</f>
        <v>4.144291E9</v>
      </c>
    </row>
    <row r="26" spans="1:8" ht="24.9" customHeight="1">
      <c r="A26" s="51"/>
      <c r="B26" s="57"/>
      <c r="C26" s="39"/>
      <c r="D26" s="20" t="s">
        <v>17</v>
      </c>
      <c r="E26" s="21" t="n">
        <v>27717.0</v>
      </c>
      <c r="F26" s="22" t="n">
        <f>6338</f>
        <v>6338.0</v>
      </c>
      <c r="G26" s="21" t="n">
        <v>1.12024634958E12</v>
      </c>
      <c r="H26" s="22" t="n">
        <f>256048529580</f>
        <v>2.5604852958E11</v>
      </c>
    </row>
    <row r="27" spans="1:8" ht="24.9" customHeight="1">
      <c r="A27" s="51"/>
      <c r="B27" s="57"/>
      <c r="C27" s="39"/>
      <c r="D27" s="24" t="s">
        <v>18</v>
      </c>
      <c r="E27" s="25" t="n">
        <v>56143.0</v>
      </c>
      <c r="F27" s="26" t="n">
        <f>6539</f>
        <v>6539.0</v>
      </c>
      <c r="G27" s="25" t="n">
        <v>2.27466094998E12</v>
      </c>
      <c r="H27" s="26" t="n">
        <f>264236354980</f>
        <v>2.6423635498E11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4239.0</v>
      </c>
      <c r="F28" s="18" t="n">
        <f>416</f>
        <v>416.0</v>
      </c>
      <c r="G28" s="17" t="n">
        <v>1.725653217E10</v>
      </c>
      <c r="H28" s="18" t="n">
        <f>1696764670</f>
        <v>1.69676467E9</v>
      </c>
    </row>
    <row r="29" spans="1:8" ht="24.9" customHeight="1">
      <c r="A29" s="51"/>
      <c r="B29" s="57"/>
      <c r="C29" s="39"/>
      <c r="D29" s="20" t="s">
        <v>16</v>
      </c>
      <c r="E29" s="21" t="n">
        <v>6516.0</v>
      </c>
      <c r="F29" s="22" t="n">
        <f>221</f>
        <v>221.0</v>
      </c>
      <c r="G29" s="21" t="n">
        <v>2.641510975E10</v>
      </c>
      <c r="H29" s="22" t="n">
        <f>896650500</f>
        <v>8.966505E8</v>
      </c>
    </row>
    <row r="30" spans="1:8" ht="24.9" customHeight="1">
      <c r="A30" s="51"/>
      <c r="B30" s="57"/>
      <c r="C30" s="39"/>
      <c r="D30" s="20" t="s">
        <v>17</v>
      </c>
      <c r="E30" s="21" t="n">
        <v>7044.0</v>
      </c>
      <c r="F30" s="22" t="n">
        <f>184</f>
        <v>184.0</v>
      </c>
      <c r="G30" s="21" t="n">
        <v>2.847862131E10</v>
      </c>
      <c r="H30" s="22" t="n">
        <f>744343060</f>
        <v>7.4434306E8</v>
      </c>
    </row>
    <row r="31" spans="1:8" ht="24.9" customHeight="1">
      <c r="A31" s="51"/>
      <c r="B31" s="57"/>
      <c r="C31" s="39"/>
      <c r="D31" s="24" t="s">
        <v>18</v>
      </c>
      <c r="E31" s="25" t="n">
        <v>17799.0</v>
      </c>
      <c r="F31" s="26" t="n">
        <f>821</f>
        <v>821.0</v>
      </c>
      <c r="G31" s="25" t="n">
        <v>7.215026323E10</v>
      </c>
      <c r="H31" s="26" t="n">
        <f>3337758230</f>
        <v>3.33775823E9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494.0</v>
      </c>
      <c r="F36" s="18" t="n">
        <f>0</f>
        <v>0.0</v>
      </c>
      <c r="G36" s="17" t="n">
        <v>1.820773E9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1194.0</v>
      </c>
      <c r="F37" s="22" t="n">
        <f>2</f>
        <v>2.0</v>
      </c>
      <c r="G37" s="21" t="n">
        <v>4.376346E9</v>
      </c>
      <c r="H37" s="22" t="n">
        <f>7316500</f>
        <v>7316500.0</v>
      </c>
    </row>
    <row r="38" spans="1:8" ht="24.9" customHeight="1">
      <c r="A38" s="51"/>
      <c r="B38" s="57"/>
      <c r="C38" s="39"/>
      <c r="D38" s="20" t="s">
        <v>17</v>
      </c>
      <c r="E38" s="21" t="n">
        <v>4245.0</v>
      </c>
      <c r="F38" s="22" t="n">
        <f>3187</f>
        <v>3187.0</v>
      </c>
      <c r="G38" s="21" t="n">
        <v>1.548825378E10</v>
      </c>
      <c r="H38" s="22" t="n">
        <f>11626390780</f>
        <v>1.162639078E10</v>
      </c>
    </row>
    <row r="39" spans="1:8" ht="24.9" customHeight="1">
      <c r="A39" s="51"/>
      <c r="B39" s="57"/>
      <c r="C39" s="39"/>
      <c r="D39" s="24" t="s">
        <v>18</v>
      </c>
      <c r="E39" s="25" t="n">
        <v>5933.0</v>
      </c>
      <c r="F39" s="26" t="n">
        <f>3189</f>
        <v>3189.0</v>
      </c>
      <c r="G39" s="25" t="n">
        <v>2.168537278E10</v>
      </c>
      <c r="H39" s="26" t="n">
        <f>11633707280</f>
        <v>1.163370728E10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129.0</v>
      </c>
      <c r="F46" s="22" t="n">
        <f>129</f>
        <v>129.0</v>
      </c>
      <c r="G46" s="21" t="n">
        <v>9.762075E8</v>
      </c>
      <c r="H46" s="22" t="n">
        <f>976207500</f>
        <v>9.762075E8</v>
      </c>
    </row>
    <row r="47" spans="1:8" ht="24.9" customHeight="1">
      <c r="A47" s="51"/>
      <c r="B47" s="57"/>
      <c r="C47" s="39"/>
      <c r="D47" s="24" t="s">
        <v>18</v>
      </c>
      <c r="E47" s="25" t="n">
        <v>129.0</v>
      </c>
      <c r="F47" s="26" t="n">
        <f>129</f>
        <v>129.0</v>
      </c>
      <c r="G47" s="25" t="n">
        <v>9.762075E8</v>
      </c>
      <c r="H47" s="26" t="n">
        <f>976207500</f>
        <v>9.762075E8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0.0</v>
      </c>
      <c r="F48" s="18" t="n">
        <f>0</f>
        <v>0.0</v>
      </c>
      <c r="G48" s="17" t="n">
        <v>0.0</v>
      </c>
      <c r="H48" s="18" t="n">
        <f>0</f>
        <v>0.0</v>
      </c>
    </row>
    <row r="49" spans="1:8" ht="24.9" customHeight="1">
      <c r="A49" s="51"/>
      <c r="B49" s="57"/>
      <c r="C49" s="39"/>
      <c r="D49" s="20" t="s">
        <v>16</v>
      </c>
      <c r="E49" s="21" t="n">
        <v>37.0</v>
      </c>
      <c r="F49" s="22" t="n">
        <f>0</f>
        <v>0.0</v>
      </c>
      <c r="G49" s="21" t="n">
        <v>6.7687E7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465.0</v>
      </c>
      <c r="F50" s="22" t="n">
        <f>340</f>
        <v>340.0</v>
      </c>
      <c r="G50" s="21" t="n">
        <v>8.42509E8</v>
      </c>
      <c r="H50" s="22" t="n">
        <f>615793500</f>
        <v>6.157935E8</v>
      </c>
    </row>
    <row r="51" spans="1:8" ht="24.9" customHeight="1">
      <c r="A51" s="51"/>
      <c r="B51" s="57"/>
      <c r="C51" s="39"/>
      <c r="D51" s="24" t="s">
        <v>18</v>
      </c>
      <c r="E51" s="25" t="n">
        <v>502.0</v>
      </c>
      <c r="F51" s="26" t="n">
        <f>340</f>
        <v>340.0</v>
      </c>
      <c r="G51" s="25" t="n">
        <v>9.10196E8</v>
      </c>
      <c r="H51" s="26" t="n">
        <f>615793500</f>
        <v>6.157935E8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715.0</v>
      </c>
      <c r="F56" s="18" t="n">
        <f>16</f>
        <v>16.0</v>
      </c>
      <c r="G56" s="17" t="n">
        <v>5.172182E8</v>
      </c>
      <c r="H56" s="18" t="n">
        <f>11572200</f>
        <v>1.15722E7</v>
      </c>
    </row>
    <row r="57" spans="1:8" ht="24.9" customHeight="1">
      <c r="A57" s="51"/>
      <c r="B57" s="57"/>
      <c r="C57" s="39"/>
      <c r="D57" s="20" t="s">
        <v>16</v>
      </c>
      <c r="E57" s="21" t="n">
        <v>764.0</v>
      </c>
      <c r="F57" s="22" t="n">
        <f>29</f>
        <v>29.0</v>
      </c>
      <c r="G57" s="21" t="n">
        <v>5.519659E8</v>
      </c>
      <c r="H57" s="22" t="n">
        <f>20941900</f>
        <v>2.09419E7</v>
      </c>
    </row>
    <row r="58" spans="1:8" ht="24.9" customHeight="1">
      <c r="A58" s="51"/>
      <c r="B58" s="57"/>
      <c r="C58" s="39"/>
      <c r="D58" s="20" t="s">
        <v>17</v>
      </c>
      <c r="E58" s="21" t="n">
        <v>732.0</v>
      </c>
      <c r="F58" s="22" t="n">
        <f>25</f>
        <v>25.0</v>
      </c>
      <c r="G58" s="21" t="n">
        <v>5.216548E8</v>
      </c>
      <c r="H58" s="22" t="n">
        <f>17924800</f>
        <v>1.79248E7</v>
      </c>
    </row>
    <row r="59" spans="1:8" ht="24.9" customHeight="1">
      <c r="A59" s="51"/>
      <c r="B59" s="57"/>
      <c r="C59" s="39"/>
      <c r="D59" s="24" t="s">
        <v>18</v>
      </c>
      <c r="E59" s="25" t="n">
        <v>2211.0</v>
      </c>
      <c r="F59" s="26" t="n">
        <f>70</f>
        <v>70.0</v>
      </c>
      <c r="G59" s="25" t="n">
        <v>1.5908389E9</v>
      </c>
      <c r="H59" s="26" t="n">
        <f>50438900</f>
        <v>5.04389E7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264.0</v>
      </c>
      <c r="F60" s="18" t="n">
        <f>6</f>
        <v>6.0</v>
      </c>
      <c r="G60" s="17" t="n">
        <v>1.39627431E9</v>
      </c>
      <c r="H60" s="18" t="n">
        <f>31705010</f>
        <v>3.170501E7</v>
      </c>
    </row>
    <row r="61" spans="1:8" ht="24.9" customHeight="1">
      <c r="A61" s="51"/>
      <c r="B61" s="57"/>
      <c r="C61" s="39"/>
      <c r="D61" s="20" t="s">
        <v>16</v>
      </c>
      <c r="E61" s="21" t="n">
        <v>9.0</v>
      </c>
      <c r="F61" s="22" t="n">
        <f>0</f>
        <v>0.0</v>
      </c>
      <c r="G61" s="21" t="n">
        <v>4.76194E7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21.0</v>
      </c>
      <c r="F62" s="22" t="n">
        <f>3</f>
        <v>3.0</v>
      </c>
      <c r="G62" s="21" t="n">
        <v>1.111845E8</v>
      </c>
      <c r="H62" s="22" t="n">
        <f>15890100</f>
        <v>1.58901E7</v>
      </c>
    </row>
    <row r="63" spans="1:8" ht="24.9" customHeight="1">
      <c r="A63" s="51"/>
      <c r="B63" s="57"/>
      <c r="C63" s="39"/>
      <c r="D63" s="24" t="s">
        <v>18</v>
      </c>
      <c r="E63" s="25" t="n">
        <v>294.0</v>
      </c>
      <c r="F63" s="26" t="n">
        <f>9</f>
        <v>9.0</v>
      </c>
      <c r="G63" s="25" t="n">
        <v>1.55507821E9</v>
      </c>
      <c r="H63" s="26" t="n">
        <f>47595110</f>
        <v>4.759511E7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6.0</v>
      </c>
      <c r="F77" s="22" t="n">
        <f>0</f>
        <v>0.0</v>
      </c>
      <c r="G77" s="21" t="n">
        <v>2265000.0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0.0</v>
      </c>
      <c r="F78" s="22" t="n">
        <f>0</f>
        <v>0.0</v>
      </c>
      <c r="G78" s="21" t="n">
        <v>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6.0</v>
      </c>
      <c r="F79" s="26" t="n">
        <f>0</f>
        <v>0.0</v>
      </c>
      <c r="G79" s="25" t="n">
        <v>2265000.0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137.0</v>
      </c>
      <c r="F92" s="18" t="n">
        <f>0</f>
        <v>0.0</v>
      </c>
      <c r="G92" s="17" t="n">
        <v>2.211309E8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3228000.0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9.0</v>
      </c>
      <c r="F94" s="22" t="n">
        <f>0</f>
        <v>0.0</v>
      </c>
      <c r="G94" s="21" t="n">
        <v>1.45257E7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148.0</v>
      </c>
      <c r="F95" s="26" t="n">
        <f>0</f>
        <v>0.0</v>
      </c>
      <c r="G95" s="25" t="n">
        <v>2.388846E8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120.0</v>
      </c>
      <c r="F96" s="18" t="n">
        <f>0</f>
        <v>0.0</v>
      </c>
      <c r="G96" s="17" t="n">
        <v>2.871524E8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17.0</v>
      </c>
      <c r="F98" s="22" t="n">
        <f>0</f>
        <v>0.0</v>
      </c>
      <c r="G98" s="21" t="n">
        <v>4.07014E7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137.0</v>
      </c>
      <c r="F99" s="26" t="n">
        <f>0</f>
        <v>0.0</v>
      </c>
      <c r="G99" s="25" t="n">
        <v>3.278538E8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13196.0</v>
      </c>
      <c r="F108" s="18" t="n">
        <f>93</f>
        <v>93.0</v>
      </c>
      <c r="G108" s="17" t="n">
        <v>1.68816078E12</v>
      </c>
      <c r="H108" s="18" t="n">
        <f>11897930000</f>
        <v>1.189793E10</v>
      </c>
    </row>
    <row r="109" spans="1:8" ht="24.9" customHeight="1">
      <c r="A109" s="51"/>
      <c r="B109" s="57"/>
      <c r="C109" s="39"/>
      <c r="D109" s="20" t="s">
        <v>16</v>
      </c>
      <c r="E109" s="21" t="n">
        <v>16455.0</v>
      </c>
      <c r="F109" s="22" t="n">
        <f>2177</f>
        <v>2177.0</v>
      </c>
      <c r="G109" s="21" t="n">
        <v>2.104327755E12</v>
      </c>
      <c r="H109" s="22" t="n">
        <f>278412965000</f>
        <v>2.78412965E11</v>
      </c>
    </row>
    <row r="110" spans="1:8" ht="24.9" customHeight="1">
      <c r="A110" s="51"/>
      <c r="B110" s="57"/>
      <c r="C110" s="39"/>
      <c r="D110" s="20" t="s">
        <v>17</v>
      </c>
      <c r="E110" s="21" t="n">
        <v>13816.0</v>
      </c>
      <c r="F110" s="22" t="n">
        <f>794</f>
        <v>794.0</v>
      </c>
      <c r="G110" s="21" t="n">
        <v>1.76577048E12</v>
      </c>
      <c r="H110" s="22" t="n">
        <f>101500060000</f>
        <v>1.0150006E11</v>
      </c>
    </row>
    <row r="111" spans="1:8" ht="24.9" customHeight="1">
      <c r="A111" s="51"/>
      <c r="B111" s="57"/>
      <c r="C111" s="39"/>
      <c r="D111" s="24" t="s">
        <v>18</v>
      </c>
      <c r="E111" s="25" t="n">
        <v>43467.0</v>
      </c>
      <c r="F111" s="26" t="n">
        <f>3064</f>
        <v>3064.0</v>
      </c>
      <c r="G111" s="25" t="n">
        <v>5.558259015E12</v>
      </c>
      <c r="H111" s="26" t="n">
        <f>391810955000</f>
        <v>3.91810955E11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0.0</v>
      </c>
      <c r="F113" s="22" t="n">
        <f>0</f>
        <v>0.0</v>
      </c>
      <c r="G113" s="21" t="n">
        <v>0.0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0.0</v>
      </c>
      <c r="F115" s="26" t="n">
        <f>0</f>
        <v>0.0</v>
      </c>
      <c r="G115" s="25" t="n">
        <v>0.0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300.0</v>
      </c>
      <c r="F118" s="22" t="n">
        <f>0</f>
        <v>0.0</v>
      </c>
      <c r="G118" s="21" t="n">
        <v>2.74215E9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300.0</v>
      </c>
      <c r="F119" s="26" t="n">
        <f>0</f>
        <v>0.0</v>
      </c>
      <c r="G119" s="25" t="n">
        <v>2.74215E9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3306.0</v>
      </c>
      <c r="F120" s="18" t="n">
        <f>0</f>
        <v>0.0</v>
      </c>
      <c r="G120" s="17" t="n">
        <v>8.1655125625E10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192.0</v>
      </c>
      <c r="F121" s="22" t="n">
        <f>0</f>
        <v>0.0</v>
      </c>
      <c r="G121" s="21" t="n">
        <v>4.74339625E9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4118.0</v>
      </c>
      <c r="F122" s="22" t="n">
        <f>0</f>
        <v>0.0</v>
      </c>
      <c r="G122" s="21" t="n">
        <v>1.018239375E11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7616.0</v>
      </c>
      <c r="F123" s="26" t="n">
        <f>0</f>
        <v>0.0</v>
      </c>
      <c r="G123" s="25" t="n">
        <v>1.88222459375E11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4151.0</v>
      </c>
      <c r="F124" s="18" t="n">
        <f>0</f>
        <v>0.0</v>
      </c>
      <c r="G124" s="17" t="n">
        <v>8.9601085E10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1636.0</v>
      </c>
      <c r="F125" s="22" t="n">
        <f>0</f>
        <v>0.0</v>
      </c>
      <c r="G125" s="21" t="n">
        <v>3.528082E10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1603.0</v>
      </c>
      <c r="F126" s="22" t="n">
        <f>0</f>
        <v>0.0</v>
      </c>
      <c r="G126" s="21" t="n">
        <v>3.4441589E10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7390.0</v>
      </c>
      <c r="F127" s="26" t="n">
        <f>0</f>
        <v>0.0</v>
      </c>
      <c r="G127" s="25" t="n">
        <v>1.59323494E11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18.0</v>
      </c>
      <c r="F128" s="18" t="n">
        <f>0</f>
        <v>0.0</v>
      </c>
      <c r="G128" s="17" t="n">
        <v>3.87264E7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26.0</v>
      </c>
      <c r="F129" s="22" t="n">
        <f>0</f>
        <v>0.0</v>
      </c>
      <c r="G129" s="21" t="n">
        <v>5.57865E7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61.0</v>
      </c>
      <c r="F130" s="22" t="n">
        <f>0</f>
        <v>0.0</v>
      </c>
      <c r="G130" s="21" t="n">
        <v>1.304661E8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105.0</v>
      </c>
      <c r="F131" s="26" t="n">
        <f>0</f>
        <v>0.0</v>
      </c>
      <c r="G131" s="25" t="n">
        <v>2.24979E8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7250.0</v>
      </c>
      <c r="F132" s="18" t="n">
        <f>0</f>
        <v>0.0</v>
      </c>
      <c r="G132" s="17" t="n">
        <v>1.56529103E10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2223.0</v>
      </c>
      <c r="F133" s="22" t="n">
        <f>0</f>
        <v>0.0</v>
      </c>
      <c r="G133" s="21" t="n">
        <v>4.7983045E9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1824.0</v>
      </c>
      <c r="F134" s="22" t="n">
        <f>0</f>
        <v>0.0</v>
      </c>
      <c r="G134" s="21" t="n">
        <v>3.92151685E9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11297.0</v>
      </c>
      <c r="F135" s="26" t="n">
        <f>0</f>
        <v>0.0</v>
      </c>
      <c r="G135" s="25" t="n">
        <v>2.437273165E10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41.0</v>
      </c>
      <c r="F136" s="18" t="n">
        <f>0</f>
        <v>0.0</v>
      </c>
      <c r="G136" s="17" t="n">
        <v>8.74441E7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16.0</v>
      </c>
      <c r="F137" s="22" t="n">
        <f>0</f>
        <v>0.0</v>
      </c>
      <c r="G137" s="21" t="n">
        <v>3.42003E7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11.0</v>
      </c>
      <c r="F138" s="22" t="n">
        <f>0</f>
        <v>0.0</v>
      </c>
      <c r="G138" s="21" t="n">
        <v>2.34159E7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68.0</v>
      </c>
      <c r="F139" s="26" t="n">
        <f>0</f>
        <v>0.0</v>
      </c>
      <c r="G139" s="25" t="n">
        <v>1.450603E8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1316.0</v>
      </c>
      <c r="F144" s="18" t="n">
        <f>0</f>
        <v>0.0</v>
      </c>
      <c r="G144" s="17" t="n">
        <v>5.5063965E9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810.0</v>
      </c>
      <c r="F145" s="22" t="n">
        <f>0</f>
        <v>0.0</v>
      </c>
      <c r="G145" s="21" t="n">
        <v>3.4343165E9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908.0</v>
      </c>
      <c r="F146" s="22" t="n">
        <f>40</f>
        <v>40.0</v>
      </c>
      <c r="G146" s="21" t="n">
        <v>3.846319E9</v>
      </c>
      <c r="H146" s="22" t="n">
        <f>171000000</f>
        <v>1.71E8</v>
      </c>
    </row>
    <row r="147" spans="1:8" ht="24.9" customHeight="1">
      <c r="A147" s="51"/>
      <c r="B147" s="57"/>
      <c r="C147" s="39"/>
      <c r="D147" s="24" t="s">
        <v>18</v>
      </c>
      <c r="E147" s="25" t="n">
        <v>3034.0</v>
      </c>
      <c r="F147" s="26" t="n">
        <f>40</f>
        <v>40.0</v>
      </c>
      <c r="G147" s="25" t="n">
        <v>1.2787032E10</v>
      </c>
      <c r="H147" s="26" t="n">
        <f>171000000</f>
        <v>1.71E8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13.0</v>
      </c>
      <c r="F148" s="18" t="n">
        <f>0</f>
        <v>0.0</v>
      </c>
      <c r="G148" s="17" t="n">
        <v>1.11058E7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41.0</v>
      </c>
      <c r="F149" s="22" t="n">
        <f>0</f>
        <v>0.0</v>
      </c>
      <c r="G149" s="21" t="n">
        <v>3.56921E7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155.0</v>
      </c>
      <c r="F150" s="22" t="n">
        <f>0</f>
        <v>0.0</v>
      </c>
      <c r="G150" s="21" t="n">
        <v>1.344569E8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209.0</v>
      </c>
      <c r="F151" s="26" t="n">
        <f>0</f>
        <v>0.0</v>
      </c>
      <c r="G151" s="25" t="n">
        <v>1.812548E8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524.0</v>
      </c>
      <c r="F152" s="18" t="n">
        <f>0</f>
        <v>0.0</v>
      </c>
      <c r="G152" s="17" t="n">
        <v>4.3663925E8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216.0</v>
      </c>
      <c r="F153" s="22" t="n">
        <f>0</f>
        <v>0.0</v>
      </c>
      <c r="G153" s="21" t="n">
        <v>1.8274285E8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280.0</v>
      </c>
      <c r="F154" s="22" t="n">
        <f>0</f>
        <v>0.0</v>
      </c>
      <c r="G154" s="21" t="n">
        <v>2.37044E8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1020.0</v>
      </c>
      <c r="F155" s="26" t="n">
        <f>0</f>
        <v>0.0</v>
      </c>
      <c r="G155" s="25" t="n">
        <v>8.564261E8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103.0</v>
      </c>
      <c r="F156" s="18" t="n">
        <f>0</f>
        <v>0.0</v>
      </c>
      <c r="G156" s="17" t="n">
        <v>8.66126E7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218.0</v>
      </c>
      <c r="F157" s="22" t="n">
        <f>0</f>
        <v>0.0</v>
      </c>
      <c r="G157" s="21" t="n">
        <v>1.85804E8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235.0</v>
      </c>
      <c r="F158" s="22" t="n">
        <f>0</f>
        <v>0.0</v>
      </c>
      <c r="G158" s="21" t="n">
        <v>1.998933E8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556.0</v>
      </c>
      <c r="F159" s="26" t="n">
        <f>0</f>
        <v>0.0</v>
      </c>
      <c r="G159" s="25" t="n">
        <v>4.723099E8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239.0</v>
      </c>
      <c r="F168" s="18" t="n">
        <f>0</f>
        <v>0.0</v>
      </c>
      <c r="G168" s="17" t="n">
        <v>5.1452E8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447.0</v>
      </c>
      <c r="F169" s="22" t="n">
        <f>69</f>
        <v>69.0</v>
      </c>
      <c r="G169" s="21" t="n">
        <v>9.698285E8</v>
      </c>
      <c r="H169" s="22" t="n">
        <f>154836000</f>
        <v>1.54836E8</v>
      </c>
    </row>
    <row r="170" spans="1:8" ht="24.9" customHeight="1">
      <c r="A170" s="51"/>
      <c r="B170" s="57"/>
      <c r="C170" s="39"/>
      <c r="D170" s="20" t="s">
        <v>17</v>
      </c>
      <c r="E170" s="21" t="n">
        <v>344.0</v>
      </c>
      <c r="F170" s="22" t="n">
        <f>24</f>
        <v>24.0</v>
      </c>
      <c r="G170" s="21" t="n">
        <v>7.38436E8</v>
      </c>
      <c r="H170" s="22" t="n">
        <f>53856000</f>
        <v>5.3856E7</v>
      </c>
    </row>
    <row r="171" spans="1:8" ht="24.9" customHeight="1">
      <c r="A171" s="51"/>
      <c r="B171" s="57"/>
      <c r="C171" s="39"/>
      <c r="D171" s="24" t="s">
        <v>18</v>
      </c>
      <c r="E171" s="25" t="n">
        <v>1030.0</v>
      </c>
      <c r="F171" s="26" t="n">
        <f>93</f>
        <v>93.0</v>
      </c>
      <c r="G171" s="25" t="n">
        <v>2.2227845E9</v>
      </c>
      <c r="H171" s="26" t="n">
        <f>208692000</f>
        <v>2.08692E8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96.0</v>
      </c>
      <c r="F178" s="22" t="n">
        <f>0</f>
        <v>0.0</v>
      </c>
      <c r="G178" s="21" t="n">
        <v>1.71392E8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96.0</v>
      </c>
      <c r="F179" s="26" t="n">
        <f>0</f>
        <v>0.0</v>
      </c>
      <c r="G179" s="25" t="n">
        <v>1.71392E8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543.0</v>
      </c>
      <c r="F204" s="18" t="n">
        <f>0</f>
        <v>0.0</v>
      </c>
      <c r="G204" s="17" t="n">
        <v>2.1140395E9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301.0</v>
      </c>
      <c r="F205" s="22" t="n">
        <f>0</f>
        <v>0.0</v>
      </c>
      <c r="G205" s="21" t="n">
        <v>1.1604255E9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1291.0</v>
      </c>
      <c r="F206" s="22" t="n">
        <f>0</f>
        <v>0.0</v>
      </c>
      <c r="G206" s="21" t="n">
        <v>4.966006E9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2135.0</v>
      </c>
      <c r="F207" s="26" t="n">
        <f>0</f>
        <v>0.0</v>
      </c>
      <c r="G207" s="25" t="n">
        <v>8.240471E9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16.0</v>
      </c>
      <c r="F210" s="22" t="n">
        <f>16</f>
        <v>16.0</v>
      </c>
      <c r="G210" s="21" t="n">
        <v>2.48256E7</v>
      </c>
      <c r="H210" s="22" t="n">
        <f>24825600</f>
        <v>2.48256E7</v>
      </c>
    </row>
    <row r="211" spans="1:8" ht="24.9" customHeight="1">
      <c r="A211" s="57"/>
      <c r="B211" s="59"/>
      <c r="C211" s="39"/>
      <c r="D211" s="24" t="s">
        <v>18</v>
      </c>
      <c r="E211" s="25" t="n">
        <v>16.0</v>
      </c>
      <c r="F211" s="26" t="n">
        <f>16</f>
        <v>16.0</v>
      </c>
      <c r="G211" s="25" t="n">
        <v>2.48256E7</v>
      </c>
      <c r="H211" s="26" t="n">
        <f>24825600</f>
        <v>2.48256E7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10.0</v>
      </c>
      <c r="F214" s="22" t="n">
        <f>10</f>
        <v>10.0</v>
      </c>
      <c r="G214" s="21" t="n">
        <v>1.2744E7</v>
      </c>
      <c r="H214" s="22" t="n">
        <f>12744000</f>
        <v>1.2744E7</v>
      </c>
    </row>
    <row r="215" spans="1:8" ht="24.9" customHeight="1">
      <c r="A215" s="57"/>
      <c r="B215" s="59"/>
      <c r="C215" s="39"/>
      <c r="D215" s="24" t="s">
        <v>18</v>
      </c>
      <c r="E215" s="25" t="n">
        <v>10.0</v>
      </c>
      <c r="F215" s="26" t="n">
        <f>10</f>
        <v>10.0</v>
      </c>
      <c r="G215" s="25" t="n">
        <v>1.2744E7</v>
      </c>
      <c r="H215" s="26" t="n">
        <f>12744000</f>
        <v>1.2744E7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46219.0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46219.0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3231</f>
        <v>3231.0</v>
      </c>
      <c r="E12" s="35" t="n">
        <f>1908</f>
        <v>1908.0</v>
      </c>
      <c r="F12" s="17" t="n">
        <f>1329</f>
        <v>1329.0</v>
      </c>
      <c r="G12" s="35" t="n">
        <f>235</f>
        <v>235.0</v>
      </c>
      <c r="H12" s="17" t="n">
        <f>4560</f>
        <v>4560.0</v>
      </c>
      <c r="I12" s="35" t="n">
        <f>2143</f>
        <v>2143.0</v>
      </c>
      <c r="J12" s="17" t="n">
        <f>1325020390</f>
        <v>1.32502039E9</v>
      </c>
      <c r="K12" s="35" t="n">
        <f>904025390</f>
        <v>9.0402539E8</v>
      </c>
      <c r="L12" s="17" t="n">
        <f>489918160</f>
        <v>4.8991816E8</v>
      </c>
      <c r="M12" s="35" t="n">
        <f>53686160</f>
        <v>5.368616E7</v>
      </c>
      <c r="N12" s="17" t="n">
        <f>1814938550</f>
        <v>1.81493855E9</v>
      </c>
      <c r="O12" s="35" t="n">
        <f>957711550</f>
        <v>9.5771155E8</v>
      </c>
    </row>
    <row r="13" spans="1:15" ht="24.9" customHeight="1">
      <c r="A13" s="38"/>
      <c r="B13" s="62"/>
      <c r="C13" s="20" t="s">
        <v>16</v>
      </c>
      <c r="D13" s="21" t="n">
        <f>5635</f>
        <v>5635.0</v>
      </c>
      <c r="E13" s="36" t="n">
        <f>4199</f>
        <v>4199.0</v>
      </c>
      <c r="F13" s="21" t="n">
        <f>3438</f>
        <v>3438.0</v>
      </c>
      <c r="G13" s="36" t="n">
        <f>1751</f>
        <v>1751.0</v>
      </c>
      <c r="H13" s="21" t="n">
        <f>9073</f>
        <v>9073.0</v>
      </c>
      <c r="I13" s="36" t="n">
        <f>5950</f>
        <v>5950.0</v>
      </c>
      <c r="J13" s="21" t="n">
        <f>3405837550</f>
        <v>3.40583755E9</v>
      </c>
      <c r="K13" s="36" t="n">
        <f>2700783550</f>
        <v>2.70078355E9</v>
      </c>
      <c r="L13" s="21" t="n">
        <f>3092884510</f>
        <v>3.09288451E9</v>
      </c>
      <c r="M13" s="36" t="n">
        <f>2585379510</f>
        <v>2.58537951E9</v>
      </c>
      <c r="N13" s="21" t="n">
        <f>6498722060</f>
        <v>6.49872206E9</v>
      </c>
      <c r="O13" s="36" t="n">
        <f>5286163060</f>
        <v>5.28616306E9</v>
      </c>
    </row>
    <row r="14" spans="1:15" ht="24.9" customHeight="1">
      <c r="A14" s="38"/>
      <c r="B14" s="62"/>
      <c r="C14" s="20" t="s">
        <v>17</v>
      </c>
      <c r="D14" s="21" t="n">
        <f>9417</f>
        <v>9417.0</v>
      </c>
      <c r="E14" s="36" t="n">
        <f>7384</f>
        <v>7384.0</v>
      </c>
      <c r="F14" s="21" t="n">
        <f>5003</f>
        <v>5003.0</v>
      </c>
      <c r="G14" s="36" t="n">
        <f>3328</f>
        <v>3328.0</v>
      </c>
      <c r="H14" s="21" t="n">
        <f>14420</f>
        <v>14420.0</v>
      </c>
      <c r="I14" s="36" t="n">
        <f>10712</f>
        <v>10712.0</v>
      </c>
      <c r="J14" s="21" t="n">
        <f>11792724750</f>
        <v>1.179272475E10</v>
      </c>
      <c r="K14" s="36" t="n">
        <f>11091019750</f>
        <v>1.109101975E10</v>
      </c>
      <c r="L14" s="21" t="n">
        <f>6697078420</f>
        <v>6.69707842E9</v>
      </c>
      <c r="M14" s="36" t="n">
        <f>5835170420</f>
        <v>5.83517042E9</v>
      </c>
      <c r="N14" s="21" t="n">
        <f>18489803170</f>
        <v>1.848980317E10</v>
      </c>
      <c r="O14" s="36" t="n">
        <f>16926190170</f>
        <v>1.692619017E10</v>
      </c>
    </row>
    <row r="15" spans="1:15" ht="24.9" customHeight="1">
      <c r="A15" s="38"/>
      <c r="B15" s="62"/>
      <c r="C15" s="24" t="s">
        <v>18</v>
      </c>
      <c r="D15" s="25" t="n">
        <f>18283</f>
        <v>18283.0</v>
      </c>
      <c r="E15" s="37" t="n">
        <f>13491</f>
        <v>13491.0</v>
      </c>
      <c r="F15" s="25" t="n">
        <f>9770</f>
        <v>9770.0</v>
      </c>
      <c r="G15" s="37" t="n">
        <f>5314</f>
        <v>5314.0</v>
      </c>
      <c r="H15" s="25" t="n">
        <f>28053</f>
        <v>28053.0</v>
      </c>
      <c r="I15" s="37" t="n">
        <f>18805</f>
        <v>18805.0</v>
      </c>
      <c r="J15" s="25" t="n">
        <f>16523582690</f>
        <v>1.652358269E10</v>
      </c>
      <c r="K15" s="37" t="n">
        <f>14695828690</f>
        <v>1.469582869E10</v>
      </c>
      <c r="L15" s="25" t="n">
        <f>10279881090</f>
        <v>1.027988109E10</v>
      </c>
      <c r="M15" s="37" t="n">
        <f>8474236090</f>
        <v>8.47423609E9</v>
      </c>
      <c r="N15" s="25" t="n">
        <f>26803463780</f>
        <v>2.680346378E10</v>
      </c>
      <c r="O15" s="37" t="n">
        <f>23170064780</f>
        <v>2.317006478E10</v>
      </c>
    </row>
    <row r="16" spans="1:15" ht="24.9" customHeight="1">
      <c r="A16" s="38"/>
      <c r="B16" s="61" t="s">
        <v>105</v>
      </c>
      <c r="C16" s="16" t="s">
        <v>15</v>
      </c>
      <c r="D16" s="17" t="n">
        <f>15702</f>
        <v>15702.0</v>
      </c>
      <c r="E16" s="35" t="n">
        <f>2180</f>
        <v>2180.0</v>
      </c>
      <c r="F16" s="17" t="n">
        <f>11163</f>
        <v>11163.0</v>
      </c>
      <c r="G16" s="35" t="n">
        <f>1190</f>
        <v>1190.0</v>
      </c>
      <c r="H16" s="17" t="n">
        <f>26865</f>
        <v>26865.0</v>
      </c>
      <c r="I16" s="35" t="n">
        <f>3370</f>
        <v>3370.0</v>
      </c>
      <c r="J16" s="17" t="n">
        <f>360069700</f>
        <v>3.600697E8</v>
      </c>
      <c r="K16" s="35" t="n">
        <f>15392300</f>
        <v>1.53923E7</v>
      </c>
      <c r="L16" s="17" t="n">
        <f>284470810</f>
        <v>2.8447081E8</v>
      </c>
      <c r="M16" s="35" t="n">
        <f>5470810</f>
        <v>5470810.0</v>
      </c>
      <c r="N16" s="17" t="n">
        <f>644540510</f>
        <v>6.4454051E8</v>
      </c>
      <c r="O16" s="35" t="n">
        <f>20863110</f>
        <v>2.086311E7</v>
      </c>
    </row>
    <row r="17" spans="1:15" ht="24.9" customHeight="1">
      <c r="A17" s="38"/>
      <c r="B17" s="62"/>
      <c r="C17" s="20" t="s">
        <v>16</v>
      </c>
      <c r="D17" s="21" t="n">
        <f>13025</f>
        <v>13025.0</v>
      </c>
      <c r="E17" s="36" t="n">
        <f>720</f>
        <v>720.0</v>
      </c>
      <c r="F17" s="21" t="n">
        <f>10741</f>
        <v>10741.0</v>
      </c>
      <c r="G17" s="36" t="n">
        <f>2700</f>
        <v>2700.0</v>
      </c>
      <c r="H17" s="21" t="n">
        <f>23766</f>
        <v>23766.0</v>
      </c>
      <c r="I17" s="36" t="n">
        <f>3420</f>
        <v>3420.0</v>
      </c>
      <c r="J17" s="21" t="n">
        <f>293170130</f>
        <v>2.9317013E8</v>
      </c>
      <c r="K17" s="36" t="n">
        <f>6282730</f>
        <v>6282730.0</v>
      </c>
      <c r="L17" s="21" t="n">
        <f>249041460</f>
        <v>2.4904146E8</v>
      </c>
      <c r="M17" s="36" t="n">
        <f>75521360</f>
        <v>7.552136E7</v>
      </c>
      <c r="N17" s="21" t="n">
        <f>542211590</f>
        <v>5.4221159E8</v>
      </c>
      <c r="O17" s="36" t="n">
        <f>81804090</f>
        <v>8.180409E7</v>
      </c>
    </row>
    <row r="18" spans="1:15" ht="24.9" customHeight="1">
      <c r="A18" s="38"/>
      <c r="B18" s="62"/>
      <c r="C18" s="20" t="s">
        <v>17</v>
      </c>
      <c r="D18" s="21" t="n">
        <f>13025</f>
        <v>13025.0</v>
      </c>
      <c r="E18" s="36" t="n">
        <f>510</f>
        <v>510.0</v>
      </c>
      <c r="F18" s="21" t="n">
        <f>10397</f>
        <v>10397.0</v>
      </c>
      <c r="G18" s="36" t="n">
        <f>980</f>
        <v>980.0</v>
      </c>
      <c r="H18" s="21" t="n">
        <f>23422</f>
        <v>23422.0</v>
      </c>
      <c r="I18" s="36" t="n">
        <f>1490</f>
        <v>1490.0</v>
      </c>
      <c r="J18" s="21" t="n">
        <f>311446410</f>
        <v>3.1144641E8</v>
      </c>
      <c r="K18" s="36" t="n">
        <f>905810</f>
        <v>905810.0</v>
      </c>
      <c r="L18" s="21" t="n">
        <f>247256470</f>
        <v>2.4725647E8</v>
      </c>
      <c r="M18" s="36" t="n">
        <f>10059970</f>
        <v>1.005997E7</v>
      </c>
      <c r="N18" s="21" t="n">
        <f>558702880</f>
        <v>5.5870288E8</v>
      </c>
      <c r="O18" s="36" t="n">
        <f>10965780</f>
        <v>1.096578E7</v>
      </c>
    </row>
    <row r="19" spans="1:15" ht="24.9" customHeight="1">
      <c r="A19" s="38"/>
      <c r="B19" s="62"/>
      <c r="C19" s="24" t="s">
        <v>18</v>
      </c>
      <c r="D19" s="25" t="n">
        <f>41752</f>
        <v>41752.0</v>
      </c>
      <c r="E19" s="37" t="n">
        <f>3410</f>
        <v>3410.0</v>
      </c>
      <c r="F19" s="25" t="n">
        <f>32301</f>
        <v>32301.0</v>
      </c>
      <c r="G19" s="37" t="n">
        <f>4870</f>
        <v>4870.0</v>
      </c>
      <c r="H19" s="25" t="n">
        <f>74053</f>
        <v>74053.0</v>
      </c>
      <c r="I19" s="37" t="n">
        <f>8280</f>
        <v>8280.0</v>
      </c>
      <c r="J19" s="25" t="n">
        <f>964686240</f>
        <v>9.6468624E8</v>
      </c>
      <c r="K19" s="37" t="n">
        <f>22580840</f>
        <v>2.258084E7</v>
      </c>
      <c r="L19" s="25" t="n">
        <f>780768740</f>
        <v>7.8076874E8</v>
      </c>
      <c r="M19" s="37" t="n">
        <f>91052140</f>
        <v>9.105214E7</v>
      </c>
      <c r="N19" s="25" t="n">
        <f>1745454980</f>
        <v>1.74545498E9</v>
      </c>
      <c r="O19" s="37" t="n">
        <f>113632980</f>
        <v>1.1363298E8</v>
      </c>
    </row>
    <row r="20" spans="1:15" ht="24.9" customHeight="1">
      <c r="A20" s="38"/>
      <c r="B20" s="61" t="s">
        <v>106</v>
      </c>
      <c r="C20" s="16" t="s">
        <v>15</v>
      </c>
      <c r="D20" s="17" t="n">
        <f>250</f>
        <v>250.0</v>
      </c>
      <c r="E20" s="35" t="n">
        <f>250</f>
        <v>250.0</v>
      </c>
      <c r="F20" s="17" t="n">
        <f>248</f>
        <v>248.0</v>
      </c>
      <c r="G20" s="35" t="n">
        <f>248</f>
        <v>248.0</v>
      </c>
      <c r="H20" s="17" t="n">
        <f>498</f>
        <v>498.0</v>
      </c>
      <c r="I20" s="35" t="n">
        <f>498</f>
        <v>498.0</v>
      </c>
      <c r="J20" s="17" t="n">
        <f>171734000</f>
        <v>1.71734E8</v>
      </c>
      <c r="K20" s="35" t="n">
        <f>171734000</f>
        <v>1.71734E8</v>
      </c>
      <c r="L20" s="17" t="n">
        <f>115105000</f>
        <v>1.15105E8</v>
      </c>
      <c r="M20" s="35" t="n">
        <f>115105000</f>
        <v>1.15105E8</v>
      </c>
      <c r="N20" s="17" t="n">
        <f>286839000</f>
        <v>2.86839E8</v>
      </c>
      <c r="O20" s="35" t="n">
        <f>286839000</f>
        <v>2.86839E8</v>
      </c>
    </row>
    <row r="21" spans="1:15" ht="24.9" customHeight="1">
      <c r="A21" s="38"/>
      <c r="B21" s="62"/>
      <c r="C21" s="20" t="s">
        <v>16</v>
      </c>
      <c r="D21" s="21" t="n">
        <f>445</f>
        <v>445.0</v>
      </c>
      <c r="E21" s="36" t="n">
        <f>400</f>
        <v>400.0</v>
      </c>
      <c r="F21" s="21" t="n">
        <f>0</f>
        <v>0.0</v>
      </c>
      <c r="G21" s="36" t="n">
        <f>0</f>
        <v>0.0</v>
      </c>
      <c r="H21" s="21" t="n">
        <f>445</f>
        <v>445.0</v>
      </c>
      <c r="I21" s="36" t="n">
        <f>400</f>
        <v>400.0</v>
      </c>
      <c r="J21" s="21" t="n">
        <f>675740000</f>
        <v>6.7574E8</v>
      </c>
      <c r="K21" s="36" t="n">
        <f>652640000</f>
        <v>6.5264E8</v>
      </c>
      <c r="L21" s="21" t="n">
        <f>0</f>
        <v>0.0</v>
      </c>
      <c r="M21" s="36" t="n">
        <f>0</f>
        <v>0.0</v>
      </c>
      <c r="N21" s="21" t="n">
        <f>675740000</f>
        <v>6.7574E8</v>
      </c>
      <c r="O21" s="36" t="n">
        <f>652640000</f>
        <v>6.5264E8</v>
      </c>
    </row>
    <row r="22" spans="1:15" ht="24.9" customHeight="1">
      <c r="A22" s="38"/>
      <c r="B22" s="62"/>
      <c r="C22" s="20" t="s">
        <v>17</v>
      </c>
      <c r="D22" s="21" t="n">
        <f>730</f>
        <v>730.0</v>
      </c>
      <c r="E22" s="36" t="n">
        <f>700</f>
        <v>700.0</v>
      </c>
      <c r="F22" s="21" t="n">
        <f>207</f>
        <v>207.0</v>
      </c>
      <c r="G22" s="36" t="n">
        <f>200</f>
        <v>200.0</v>
      </c>
      <c r="H22" s="21" t="n">
        <f>937</f>
        <v>937.0</v>
      </c>
      <c r="I22" s="36" t="n">
        <f>900</f>
        <v>900.0</v>
      </c>
      <c r="J22" s="21" t="n">
        <f>473340200</f>
        <v>4.733402E8</v>
      </c>
      <c r="K22" s="36" t="n">
        <f>457965200</f>
        <v>4.579652E8</v>
      </c>
      <c r="L22" s="21" t="n">
        <f>322315000</f>
        <v>3.22315E8</v>
      </c>
      <c r="M22" s="36" t="n">
        <f>322000000</f>
        <v>3.22E8</v>
      </c>
      <c r="N22" s="21" t="n">
        <f>795655200</f>
        <v>7.956552E8</v>
      </c>
      <c r="O22" s="36" t="n">
        <f>779965200</f>
        <v>7.799652E8</v>
      </c>
    </row>
    <row r="23" spans="1:15" ht="24.9" customHeight="1">
      <c r="A23" s="38"/>
      <c r="B23" s="62"/>
      <c r="C23" s="24" t="s">
        <v>18</v>
      </c>
      <c r="D23" s="25" t="n">
        <f>1425</f>
        <v>1425.0</v>
      </c>
      <c r="E23" s="37" t="n">
        <f>1350</f>
        <v>1350.0</v>
      </c>
      <c r="F23" s="25" t="n">
        <f>455</f>
        <v>455.0</v>
      </c>
      <c r="G23" s="37" t="n">
        <f>448</f>
        <v>448.0</v>
      </c>
      <c r="H23" s="25" t="n">
        <f>1880</f>
        <v>1880.0</v>
      </c>
      <c r="I23" s="37" t="n">
        <f>1798</f>
        <v>1798.0</v>
      </c>
      <c r="J23" s="25" t="n">
        <f>1320814200</f>
        <v>1.3208142E9</v>
      </c>
      <c r="K23" s="37" t="n">
        <f>1282339200</f>
        <v>1.2823392E9</v>
      </c>
      <c r="L23" s="25" t="n">
        <f>437420000</f>
        <v>4.3742E8</v>
      </c>
      <c r="M23" s="37" t="n">
        <f>437105000</f>
        <v>4.37105E8</v>
      </c>
      <c r="N23" s="25" t="n">
        <f>1758234200</f>
        <v>1.7582342E9</v>
      </c>
      <c r="O23" s="37" t="n">
        <f>1719444200</f>
        <v>1.7194442E9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141</f>
        <v>141.0</v>
      </c>
      <c r="E37" s="22" t="n">
        <f>60</f>
        <v>60.0</v>
      </c>
      <c r="F37" s="21" t="n">
        <f>16</f>
        <v>16.0</v>
      </c>
      <c r="G37" s="22" t="n">
        <f>0</f>
        <v>0.0</v>
      </c>
      <c r="H37" s="21" t="n">
        <f>157</f>
        <v>157.0</v>
      </c>
      <c r="I37" s="22" t="n">
        <f>60</f>
        <v>60.0</v>
      </c>
      <c r="J37" s="21" t="n">
        <f>23310000</f>
        <v>2.331E7</v>
      </c>
      <c r="K37" s="22" t="n">
        <f>8200000</f>
        <v>8200000.0</v>
      </c>
      <c r="L37" s="21" t="n">
        <f>3500000</f>
        <v>3500000.0</v>
      </c>
      <c r="M37" s="22" t="n">
        <f>0</f>
        <v>0.0</v>
      </c>
      <c r="N37" s="21" t="n">
        <f>26810000</f>
        <v>2.681E7</v>
      </c>
      <c r="O37" s="22" t="n">
        <f>8200000</f>
        <v>8200000.0</v>
      </c>
    </row>
    <row r="38" spans="1:15" ht="24.9" customHeight="1">
      <c r="A38" s="38"/>
      <c r="B38" s="62"/>
      <c r="C38" s="20" t="s">
        <v>17</v>
      </c>
      <c r="D38" s="21" t="n">
        <f>81</f>
        <v>81.0</v>
      </c>
      <c r="E38" s="36" t="n">
        <f>50</f>
        <v>50.0</v>
      </c>
      <c r="F38" s="21" t="n">
        <f>80</f>
        <v>80.0</v>
      </c>
      <c r="G38" s="36" t="n">
        <f>50</f>
        <v>50.0</v>
      </c>
      <c r="H38" s="21" t="n">
        <f>161</f>
        <v>161.0</v>
      </c>
      <c r="I38" s="36" t="n">
        <f>100</f>
        <v>100.0</v>
      </c>
      <c r="J38" s="21" t="n">
        <f>19180000</f>
        <v>1.918E7</v>
      </c>
      <c r="K38" s="36" t="n">
        <f>17000000</f>
        <v>1.7E7</v>
      </c>
      <c r="L38" s="21" t="n">
        <f>30150000</f>
        <v>3.015E7</v>
      </c>
      <c r="M38" s="36" t="n">
        <f>22000000</f>
        <v>2.2E7</v>
      </c>
      <c r="N38" s="21" t="n">
        <f>49330000</f>
        <v>4.933E7</v>
      </c>
      <c r="O38" s="36" t="n">
        <f>39000000</f>
        <v>3.9E7</v>
      </c>
    </row>
    <row r="39" spans="1:15" ht="24.9" customHeight="1">
      <c r="A39" s="38"/>
      <c r="B39" s="62"/>
      <c r="C39" s="24" t="s">
        <v>18</v>
      </c>
      <c r="D39" s="25" t="n">
        <f>222</f>
        <v>222.0</v>
      </c>
      <c r="E39" s="37" t="n">
        <f>110</f>
        <v>110.0</v>
      </c>
      <c r="F39" s="25" t="n">
        <f>96</f>
        <v>96.0</v>
      </c>
      <c r="G39" s="37" t="n">
        <f>50</f>
        <v>50.0</v>
      </c>
      <c r="H39" s="25" t="n">
        <f>318</f>
        <v>318.0</v>
      </c>
      <c r="I39" s="37" t="n">
        <f>160</f>
        <v>160.0</v>
      </c>
      <c r="J39" s="25" t="n">
        <f>42490000</f>
        <v>4.249E7</v>
      </c>
      <c r="K39" s="37" t="n">
        <f>25200000</f>
        <v>2.52E7</v>
      </c>
      <c r="L39" s="25" t="n">
        <f>33650000</f>
        <v>3.365E7</v>
      </c>
      <c r="M39" s="37" t="n">
        <f>22000000</f>
        <v>2.2E7</v>
      </c>
      <c r="N39" s="25" t="n">
        <f>76140000</f>
        <v>7.614E7</v>
      </c>
      <c r="O39" s="37" t="n">
        <f>47200000</f>
        <v>4.72E7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15395</f>
        <v>15395.0</v>
      </c>
      <c r="E41" s="36" t="n">
        <f>0</f>
        <v>0.0</v>
      </c>
      <c r="F41" s="21" t="n">
        <f>3356</f>
        <v>3356.0</v>
      </c>
      <c r="G41" s="36" t="n">
        <f>0</f>
        <v>0.0</v>
      </c>
      <c r="H41" s="21" t="n">
        <f>18751</f>
        <v>18751.0</v>
      </c>
      <c r="I41" s="36" t="n">
        <f>0</f>
        <v>0.0</v>
      </c>
      <c r="J41" s="21" t="n">
        <f>41182134</f>
        <v>4.1182134E7</v>
      </c>
      <c r="K41" s="36" t="n">
        <f>0</f>
        <v>0.0</v>
      </c>
      <c r="L41" s="21" t="n">
        <f>43914510</f>
        <v>4.391451E7</v>
      </c>
      <c r="M41" s="36" t="n">
        <f>0</f>
        <v>0.0</v>
      </c>
      <c r="N41" s="21" t="n">
        <f>85096644</f>
        <v>8.5096644E7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7272</f>
        <v>7272.0</v>
      </c>
      <c r="E42" s="36" t="n">
        <f>0</f>
        <v>0.0</v>
      </c>
      <c r="F42" s="21" t="n">
        <f>27478</f>
        <v>27478.0</v>
      </c>
      <c r="G42" s="36" t="n">
        <f>0</f>
        <v>0.0</v>
      </c>
      <c r="H42" s="21" t="n">
        <f>34750</f>
        <v>34750.0</v>
      </c>
      <c r="I42" s="36" t="n">
        <f>0</f>
        <v>0.0</v>
      </c>
      <c r="J42" s="21" t="n">
        <f>45343795</f>
        <v>4.5343795E7</v>
      </c>
      <c r="K42" s="36" t="n">
        <f>0</f>
        <v>0.0</v>
      </c>
      <c r="L42" s="21" t="n">
        <f>53544880</f>
        <v>5.354488E7</v>
      </c>
      <c r="M42" s="36" t="n">
        <f>0</f>
        <v>0.0</v>
      </c>
      <c r="N42" s="21" t="n">
        <f>98888675</f>
        <v>9.8888675E7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22667</f>
        <v>22667.0</v>
      </c>
      <c r="E43" s="37" t="n">
        <f>0</f>
        <v>0.0</v>
      </c>
      <c r="F43" s="25" t="n">
        <f>30834</f>
        <v>30834.0</v>
      </c>
      <c r="G43" s="37" t="n">
        <f>0</f>
        <v>0.0</v>
      </c>
      <c r="H43" s="25" t="n">
        <f>53501</f>
        <v>53501.0</v>
      </c>
      <c r="I43" s="37" t="n">
        <f>0</f>
        <v>0.0</v>
      </c>
      <c r="J43" s="25" t="n">
        <f>86525929</f>
        <v>8.6525929E7</v>
      </c>
      <c r="K43" s="37" t="n">
        <f>0</f>
        <v>0.0</v>
      </c>
      <c r="L43" s="25" t="n">
        <f>97459390</f>
        <v>9.745939E7</v>
      </c>
      <c r="M43" s="37" t="n">
        <f>0</f>
        <v>0.0</v>
      </c>
      <c r="N43" s="25" t="n">
        <f>183985319</f>
        <v>1.83985319E8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