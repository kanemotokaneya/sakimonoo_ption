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<sst xmlns="http://schemas.openxmlformats.org/spreadsheetml/2006/main" count="528" uniqueCount="129">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</sst>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DATE(2026,06,10)</f>
        <v>46183.0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DATE(2026,06,10)</f>
        <v>46183.0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1790993.0</f>
        <v>1790993.0</v>
      </c>
      <c r="E12" s="18" t="n">
        <f>89705.0</f>
        <v>89705.0</v>
      </c>
      <c r="F12" s="19" t="n">
        <f>1.0</f>
        <v>1.0</v>
      </c>
      <c r="G12" s="17" t="n">
        <f>21771553296770.0</f>
        <v>2.177155329677E13</v>
      </c>
      <c r="H12" s="18" t="n">
        <f>4083961345995.0</f>
        <v>4.083961345995E12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948153.0</f>
        <v>948153.0</v>
      </c>
      <c r="E13" s="22" t="n">
        <f>150831.0</f>
        <v>150831.0</v>
      </c>
      <c r="F13" s="23" t="n">
        <f>1.0</f>
        <v>1.0</v>
      </c>
      <c r="G13" s="21" t="n">
        <f>29906117982171.0</f>
        <v>2.9906117982171E13</v>
      </c>
      <c r="H13" s="22" t="n">
        <f>7650703625171.0</f>
        <v>7.650703625171E12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1138449.0</f>
        <v>1138449.0</v>
      </c>
      <c r="E14" s="22" t="n">
        <f>215635.0</f>
        <v>215635.0</v>
      </c>
      <c r="F14" s="23" t="n">
        <f>1.0</f>
        <v>1.0</v>
      </c>
      <c r="G14" s="21" t="n">
        <f>34632088118202.0</f>
        <v>3.4632088118202E13</v>
      </c>
      <c r="H14" s="22" t="n">
        <f>12737476463977.0</f>
        <v>1.2737476463977E13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3877595.0</f>
        <v>3877595.0</v>
      </c>
      <c r="E15" s="26" t="n">
        <f>456171.0</f>
        <v>456171.0</v>
      </c>
      <c r="F15" s="27" t="n">
        <f>1.0</f>
        <v>1.0</v>
      </c>
      <c r="G15" s="25" t="n">
        <f>86309759397143.0</f>
        <v>8.6309759397143E13</v>
      </c>
      <c r="H15" s="26" t="n">
        <f>24472141435143.0</f>
        <v>2.4472141435143E13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87156.0</f>
        <v>87156.0</v>
      </c>
      <c r="E16" s="18" t="n">
        <f>23751.0</f>
        <v>23751.0</v>
      </c>
      <c r="F16" s="19" t="n">
        <f>0.049</f>
        <v>0.049</v>
      </c>
      <c r="G16" s="17" t="n">
        <f>10532707455375.0</f>
        <v>1.0532707455375E13</v>
      </c>
      <c r="H16" s="18" t="n">
        <f>3042617053500.0</f>
        <v>3.0426170535E12</v>
      </c>
      <c r="I16" s="19" t="n">
        <f>0.484</f>
        <v>0.484</v>
      </c>
    </row>
    <row r="17" spans="1:9" ht="24.9" customHeight="1">
      <c r="A17" s="41"/>
      <c r="B17" s="39"/>
      <c r="C17" s="20" t="s">
        <v>16</v>
      </c>
      <c r="D17" s="21" t="n">
        <f>116758.0</f>
        <v>116758.0</v>
      </c>
      <c r="E17" s="22" t="n">
        <f>22508.0</f>
        <v>22508.0</v>
      </c>
      <c r="F17" s="23" t="n">
        <f>0.123</f>
        <v>0.123</v>
      </c>
      <c r="G17" s="21" t="n">
        <f>14950658806750.0</f>
        <v>1.495065880675E13</v>
      </c>
      <c r="H17" s="22" t="n">
        <f>2883594310000.0</f>
        <v>2.88359431E12</v>
      </c>
      <c r="I17" s="23" t="n">
        <f>0.5</f>
        <v>0.5</v>
      </c>
    </row>
    <row r="18" spans="1:9" ht="24.9" customHeight="1">
      <c r="A18" s="41"/>
      <c r="B18" s="39"/>
      <c r="C18" s="20" t="s">
        <v>17</v>
      </c>
      <c r="D18" s="21" t="n">
        <f>169633.0</f>
        <v>169633.0</v>
      </c>
      <c r="E18" s="22" t="n">
        <f>69476.0</f>
        <v>69476.0</v>
      </c>
      <c r="F18" s="23" t="n">
        <f>0.149</f>
        <v>0.149</v>
      </c>
      <c r="G18" s="21" t="n">
        <f>21370127726075.0</f>
        <v>2.1370127726075E13</v>
      </c>
      <c r="H18" s="22" t="n">
        <f>8894165081700.0</f>
        <v>8.8941650817E12</v>
      </c>
      <c r="I18" s="23" t="n">
        <f>0.617</f>
        <v>0.617</v>
      </c>
    </row>
    <row r="19" spans="1:9" ht="24.9" customHeight="1">
      <c r="A19" s="41"/>
      <c r="B19" s="39"/>
      <c r="C19" s="24" t="s">
        <v>18</v>
      </c>
      <c r="D19" s="25" t="n">
        <f>373547.0</f>
        <v>373547.0</v>
      </c>
      <c r="E19" s="26" t="n">
        <f>115735.0</f>
        <v>115735.0</v>
      </c>
      <c r="F19" s="27" t="n">
        <f>0.096</f>
        <v>0.096</v>
      </c>
      <c r="G19" s="25" t="n">
        <f>46853493988200.0</f>
        <v>4.68534939882E13</v>
      </c>
      <c r="H19" s="26" t="n">
        <f>14820376445200.0</f>
        <v>1.48203764452E13</v>
      </c>
      <c r="I19" s="27" t="n">
        <f>0.543</f>
        <v>0.543</v>
      </c>
    </row>
    <row r="20" spans="1:9" ht="24.9" customHeight="1">
      <c r="A20" s="41"/>
      <c r="B20" s="39" t="s">
        <v>21</v>
      </c>
      <c r="C20" s="16" t="s">
        <v>15</v>
      </c>
      <c r="D20" s="17" t="n">
        <f>1683189.0</f>
        <v>1683189.0</v>
      </c>
      <c r="E20" s="18" t="n">
        <f>65954.0</f>
        <v>65954.0</v>
      </c>
      <c r="F20" s="19" t="n">
        <f>0.94</f>
        <v>0.94</v>
      </c>
      <c r="G20" s="17" t="n">
        <f>11027653584395.0</f>
        <v>1.1027653584395E13</v>
      </c>
      <c r="H20" s="18" t="n">
        <f>1041344292495.0</f>
        <v>1.041344292495E12</v>
      </c>
      <c r="I20" s="19" t="n">
        <f>0.507</f>
        <v>0.507</v>
      </c>
    </row>
    <row r="21" spans="1:9" ht="24.9" customHeight="1">
      <c r="A21" s="41"/>
      <c r="B21" s="39"/>
      <c r="C21" s="20" t="s">
        <v>16</v>
      </c>
      <c r="D21" s="21" t="n">
        <f>811498.0</f>
        <v>811498.0</v>
      </c>
      <c r="E21" s="22" t="n">
        <f>128323.0</f>
        <v>128323.0</v>
      </c>
      <c r="F21" s="23" t="n">
        <f>0.856</f>
        <v>0.856</v>
      </c>
      <c r="G21" s="21" t="n">
        <f>14749827884721.0</f>
        <v>1.4749827884721E13</v>
      </c>
      <c r="H21" s="22" t="n">
        <f>4767109315171.0</f>
        <v>4.767109315171E12</v>
      </c>
      <c r="I21" s="23" t="n">
        <f>0.493</f>
        <v>0.493</v>
      </c>
    </row>
    <row r="22" spans="1:9" ht="24.9" customHeight="1">
      <c r="A22" s="41"/>
      <c r="B22" s="39"/>
      <c r="C22" s="20" t="s">
        <v>17</v>
      </c>
      <c r="D22" s="21" t="n">
        <f>948315.0</f>
        <v>948315.0</v>
      </c>
      <c r="E22" s="22" t="n">
        <f>146099.0</f>
        <v>146099.0</v>
      </c>
      <c r="F22" s="23" t="n">
        <f>0.833</f>
        <v>0.833</v>
      </c>
      <c r="G22" s="21" t="n">
        <f>13075114487837.0</f>
        <v>1.3075114487837E13</v>
      </c>
      <c r="H22" s="22" t="n">
        <f>3843211484837.0</f>
        <v>3.843211484837E12</v>
      </c>
      <c r="I22" s="23" t="n">
        <f>0.378</f>
        <v>0.378</v>
      </c>
    </row>
    <row r="23" spans="1:9" ht="24.9" customHeight="1">
      <c r="A23" s="41"/>
      <c r="B23" s="39"/>
      <c r="C23" s="24" t="s">
        <v>18</v>
      </c>
      <c r="D23" s="25" t="n">
        <f>3443002.0</f>
        <v>3443002.0</v>
      </c>
      <c r="E23" s="26" t="n">
        <f>340376.0</f>
        <v>340376.0</v>
      </c>
      <c r="F23" s="27" t="n">
        <f>0.888</f>
        <v>0.888</v>
      </c>
      <c r="G23" s="25" t="n">
        <f>38852595956953.0</f>
        <v>3.8852595956953E13</v>
      </c>
      <c r="H23" s="26" t="n">
        <f>9651665092503.0</f>
        <v>9.651665092503E12</v>
      </c>
      <c r="I23" s="27" t="n">
        <f>0.45</f>
        <v>0.45</v>
      </c>
    </row>
    <row r="24" spans="1:9" ht="24.9" customHeight="1">
      <c r="A24" s="41"/>
      <c r="B24" s="39" t="s">
        <v>22</v>
      </c>
      <c r="C24" s="16" t="s">
        <v>15</v>
      </c>
      <c r="D24" s="17" t="n">
        <f>20213.0</f>
        <v>20213.0</v>
      </c>
      <c r="E24" s="18" t="n">
        <f>0.0</f>
        <v>0.0</v>
      </c>
      <c r="F24" s="19" t="n">
        <f>0.011</f>
        <v>0.011</v>
      </c>
      <c r="G24" s="17" t="n">
        <f>209431302500.0</f>
        <v>2.094313025E11</v>
      </c>
      <c r="H24" s="18" t="n">
        <f>0.0</f>
        <v>0.0</v>
      </c>
      <c r="I24" s="19" t="n">
        <f>0.01</f>
        <v>0.01</v>
      </c>
    </row>
    <row r="25" spans="1:9" ht="24.9" customHeight="1">
      <c r="A25" s="41"/>
      <c r="B25" s="39"/>
      <c r="C25" s="20" t="s">
        <v>16</v>
      </c>
      <c r="D25" s="21" t="n">
        <f>19268.0</f>
        <v>19268.0</v>
      </c>
      <c r="E25" s="22" t="n">
        <f>0.0</f>
        <v>0.0</v>
      </c>
      <c r="F25" s="23" t="n">
        <f>0.02</f>
        <v>0.02</v>
      </c>
      <c r="G25" s="21" t="n">
        <f>203068704700.0</f>
        <v>2.030687047E11</v>
      </c>
      <c r="H25" s="22" t="n">
        <f>0.0</f>
        <v>0.0</v>
      </c>
      <c r="I25" s="23" t="n">
        <f>0.007</f>
        <v>0.007</v>
      </c>
    </row>
    <row r="26" spans="1:9" ht="24.9" customHeight="1">
      <c r="A26" s="41"/>
      <c r="B26" s="39"/>
      <c r="C26" s="20" t="s">
        <v>17</v>
      </c>
      <c r="D26" s="21" t="n">
        <f>16088.0</f>
        <v>16088.0</v>
      </c>
      <c r="E26" s="22" t="n">
        <f>20.0</f>
        <v>20.0</v>
      </c>
      <c r="F26" s="23" t="n">
        <f>0.014</f>
        <v>0.014</v>
      </c>
      <c r="G26" s="21" t="n">
        <f>169165677350.0</f>
        <v>1.6916567735E11</v>
      </c>
      <c r="H26" s="22" t="n">
        <f>41300000.0</f>
        <v>4.13E7</v>
      </c>
      <c r="I26" s="23" t="n">
        <f>0.005</f>
        <v>0.005</v>
      </c>
    </row>
    <row r="27" spans="1:9" ht="24.9" customHeight="1">
      <c r="A27" s="42"/>
      <c r="B27" s="39"/>
      <c r="C27" s="24" t="s">
        <v>18</v>
      </c>
      <c r="D27" s="25" t="n">
        <f>55569.0</f>
        <v>55569.0</v>
      </c>
      <c r="E27" s="26" t="n">
        <f>20.0</f>
        <v>20.0</v>
      </c>
      <c r="F27" s="27" t="n">
        <f>0.014</f>
        <v>0.014</v>
      </c>
      <c r="G27" s="25" t="n">
        <f>581665684550.0</f>
        <v>5.8166568455E11</v>
      </c>
      <c r="H27" s="26" t="n">
        <f>41300000.0</f>
        <v>4.13E7</v>
      </c>
      <c r="I27" s="27" t="n">
        <f>0.007</f>
        <v>0.007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435.0</f>
        <v>435.0</v>
      </c>
      <c r="E28" s="18" t="n">
        <f>0.0</f>
        <v>0.0</v>
      </c>
      <c r="F28" s="19" t="n">
        <f>0.0</f>
        <v>0.0</v>
      </c>
      <c r="G28" s="17" t="n">
        <f>1760954500.0</f>
        <v>1.7609545E9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629.0</f>
        <v>629.0</v>
      </c>
      <c r="E29" s="22" t="n">
        <f>0.0</f>
        <v>0.0</v>
      </c>
      <c r="F29" s="23" t="n">
        <f>0.001</f>
        <v>0.001</v>
      </c>
      <c r="G29" s="21" t="n">
        <f>2562586000.0</f>
        <v>2.562586E9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4413.0</f>
        <v>4413.0</v>
      </c>
      <c r="E30" s="22" t="n">
        <f>40.0</f>
        <v>40.0</v>
      </c>
      <c r="F30" s="23" t="n">
        <f>0.004</f>
        <v>0.004</v>
      </c>
      <c r="G30" s="21" t="n">
        <f>17680226940.0</f>
        <v>1.768022694E10</v>
      </c>
      <c r="H30" s="22" t="n">
        <f>58597440.0</f>
        <v>5.859744E7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5477.0</f>
        <v>5477.0</v>
      </c>
      <c r="E31" s="26" t="n">
        <f>40.0</f>
        <v>40.0</v>
      </c>
      <c r="F31" s="27" t="n">
        <f>0.001</f>
        <v>0.001</v>
      </c>
      <c r="G31" s="25" t="n">
        <f>22003767440.0</f>
        <v>2.200376744E10</v>
      </c>
      <c r="H31" s="26" t="n">
        <f>58597440.0</f>
        <v>5.859744E7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41655</f>
        <v>41655.0</v>
      </c>
      <c r="E11" s="18" t="n">
        <f>10692</f>
        <v>10692.0</v>
      </c>
      <c r="F11" s="19" t="n">
        <f>1</f>
        <v>1.0</v>
      </c>
      <c r="G11" s="17" t="n">
        <f>53259115820</f>
        <v>5.325911582E10</v>
      </c>
      <c r="H11" s="18" t="n">
        <f>50632702220</f>
        <v>5.063270222E10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41868</f>
        <v>41868.0</v>
      </c>
      <c r="E12" s="22" t="n">
        <f>6690</f>
        <v>6690.0</v>
      </c>
      <c r="F12" s="23" t="n">
        <f>1</f>
        <v>1.0</v>
      </c>
      <c r="G12" s="21" t="n">
        <f>7036864508</f>
        <v>7.036864508E9</v>
      </c>
      <c r="H12" s="22" t="n">
        <f>4673847140</f>
        <v>4.67384714E9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78932</f>
        <v>78932.0</v>
      </c>
      <c r="E13" s="22" t="n">
        <f>27052</f>
        <v>27052.0</v>
      </c>
      <c r="F13" s="23" t="n">
        <f>1</f>
        <v>1.0</v>
      </c>
      <c r="G13" s="21" t="n">
        <f>27814472922</f>
        <v>2.7814472922E10</v>
      </c>
      <c r="H13" s="22" t="n">
        <f>23916315372</f>
        <v>2.3916315372E10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162455</f>
        <v>162455.0</v>
      </c>
      <c r="E14" s="26" t="n">
        <f>44434</f>
        <v>44434.0</v>
      </c>
      <c r="F14" s="27" t="n">
        <f>1</f>
        <v>1.0</v>
      </c>
      <c r="G14" s="25" t="n">
        <f>88110453250</f>
        <v>8.811045325E10</v>
      </c>
      <c r="H14" s="26" t="n">
        <f>79222864732</f>
        <v>7.9222864732E10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20</f>
        <v>20.0</v>
      </c>
      <c r="E15" s="18" t="n">
        <f>0</f>
        <v>0.0</v>
      </c>
      <c r="F15" s="19" t="n">
        <f>0</f>
        <v>0.0</v>
      </c>
      <c r="G15" s="17" t="n">
        <f>3000000</f>
        <v>3000000.0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14</f>
        <v>14.0</v>
      </c>
      <c r="E16" s="22" t="n">
        <f>0</f>
        <v>0.0</v>
      </c>
      <c r="F16" s="23" t="n">
        <f>0</f>
        <v>0.0</v>
      </c>
      <c r="G16" s="21" t="n">
        <f>2360000</f>
        <v>2360000.0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11</f>
        <v>11.0</v>
      </c>
      <c r="E17" s="22" t="n">
        <f>0</f>
        <v>0.0</v>
      </c>
      <c r="F17" s="23" t="n">
        <f>0</f>
        <v>0.0</v>
      </c>
      <c r="G17" s="21" t="n">
        <f>2640000</f>
        <v>2640000.0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45</f>
        <v>45.0</v>
      </c>
      <c r="E18" s="26" t="n">
        <f>0</f>
        <v>0.0</v>
      </c>
      <c r="F18" s="27" t="n">
        <f>0</f>
        <v>0.0</v>
      </c>
      <c r="G18" s="25" t="n">
        <f>8000000</f>
        <v>8000000.0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41635</f>
        <v>41635.0</v>
      </c>
      <c r="E19" s="18" t="n">
        <f>10692</f>
        <v>10692.0</v>
      </c>
      <c r="F19" s="19" t="n">
        <f>1</f>
        <v>1.0</v>
      </c>
      <c r="G19" s="17" t="n">
        <f>53256115820</f>
        <v>5.325611582E10</v>
      </c>
      <c r="H19" s="18" t="n">
        <f>50632702220</f>
        <v>5.063270222E10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23094</f>
        <v>23094.0</v>
      </c>
      <c r="E20" s="22" t="n">
        <f>5690</f>
        <v>5690.0</v>
      </c>
      <c r="F20" s="23" t="n">
        <f>0.552</f>
        <v>0.552</v>
      </c>
      <c r="G20" s="21" t="n">
        <f>6944548740</f>
        <v>6.94454874E9</v>
      </c>
      <c r="H20" s="22" t="n">
        <f>4661347140</f>
        <v>4.66134714E9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45155</f>
        <v>45155.0</v>
      </c>
      <c r="E21" s="22" t="n">
        <f>17852</f>
        <v>17852.0</v>
      </c>
      <c r="F21" s="23" t="n">
        <f>0.572</f>
        <v>0.572</v>
      </c>
      <c r="G21" s="21" t="n">
        <f>27577548872</f>
        <v>2.7577548872E10</v>
      </c>
      <c r="H21" s="22" t="n">
        <f>23735070372</f>
        <v>2.3735070372E10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109884</f>
        <v>109884.0</v>
      </c>
      <c r="E22" s="26" t="n">
        <f>34234</f>
        <v>34234.0</v>
      </c>
      <c r="F22" s="27" t="n">
        <f>0.676</f>
        <v>0.676</v>
      </c>
      <c r="G22" s="25" t="n">
        <f>87778213432</f>
        <v>8.7778213432E10</v>
      </c>
      <c r="H22" s="26" t="n">
        <f>79029119732</f>
        <v>7.9029119732E10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18760</f>
        <v>18760.0</v>
      </c>
      <c r="E24" s="22" t="n">
        <f>1000</f>
        <v>1000.0</v>
      </c>
      <c r="F24" s="23" t="n">
        <f>0.448</f>
        <v>0.448</v>
      </c>
      <c r="G24" s="21" t="n">
        <f>89955768</f>
        <v>8.9955768E7</v>
      </c>
      <c r="H24" s="22" t="n">
        <f>12500000</f>
        <v>1.25E7</v>
      </c>
      <c r="I24" s="23" t="n">
        <f>0.013</f>
        <v>0.013</v>
      </c>
    </row>
    <row r="25" spans="1:9" ht="24.9" customHeight="1">
      <c r="A25" s="41"/>
      <c r="B25" s="39"/>
      <c r="C25" s="20" t="s">
        <v>17</v>
      </c>
      <c r="D25" s="21" t="n">
        <f>33766</f>
        <v>33766.0</v>
      </c>
      <c r="E25" s="22" t="n">
        <f>9200</f>
        <v>9200.0</v>
      </c>
      <c r="F25" s="23" t="n">
        <f>0.428</f>
        <v>0.428</v>
      </c>
      <c r="G25" s="21" t="n">
        <f>234284050</f>
        <v>2.3428405E8</v>
      </c>
      <c r="H25" s="22" t="n">
        <f>181245000</f>
        <v>1.81245E8</v>
      </c>
      <c r="I25" s="23" t="n">
        <f>0.008</f>
        <v>0.008</v>
      </c>
    </row>
    <row r="26" spans="1:9" ht="24.9" customHeight="1">
      <c r="A26" s="41"/>
      <c r="B26" s="39"/>
      <c r="C26" s="24" t="s">
        <v>18</v>
      </c>
      <c r="D26" s="25" t="n">
        <f>52526</f>
        <v>52526.0</v>
      </c>
      <c r="E26" s="26" t="n">
        <f>10200</f>
        <v>10200.0</v>
      </c>
      <c r="F26" s="27" t="n">
        <f>0.323</f>
        <v>0.323</v>
      </c>
      <c r="G26" s="25" t="n">
        <f>324239818</f>
        <v>3.24239818E8</v>
      </c>
      <c r="H26" s="26" t="n">
        <f>193745000</f>
        <v>1.93745E8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45168.0</v>
      </c>
      <c r="F12" s="18" t="n">
        <f>4690</f>
        <v>4690.0</v>
      </c>
      <c r="G12" s="17" t="n">
        <v>2.9379562833E12</v>
      </c>
      <c r="H12" s="18" t="n">
        <f>306952396300</f>
        <v>3.069523963E11</v>
      </c>
    </row>
    <row r="13" spans="1:8" ht="24.9" customHeight="1">
      <c r="A13" s="51"/>
      <c r="B13" s="57"/>
      <c r="C13" s="39"/>
      <c r="D13" s="20" t="s">
        <v>16</v>
      </c>
      <c r="E13" s="21" t="n">
        <v>120254.0</v>
      </c>
      <c r="F13" s="22" t="n">
        <f>59715</f>
        <v>59715.0</v>
      </c>
      <c r="G13" s="21" t="n">
        <v>7.795406874E12</v>
      </c>
      <c r="H13" s="22" t="n">
        <f>3877093448000</f>
        <v>3.877093448E12</v>
      </c>
    </row>
    <row r="14" spans="1:8" ht="24.9" customHeight="1">
      <c r="A14" s="51"/>
      <c r="B14" s="57"/>
      <c r="C14" s="39"/>
      <c r="D14" s="20" t="s">
        <v>17</v>
      </c>
      <c r="E14" s="21" t="n">
        <v>81161.0</v>
      </c>
      <c r="F14" s="22" t="n">
        <f>29974</f>
        <v>29974.0</v>
      </c>
      <c r="G14" s="21" t="n">
        <v>5.222375331036E12</v>
      </c>
      <c r="H14" s="22" t="n">
        <f>1928876276036</f>
        <v>1.928876276036E12</v>
      </c>
    </row>
    <row r="15" spans="1:8" ht="24.9" customHeight="1">
      <c r="A15" s="51"/>
      <c r="B15" s="57"/>
      <c r="C15" s="39"/>
      <c r="D15" s="24" t="s">
        <v>18</v>
      </c>
      <c r="E15" s="25" t="n">
        <v>246583.0</v>
      </c>
      <c r="F15" s="26" t="n">
        <f>94379</f>
        <v>94379.0</v>
      </c>
      <c r="G15" s="25" t="n">
        <v>1.5955738488336E13</v>
      </c>
      <c r="H15" s="26" t="n">
        <f>6112922120336</f>
        <v>6.112922120336E12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621735.0</v>
      </c>
      <c r="F16" s="18" t="n">
        <f>49543</f>
        <v>49543.0</v>
      </c>
      <c r="G16" s="17" t="n">
        <v>4.032804353625E12</v>
      </c>
      <c r="H16" s="18" t="n">
        <f>322192274625</f>
        <v>3.22192274625E11</v>
      </c>
    </row>
    <row r="17" spans="1:8" ht="24.9" customHeight="1">
      <c r="A17" s="51"/>
      <c r="B17" s="57"/>
      <c r="C17" s="39"/>
      <c r="D17" s="20" t="s">
        <v>16</v>
      </c>
      <c r="E17" s="21" t="n">
        <v>253707.0</v>
      </c>
      <c r="F17" s="22" t="n">
        <f>21831</f>
        <v>21831.0</v>
      </c>
      <c r="G17" s="21" t="n">
        <v>1.643831245021E12</v>
      </c>
      <c r="H17" s="22" t="n">
        <f>141454172921</f>
        <v>1.41454172921E11</v>
      </c>
    </row>
    <row r="18" spans="1:8" ht="24.9" customHeight="1">
      <c r="A18" s="51"/>
      <c r="B18" s="57"/>
      <c r="C18" s="39"/>
      <c r="D18" s="20" t="s">
        <v>17</v>
      </c>
      <c r="E18" s="21" t="n">
        <v>358362.0</v>
      </c>
      <c r="F18" s="22" t="n">
        <f>60910</f>
        <v>60910.0</v>
      </c>
      <c r="G18" s="21" t="n">
        <v>2.30445484973E12</v>
      </c>
      <c r="H18" s="22" t="n">
        <f>391636849530</f>
        <v>3.9163684953E11</v>
      </c>
    </row>
    <row r="19" spans="1:8" ht="24.9" customHeight="1">
      <c r="A19" s="51"/>
      <c r="B19" s="57"/>
      <c r="C19" s="39"/>
      <c r="D19" s="24" t="s">
        <v>18</v>
      </c>
      <c r="E19" s="25" t="n">
        <v>1233804.0</v>
      </c>
      <c r="F19" s="26" t="n">
        <f>132284</f>
        <v>132284.0</v>
      </c>
      <c r="G19" s="25" t="n">
        <v>7.981090448376E12</v>
      </c>
      <c r="H19" s="26" t="n">
        <f>855283297076</f>
        <v>8.55283297076E11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912707.0</v>
      </c>
      <c r="F20" s="18" t="str">
        <f>"－"</f>
        <v>－</v>
      </c>
      <c r="G20" s="17" t="n">
        <v>5.9163592815E11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258008.0</v>
      </c>
      <c r="F21" s="22" t="str">
        <f>"－"</f>
        <v>－</v>
      </c>
      <c r="G21" s="21" t="n">
        <v>1.671361355E11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327318.0</v>
      </c>
      <c r="F22" s="22" t="str">
        <f>"－"</f>
        <v>－</v>
      </c>
      <c r="G22" s="21" t="n">
        <v>2.1045506305E11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1498033.0</v>
      </c>
      <c r="F23" s="26" t="str">
        <f>"－"</f>
        <v>－</v>
      </c>
      <c r="G23" s="25" t="n">
        <v>9.692271267E11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87170.0</v>
      </c>
      <c r="F24" s="18" t="n">
        <f>10352</f>
        <v>10352.0</v>
      </c>
      <c r="G24" s="17" t="n">
        <v>3.40520856365E12</v>
      </c>
      <c r="H24" s="18" t="n">
        <f>404800260650</f>
        <v>4.0480026065E11</v>
      </c>
    </row>
    <row r="25" spans="1:8" ht="24.9" customHeight="1">
      <c r="A25" s="51"/>
      <c r="B25" s="57"/>
      <c r="C25" s="39"/>
      <c r="D25" s="20" t="s">
        <v>16</v>
      </c>
      <c r="E25" s="21" t="n">
        <v>129950.0</v>
      </c>
      <c r="F25" s="22" t="n">
        <f>18536</f>
        <v>18536.0</v>
      </c>
      <c r="G25" s="21" t="n">
        <v>5.0458490481E12</v>
      </c>
      <c r="H25" s="22" t="n">
        <f>720383994100</f>
        <v>7.203839941E11</v>
      </c>
    </row>
    <row r="26" spans="1:8" ht="24.9" customHeight="1">
      <c r="A26" s="51"/>
      <c r="B26" s="57"/>
      <c r="C26" s="39"/>
      <c r="D26" s="20" t="s">
        <v>17</v>
      </c>
      <c r="E26" s="21" t="n">
        <v>135503.0</v>
      </c>
      <c r="F26" s="22" t="n">
        <f>38529</f>
        <v>38529.0</v>
      </c>
      <c r="G26" s="21" t="n">
        <v>5.2217779366E12</v>
      </c>
      <c r="H26" s="22" t="n">
        <f>1483957628600</f>
        <v>1.4839576286E12</v>
      </c>
    </row>
    <row r="27" spans="1:8" ht="24.9" customHeight="1">
      <c r="A27" s="51"/>
      <c r="B27" s="57"/>
      <c r="C27" s="39"/>
      <c r="D27" s="24" t="s">
        <v>18</v>
      </c>
      <c r="E27" s="25" t="n">
        <v>352623.0</v>
      </c>
      <c r="F27" s="26" t="n">
        <f>67417</f>
        <v>67417.0</v>
      </c>
      <c r="G27" s="25" t="n">
        <v>1.367283554835E13</v>
      </c>
      <c r="H27" s="26" t="n">
        <f>2609141883350</f>
        <v>2.60914188335E12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11266.0</v>
      </c>
      <c r="F28" s="18" t="n">
        <f>580</f>
        <v>580.0</v>
      </c>
      <c r="G28" s="17" t="n">
        <v>4.395913287E10</v>
      </c>
      <c r="H28" s="18" t="n">
        <f>2262213020</f>
        <v>2.26221302E9</v>
      </c>
    </row>
    <row r="29" spans="1:8" ht="24.9" customHeight="1">
      <c r="A29" s="51"/>
      <c r="B29" s="57"/>
      <c r="C29" s="39"/>
      <c r="D29" s="20" t="s">
        <v>16</v>
      </c>
      <c r="E29" s="21" t="n">
        <v>12353.0</v>
      </c>
      <c r="F29" s="22" t="n">
        <f>194</f>
        <v>194.0</v>
      </c>
      <c r="G29" s="21" t="n">
        <v>4.79730977E10</v>
      </c>
      <c r="H29" s="22" t="n">
        <f>752946250</f>
        <v>7.5294625E8</v>
      </c>
    </row>
    <row r="30" spans="1:8" ht="24.9" customHeight="1">
      <c r="A30" s="51"/>
      <c r="B30" s="57"/>
      <c r="C30" s="39"/>
      <c r="D30" s="20" t="s">
        <v>17</v>
      </c>
      <c r="E30" s="21" t="n">
        <v>17846.0</v>
      </c>
      <c r="F30" s="22" t="n">
        <f>3449</f>
        <v>3449.0</v>
      </c>
      <c r="G30" s="21" t="n">
        <v>6.8792954261E10</v>
      </c>
      <c r="H30" s="22" t="n">
        <f>13328302311</f>
        <v>1.3328302311E10</v>
      </c>
    </row>
    <row r="31" spans="1:8" ht="24.9" customHeight="1">
      <c r="A31" s="51"/>
      <c r="B31" s="57"/>
      <c r="C31" s="39"/>
      <c r="D31" s="24" t="s">
        <v>18</v>
      </c>
      <c r="E31" s="25" t="n">
        <v>41465.0</v>
      </c>
      <c r="F31" s="26" t="n">
        <f>4223</f>
        <v>4223.0</v>
      </c>
      <c r="G31" s="25" t="n">
        <v>1.60725184831E11</v>
      </c>
      <c r="H31" s="26" t="n">
        <f>16343461581</f>
        <v>1.6343461581E10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2176.0</v>
      </c>
      <c r="F36" s="18" t="n">
        <f>0</f>
        <v>0.0</v>
      </c>
      <c r="G36" s="17" t="n">
        <v>7.679299E9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5185.0</v>
      </c>
      <c r="F37" s="22" t="n">
        <f>138</f>
        <v>138.0</v>
      </c>
      <c r="G37" s="21" t="n">
        <v>1.81822032E10</v>
      </c>
      <c r="H37" s="22" t="n">
        <f>484524900</f>
        <v>4.845249E8</v>
      </c>
    </row>
    <row r="38" spans="1:8" ht="24.9" customHeight="1">
      <c r="A38" s="51"/>
      <c r="B38" s="57"/>
      <c r="C38" s="39"/>
      <c r="D38" s="20" t="s">
        <v>17</v>
      </c>
      <c r="E38" s="21" t="n">
        <v>3067.0</v>
      </c>
      <c r="F38" s="22" t="n">
        <f>278</f>
        <v>278.0</v>
      </c>
      <c r="G38" s="21" t="n">
        <v>1.068096933E10</v>
      </c>
      <c r="H38" s="22" t="n">
        <f>970713430</f>
        <v>9.7071343E8</v>
      </c>
    </row>
    <row r="39" spans="1:8" ht="24.9" customHeight="1">
      <c r="A39" s="51"/>
      <c r="B39" s="57"/>
      <c r="C39" s="39"/>
      <c r="D39" s="24" t="s">
        <v>18</v>
      </c>
      <c r="E39" s="25" t="n">
        <v>10428.0</v>
      </c>
      <c r="F39" s="26" t="n">
        <f>416</f>
        <v>416.0</v>
      </c>
      <c r="G39" s="25" t="n">
        <v>3.654247153E10</v>
      </c>
      <c r="H39" s="26" t="n">
        <f>1455238330</f>
        <v>1.45523833E9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760.0</v>
      </c>
      <c r="F44" s="18" t="n">
        <f>760</f>
        <v>760.0</v>
      </c>
      <c r="G44" s="17" t="n">
        <v>5.10207E9</v>
      </c>
      <c r="H44" s="18" t="n">
        <f>5102070000</f>
        <v>5.10207E9</v>
      </c>
    </row>
    <row r="45" spans="1:8" ht="24.9" customHeight="1">
      <c r="A45" s="51"/>
      <c r="B45" s="57"/>
      <c r="C45" s="39"/>
      <c r="D45" s="20" t="s">
        <v>16</v>
      </c>
      <c r="E45" s="21" t="n">
        <v>774.0</v>
      </c>
      <c r="F45" s="22" t="n">
        <f>600</f>
        <v>600.0</v>
      </c>
      <c r="G45" s="21" t="n">
        <v>5.258378E9</v>
      </c>
      <c r="H45" s="22" t="n">
        <f>4090200000</f>
        <v>4.0902E9</v>
      </c>
    </row>
    <row r="46" spans="1:8" ht="24.9" customHeight="1">
      <c r="A46" s="51"/>
      <c r="B46" s="57"/>
      <c r="C46" s="39"/>
      <c r="D46" s="20" t="s">
        <v>17</v>
      </c>
      <c r="E46" s="21" t="n">
        <v>360.0</v>
      </c>
      <c r="F46" s="22" t="n">
        <f>360</f>
        <v>360.0</v>
      </c>
      <c r="G46" s="21" t="n">
        <v>2.439E9</v>
      </c>
      <c r="H46" s="22" t="n">
        <f>2439000000</f>
        <v>2.439E9</v>
      </c>
    </row>
    <row r="47" spans="1:8" ht="24.9" customHeight="1">
      <c r="A47" s="51"/>
      <c r="B47" s="57"/>
      <c r="C47" s="39"/>
      <c r="D47" s="24" t="s">
        <v>18</v>
      </c>
      <c r="E47" s="25" t="n">
        <v>1894.0</v>
      </c>
      <c r="F47" s="26" t="n">
        <f>1720</f>
        <v>1720.0</v>
      </c>
      <c r="G47" s="25" t="n">
        <v>1.2799448E10</v>
      </c>
      <c r="H47" s="26" t="n">
        <f>11631270000</f>
        <v>1.163127E10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47.0</v>
      </c>
      <c r="F48" s="18" t="n">
        <f>5</f>
        <v>5.0</v>
      </c>
      <c r="G48" s="17" t="n">
        <v>8.21532E7</v>
      </c>
      <c r="H48" s="18" t="n">
        <f>8700000</f>
        <v>8700000.0</v>
      </c>
    </row>
    <row r="49" spans="1:8" ht="24.9" customHeight="1">
      <c r="A49" s="51"/>
      <c r="B49" s="57"/>
      <c r="C49" s="39"/>
      <c r="D49" s="20" t="s">
        <v>16</v>
      </c>
      <c r="E49" s="21" t="n">
        <v>3590.0</v>
      </c>
      <c r="F49" s="22" t="n">
        <f>3260</f>
        <v>3260.0</v>
      </c>
      <c r="G49" s="21" t="n">
        <v>6.3123259E9</v>
      </c>
      <c r="H49" s="22" t="n">
        <f>5732364000</f>
        <v>5.732364E9</v>
      </c>
    </row>
    <row r="50" spans="1:8" ht="24.9" customHeight="1">
      <c r="A50" s="51"/>
      <c r="B50" s="57"/>
      <c r="C50" s="39"/>
      <c r="D50" s="20" t="s">
        <v>17</v>
      </c>
      <c r="E50" s="21" t="n">
        <v>15357.0</v>
      </c>
      <c r="F50" s="22" t="n">
        <f>12341</f>
        <v>12341.0</v>
      </c>
      <c r="G50" s="21" t="n">
        <v>2.710804358E10</v>
      </c>
      <c r="H50" s="22" t="n">
        <f>21798511380</f>
        <v>2.179851138E10</v>
      </c>
    </row>
    <row r="51" spans="1:8" ht="24.9" customHeight="1">
      <c r="A51" s="51"/>
      <c r="B51" s="57"/>
      <c r="C51" s="39"/>
      <c r="D51" s="24" t="s">
        <v>18</v>
      </c>
      <c r="E51" s="25" t="n">
        <v>18994.0</v>
      </c>
      <c r="F51" s="26" t="n">
        <f>15606</f>
        <v>15606.0</v>
      </c>
      <c r="G51" s="25" t="n">
        <v>3.350252268E10</v>
      </c>
      <c r="H51" s="26" t="n">
        <f>27539575380</f>
        <v>2.753957538E10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1547.0</v>
      </c>
      <c r="F56" s="18" t="n">
        <f>22</f>
        <v>22.0</v>
      </c>
      <c r="G56" s="17" t="n">
        <v>1.1270715E9</v>
      </c>
      <c r="H56" s="18" t="n">
        <f>16233000</f>
        <v>1.6233E7</v>
      </c>
    </row>
    <row r="57" spans="1:8" ht="24.9" customHeight="1">
      <c r="A57" s="51"/>
      <c r="B57" s="57"/>
      <c r="C57" s="39"/>
      <c r="D57" s="20" t="s">
        <v>16</v>
      </c>
      <c r="E57" s="21" t="n">
        <v>27568.0</v>
      </c>
      <c r="F57" s="22" t="n">
        <f>24049</f>
        <v>24049.0</v>
      </c>
      <c r="G57" s="21" t="n">
        <v>1.9636841E10</v>
      </c>
      <c r="H57" s="22" t="n">
        <f>17117665000</f>
        <v>1.7117665E10</v>
      </c>
    </row>
    <row r="58" spans="1:8" ht="24.9" customHeight="1">
      <c r="A58" s="51"/>
      <c r="B58" s="57"/>
      <c r="C58" s="39"/>
      <c r="D58" s="20" t="s">
        <v>17</v>
      </c>
      <c r="E58" s="21" t="n">
        <v>9102.0</v>
      </c>
      <c r="F58" s="22" t="n">
        <f>254</f>
        <v>254.0</v>
      </c>
      <c r="G58" s="21" t="n">
        <v>6.47157615E9</v>
      </c>
      <c r="H58" s="22" t="n">
        <f>183901150</f>
        <v>1.8390115E8</v>
      </c>
    </row>
    <row r="59" spans="1:8" ht="24.9" customHeight="1">
      <c r="A59" s="51"/>
      <c r="B59" s="57"/>
      <c r="C59" s="39"/>
      <c r="D59" s="24" t="s">
        <v>18</v>
      </c>
      <c r="E59" s="25" t="n">
        <v>38217.0</v>
      </c>
      <c r="F59" s="26" t="n">
        <f>24325</f>
        <v>24325.0</v>
      </c>
      <c r="G59" s="25" t="n">
        <v>2.723548865E10</v>
      </c>
      <c r="H59" s="26" t="n">
        <f>17317799150</f>
        <v>1.731779915E10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301.0</v>
      </c>
      <c r="F60" s="18" t="n">
        <f>2</f>
        <v>2.0</v>
      </c>
      <c r="G60" s="17" t="n">
        <v>1.5311881E9</v>
      </c>
      <c r="H60" s="18" t="n">
        <f>10144900</f>
        <v>1.01449E7</v>
      </c>
    </row>
    <row r="61" spans="1:8" ht="24.9" customHeight="1">
      <c r="A61" s="51"/>
      <c r="B61" s="57"/>
      <c r="C61" s="39"/>
      <c r="D61" s="20" t="s">
        <v>16</v>
      </c>
      <c r="E61" s="21" t="n">
        <v>15.0</v>
      </c>
      <c r="F61" s="22" t="n">
        <f>0</f>
        <v>0.0</v>
      </c>
      <c r="G61" s="21" t="n">
        <v>7.62891E7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44.0</v>
      </c>
      <c r="F62" s="22" t="n">
        <f>4</f>
        <v>4.0</v>
      </c>
      <c r="G62" s="21" t="n">
        <v>2.240163E8</v>
      </c>
      <c r="H62" s="22" t="n">
        <f>20302400</f>
        <v>2.03024E7</v>
      </c>
    </row>
    <row r="63" spans="1:8" ht="24.9" customHeight="1">
      <c r="A63" s="51"/>
      <c r="B63" s="57"/>
      <c r="C63" s="39"/>
      <c r="D63" s="24" t="s">
        <v>18</v>
      </c>
      <c r="E63" s="25" t="n">
        <v>360.0</v>
      </c>
      <c r="F63" s="26" t="n">
        <f>6</f>
        <v>6.0</v>
      </c>
      <c r="G63" s="25" t="n">
        <v>1.8314935E9</v>
      </c>
      <c r="H63" s="26" t="n">
        <f>30447300</f>
        <v>3.04473E7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6.0</v>
      </c>
      <c r="F77" s="22" t="n">
        <f>0</f>
        <v>0.0</v>
      </c>
      <c r="G77" s="21" t="n">
        <v>2109000.0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740000.0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8.0</v>
      </c>
      <c r="F79" s="26" t="n">
        <f>0</f>
        <v>0.0</v>
      </c>
      <c r="G79" s="25" t="n">
        <v>2849000.0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48.0</v>
      </c>
      <c r="F92" s="18" t="n">
        <f>0</f>
        <v>0.0</v>
      </c>
      <c r="G92" s="17" t="n">
        <v>7.6886E7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3205400.0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100.0</v>
      </c>
      <c r="F94" s="22" t="n">
        <f>0</f>
        <v>0.0</v>
      </c>
      <c r="G94" s="21" t="n">
        <v>1.603E8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150.0</v>
      </c>
      <c r="F95" s="26" t="n">
        <f>0</f>
        <v>0.0</v>
      </c>
      <c r="G95" s="25" t="n">
        <v>2.403914E8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4.0</v>
      </c>
      <c r="F96" s="18" t="n">
        <f>0</f>
        <v>0.0</v>
      </c>
      <c r="G96" s="17" t="n">
        <v>9464000.0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2.0</v>
      </c>
      <c r="F97" s="22" t="n">
        <f>0</f>
        <v>0.0</v>
      </c>
      <c r="G97" s="21" t="n">
        <v>4732800.0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3.0</v>
      </c>
      <c r="F98" s="22" t="n">
        <f>0</f>
        <v>0.0</v>
      </c>
      <c r="G98" s="21" t="n">
        <v>7096800.0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9.0</v>
      </c>
      <c r="F99" s="26" t="n">
        <f>0</f>
        <v>0.0</v>
      </c>
      <c r="G99" s="25" t="n">
        <v>2.12936E7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260.0</v>
      </c>
      <c r="F100" s="18" t="n">
        <f>0</f>
        <v>0.0</v>
      </c>
      <c r="G100" s="17" t="n">
        <v>4.81191E8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84.0</v>
      </c>
      <c r="F101" s="22" t="n">
        <f>0</f>
        <v>0.0</v>
      </c>
      <c r="G101" s="21" t="n">
        <v>1.554E8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90.0</v>
      </c>
      <c r="F102" s="22" t="n">
        <f>0</f>
        <v>0.0</v>
      </c>
      <c r="G102" s="21" t="n">
        <v>1.66611E8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434.0</v>
      </c>
      <c r="F103" s="26" t="n">
        <f>0</f>
        <v>0.0</v>
      </c>
      <c r="G103" s="25" t="n">
        <v>8.03202E8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81046.0</v>
      </c>
      <c r="F108" s="18" t="n">
        <f>23751</f>
        <v>23751.0</v>
      </c>
      <c r="G108" s="17" t="n">
        <v>1.03856358135E13</v>
      </c>
      <c r="H108" s="18" t="n">
        <f>3042617053500</f>
        <v>3.0426170535E12</v>
      </c>
    </row>
    <row r="109" spans="1:8" ht="24.9" customHeight="1">
      <c r="A109" s="51"/>
      <c r="B109" s="57"/>
      <c r="C109" s="39"/>
      <c r="D109" s="20" t="s">
        <v>16</v>
      </c>
      <c r="E109" s="21" t="n">
        <v>116738.0</v>
      </c>
      <c r="F109" s="22" t="n">
        <f>22508</f>
        <v>22508.0</v>
      </c>
      <c r="G109" s="21" t="n">
        <v>1.495018803E13</v>
      </c>
      <c r="H109" s="22" t="n">
        <f>2883594310000</f>
        <v>2.88359431E12</v>
      </c>
    </row>
    <row r="110" spans="1:8" ht="24.9" customHeight="1">
      <c r="A110" s="51"/>
      <c r="B110" s="57"/>
      <c r="C110" s="39"/>
      <c r="D110" s="20" t="s">
        <v>17</v>
      </c>
      <c r="E110" s="21" t="n">
        <v>166651.0</v>
      </c>
      <c r="F110" s="22" t="n">
        <f>69476</f>
        <v>69476.0</v>
      </c>
      <c r="G110" s="21" t="n">
        <v>2.13405251117E13</v>
      </c>
      <c r="H110" s="22" t="n">
        <f>8894165081700</f>
        <v>8.8941650817E12</v>
      </c>
    </row>
    <row r="111" spans="1:8" ht="24.9" customHeight="1">
      <c r="A111" s="51"/>
      <c r="B111" s="57"/>
      <c r="C111" s="39"/>
      <c r="D111" s="24" t="s">
        <v>18</v>
      </c>
      <c r="E111" s="25" t="n">
        <v>364435.0</v>
      </c>
      <c r="F111" s="26" t="n">
        <f>115735</f>
        <v>115735.0</v>
      </c>
      <c r="G111" s="25" t="n">
        <v>4.66763489552E13</v>
      </c>
      <c r="H111" s="26" t="n">
        <f>14820376445200</f>
        <v>1.48203764452E13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2.0</v>
      </c>
      <c r="F113" s="22" t="n">
        <f>0</f>
        <v>0.0</v>
      </c>
      <c r="G113" s="21" t="n">
        <v>2.5603E7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2.5603E7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262.0</v>
      </c>
      <c r="F116" s="18" t="n">
        <f>0</f>
        <v>0.0</v>
      </c>
      <c r="G116" s="17" t="n">
        <v>2.409745E9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2845.0</v>
      </c>
      <c r="F118" s="22" t="n">
        <f>0</f>
        <v>0.0</v>
      </c>
      <c r="G118" s="21" t="n">
        <v>2.6214595E10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3107.0</v>
      </c>
      <c r="F119" s="26" t="n">
        <f>0</f>
        <v>0.0</v>
      </c>
      <c r="G119" s="25" t="n">
        <v>2.862434E10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5848.0</v>
      </c>
      <c r="F120" s="18" t="n">
        <f>0</f>
        <v>0.0</v>
      </c>
      <c r="G120" s="17" t="n">
        <v>1.44661896875E11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18.0</v>
      </c>
      <c r="F121" s="22" t="n">
        <f>0</f>
        <v>0.0</v>
      </c>
      <c r="G121" s="21" t="n">
        <v>4.4517375E8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137.0</v>
      </c>
      <c r="F122" s="22" t="n">
        <f>0</f>
        <v>0.0</v>
      </c>
      <c r="G122" s="21" t="n">
        <v>3.388019375E9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6003.0</v>
      </c>
      <c r="F123" s="26" t="n">
        <f>0</f>
        <v>0.0</v>
      </c>
      <c r="G123" s="25" t="n">
        <v>1.4849509E11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7774.0</v>
      </c>
      <c r="F124" s="18" t="n">
        <f>0</f>
        <v>0.0</v>
      </c>
      <c r="G124" s="17" t="n">
        <v>1.76484102E11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7848.0</v>
      </c>
      <c r="F125" s="22" t="n">
        <f>0</f>
        <v>0.0</v>
      </c>
      <c r="G125" s="21" t="n">
        <v>1.74432349E11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6587.0</v>
      </c>
      <c r="F126" s="22" t="n">
        <f>0</f>
        <v>0.0</v>
      </c>
      <c r="G126" s="21" t="n">
        <v>1.45377597E11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22209.0</v>
      </c>
      <c r="F127" s="26" t="n">
        <f>0</f>
        <v>0.0</v>
      </c>
      <c r="G127" s="25" t="n">
        <v>4.96294048E11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67.0</v>
      </c>
      <c r="F128" s="18" t="n">
        <f>0</f>
        <v>0.0</v>
      </c>
      <c r="G128" s="17" t="n">
        <v>1.523214E8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246.0</v>
      </c>
      <c r="F129" s="22" t="n">
        <f>0</f>
        <v>0.0</v>
      </c>
      <c r="G129" s="21" t="n">
        <v>5.484216E8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163.0</v>
      </c>
      <c r="F130" s="22" t="n">
        <f>0</f>
        <v>0.0</v>
      </c>
      <c r="G130" s="21" t="n">
        <v>3.610301E8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476.0</v>
      </c>
      <c r="F131" s="26" t="n">
        <f>0</f>
        <v>0.0</v>
      </c>
      <c r="G131" s="25" t="n">
        <v>1.0617731E9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8592.0</v>
      </c>
      <c r="F132" s="18" t="n">
        <f>0</f>
        <v>0.0</v>
      </c>
      <c r="G132" s="17" t="n">
        <v>1.954798975E10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5497.0</v>
      </c>
      <c r="F133" s="22" t="n">
        <f>0</f>
        <v>0.0</v>
      </c>
      <c r="G133" s="21" t="n">
        <v>1.22454385E10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4535.0</v>
      </c>
      <c r="F134" s="22" t="n">
        <f>0</f>
        <v>0.0</v>
      </c>
      <c r="G134" s="21" t="n">
        <v>1.00425973E10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18624.0</v>
      </c>
      <c r="F135" s="26" t="n">
        <f>0</f>
        <v>0.0</v>
      </c>
      <c r="G135" s="25" t="n">
        <v>4.183602555E10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52.0</v>
      </c>
      <c r="F136" s="18" t="n">
        <f>0</f>
        <v>0.0</v>
      </c>
      <c r="G136" s="17" t="n">
        <v>1.168314E8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445.0</v>
      </c>
      <c r="F137" s="22" t="n">
        <f>0</f>
        <v>0.0</v>
      </c>
      <c r="G137" s="21" t="n">
        <v>9.846252E8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193.0</v>
      </c>
      <c r="F138" s="22" t="n">
        <f>0</f>
        <v>0.0</v>
      </c>
      <c r="G138" s="21" t="n">
        <v>4.234844E8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690.0</v>
      </c>
      <c r="F139" s="26" t="n">
        <f>0</f>
        <v>0.0</v>
      </c>
      <c r="G139" s="25" t="n">
        <v>1.524941E9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2765.0</v>
      </c>
      <c r="F144" s="18" t="n">
        <f>0</f>
        <v>0.0</v>
      </c>
      <c r="G144" s="17" t="n">
        <v>1.22091395E10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2911.0</v>
      </c>
      <c r="F145" s="22" t="n">
        <f>0</f>
        <v>0.0</v>
      </c>
      <c r="G145" s="21" t="n">
        <v>1.2455262E10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2560.0</v>
      </c>
      <c r="F146" s="22" t="n">
        <f>0</f>
        <v>0.0</v>
      </c>
      <c r="G146" s="21" t="n">
        <v>1.07761605E10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8236.0</v>
      </c>
      <c r="F147" s="26" t="n">
        <f>0</f>
        <v>0.0</v>
      </c>
      <c r="G147" s="25" t="n">
        <v>3.5440562E10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80.0</v>
      </c>
      <c r="F148" s="18" t="n">
        <f>0</f>
        <v>0.0</v>
      </c>
      <c r="G148" s="17" t="n">
        <v>7.19419E7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335.0</v>
      </c>
      <c r="F149" s="22" t="n">
        <f>0</f>
        <v>0.0</v>
      </c>
      <c r="G149" s="21" t="n">
        <v>2.927203E8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612.0</v>
      </c>
      <c r="F150" s="22" t="n">
        <f>0</f>
        <v>0.0</v>
      </c>
      <c r="G150" s="21" t="n">
        <v>5.250299E8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1027.0</v>
      </c>
      <c r="F151" s="26" t="n">
        <f>0</f>
        <v>0.0</v>
      </c>
      <c r="G151" s="25" t="n">
        <v>8.896921E8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589.0</v>
      </c>
      <c r="F152" s="18" t="n">
        <f>0</f>
        <v>0.0</v>
      </c>
      <c r="G152" s="17" t="n">
        <v>5.1994925E8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421.0</v>
      </c>
      <c r="F153" s="22" t="n">
        <f>0</f>
        <v>0.0</v>
      </c>
      <c r="G153" s="21" t="n">
        <v>3.61181E8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381.0</v>
      </c>
      <c r="F154" s="22" t="n">
        <f>0</f>
        <v>0.0</v>
      </c>
      <c r="G154" s="21" t="n">
        <v>3.2066525E8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1391.0</v>
      </c>
      <c r="F155" s="26" t="n">
        <f>0</f>
        <v>0.0</v>
      </c>
      <c r="G155" s="25" t="n">
        <v>1.2017955E9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238.0</v>
      </c>
      <c r="F156" s="18" t="n">
        <f>0</f>
        <v>0.0</v>
      </c>
      <c r="G156" s="17" t="n">
        <v>2.104858E8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1225.0</v>
      </c>
      <c r="F157" s="22" t="n">
        <f>0</f>
        <v>0.0</v>
      </c>
      <c r="G157" s="21" t="n">
        <v>1.0417086E9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688.0</v>
      </c>
      <c r="F158" s="22" t="n">
        <f>0</f>
        <v>0.0</v>
      </c>
      <c r="G158" s="21" t="n">
        <v>5.751224E8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2151.0</v>
      </c>
      <c r="F159" s="26" t="n">
        <f>0</f>
        <v>0.0</v>
      </c>
      <c r="G159" s="25" t="n">
        <v>1.8273168E9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56.0</v>
      </c>
      <c r="F168" s="18" t="n">
        <f>0</f>
        <v>0.0</v>
      </c>
      <c r="G168" s="17" t="n">
        <v>1.185415E8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328.0</v>
      </c>
      <c r="F169" s="22" t="n">
        <f>0</f>
        <v>0.0</v>
      </c>
      <c r="G169" s="21" t="n">
        <v>6.859445E8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361.0</v>
      </c>
      <c r="F170" s="22" t="n">
        <f>20</f>
        <v>20.0</v>
      </c>
      <c r="G170" s="21" t="n">
        <v>7.499765E8</v>
      </c>
      <c r="H170" s="22" t="n">
        <f>41300000</f>
        <v>4.13E7</v>
      </c>
    </row>
    <row r="171" spans="1:8" ht="24.9" customHeight="1">
      <c r="A171" s="51"/>
      <c r="B171" s="57"/>
      <c r="C171" s="39"/>
      <c r="D171" s="24" t="s">
        <v>18</v>
      </c>
      <c r="E171" s="25" t="n">
        <v>745.0</v>
      </c>
      <c r="F171" s="26" t="n">
        <f>20</f>
        <v>20.0</v>
      </c>
      <c r="G171" s="25" t="n">
        <v>1.5544625E9</v>
      </c>
      <c r="H171" s="26" t="n">
        <f>41300000</f>
        <v>4.13E7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12.0</v>
      </c>
      <c r="F177" s="22" t="n">
        <f>0</f>
        <v>0.0</v>
      </c>
      <c r="G177" s="21" t="n">
        <v>2.1054E7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8.0</v>
      </c>
      <c r="F178" s="22" t="n">
        <f>0</f>
        <v>0.0</v>
      </c>
      <c r="G178" s="21" t="n">
        <v>1.4014E7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20.0</v>
      </c>
      <c r="F179" s="26" t="n">
        <f>0</f>
        <v>0.0</v>
      </c>
      <c r="G179" s="25" t="n">
        <v>3.5068E7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435.0</v>
      </c>
      <c r="F204" s="18" t="n">
        <f>0</f>
        <v>0.0</v>
      </c>
      <c r="G204" s="17" t="n">
        <v>1.7609545E9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629.0</v>
      </c>
      <c r="F205" s="22" t="n">
        <f>0</f>
        <v>0.0</v>
      </c>
      <c r="G205" s="21" t="n">
        <v>2.562586E9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4373.0</v>
      </c>
      <c r="F206" s="22" t="n">
        <f>0</f>
        <v>0.0</v>
      </c>
      <c r="G206" s="21" t="n">
        <v>1.76216295E10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5437.0</v>
      </c>
      <c r="F207" s="26" t="n">
        <f>0</f>
        <v>0.0</v>
      </c>
      <c r="G207" s="25" t="n">
        <v>2.194517E10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5.859744E7</v>
      </c>
      <c r="H210" s="22" t="n">
        <f>58597440</f>
        <v>5.859744E7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5.859744E7</v>
      </c>
      <c r="H211" s="26" t="n">
        <f>58597440</f>
        <v>5.859744E7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11980</f>
        <v>11980.0</v>
      </c>
      <c r="E12" s="35" t="n">
        <f>5414</f>
        <v>5414.0</v>
      </c>
      <c r="F12" s="17" t="n">
        <f>6637</f>
        <v>6637.0</v>
      </c>
      <c r="G12" s="35" t="n">
        <f>2948</f>
        <v>2948.0</v>
      </c>
      <c r="H12" s="17" t="n">
        <f>18617</f>
        <v>18617.0</v>
      </c>
      <c r="I12" s="35" t="n">
        <f>8362</f>
        <v>8362.0</v>
      </c>
      <c r="J12" s="17" t="n">
        <f>5628291150</f>
        <v>5.62829115E9</v>
      </c>
      <c r="K12" s="35" t="n">
        <f>4717776150</f>
        <v>4.71777615E9</v>
      </c>
      <c r="L12" s="17" t="n">
        <f>46362376040</f>
        <v>4.636237604E10</v>
      </c>
      <c r="M12" s="35" t="n">
        <f>45440903040</f>
        <v>4.544090304E10</v>
      </c>
      <c r="N12" s="17" t="n">
        <f>51990667190</f>
        <v>5.199066719E10</v>
      </c>
      <c r="O12" s="35" t="n">
        <f>50158679190</f>
        <v>5.015867919E10</v>
      </c>
    </row>
    <row r="13" spans="1:15" ht="24.9" customHeight="1">
      <c r="A13" s="38"/>
      <c r="B13" s="62"/>
      <c r="C13" s="20" t="s">
        <v>16</v>
      </c>
      <c r="D13" s="21" t="n">
        <f>6533</f>
        <v>6533.0</v>
      </c>
      <c r="E13" s="36" t="n">
        <f>3027</f>
        <v>3027.0</v>
      </c>
      <c r="F13" s="21" t="n">
        <f>4998</f>
        <v>4998.0</v>
      </c>
      <c r="G13" s="36" t="n">
        <f>2203</f>
        <v>2203.0</v>
      </c>
      <c r="H13" s="21" t="n">
        <f>11531</f>
        <v>11531.0</v>
      </c>
      <c r="I13" s="36" t="n">
        <f>5230</f>
        <v>5230.0</v>
      </c>
      <c r="J13" s="21" t="n">
        <f>4935691700</f>
        <v>4.9356917E9</v>
      </c>
      <c r="K13" s="36" t="n">
        <f>3799850700</f>
        <v>3.7998507E9</v>
      </c>
      <c r="L13" s="21" t="n">
        <f>1636928310</f>
        <v>1.63692831E9</v>
      </c>
      <c r="M13" s="36" t="n">
        <f>856906310</f>
        <v>8.5690631E8</v>
      </c>
      <c r="N13" s="21" t="n">
        <f>6572620010</f>
        <v>6.57262001E9</v>
      </c>
      <c r="O13" s="36" t="n">
        <f>4656757010</f>
        <v>4.65675701E9</v>
      </c>
    </row>
    <row r="14" spans="1:15" ht="24.9" customHeight="1">
      <c r="A14" s="38"/>
      <c r="B14" s="62"/>
      <c r="C14" s="20" t="s">
        <v>17</v>
      </c>
      <c r="D14" s="21" t="n">
        <f>18362</f>
        <v>18362.0</v>
      </c>
      <c r="E14" s="36" t="n">
        <f>12142</f>
        <v>12142.0</v>
      </c>
      <c r="F14" s="21" t="n">
        <f>9453</f>
        <v>9453.0</v>
      </c>
      <c r="G14" s="36" t="n">
        <f>4314</f>
        <v>4314.0</v>
      </c>
      <c r="H14" s="21" t="n">
        <f>27815</f>
        <v>27815.0</v>
      </c>
      <c r="I14" s="36" t="n">
        <f>16456</f>
        <v>16456.0</v>
      </c>
      <c r="J14" s="21" t="n">
        <f>20864402962</f>
        <v>2.0864402962E10</v>
      </c>
      <c r="K14" s="36" t="n">
        <f>18879168962</f>
        <v>1.8879168962E10</v>
      </c>
      <c r="L14" s="21" t="n">
        <f>6079938670</f>
        <v>6.07993867E9</v>
      </c>
      <c r="M14" s="36" t="n">
        <f>4655352670</f>
        <v>4.65535267E9</v>
      </c>
      <c r="N14" s="21" t="n">
        <f>26944341632</f>
        <v>2.6944341632E10</v>
      </c>
      <c r="O14" s="36" t="n">
        <f>23534521632</f>
        <v>2.3534521632E10</v>
      </c>
    </row>
    <row r="15" spans="1:15" ht="24.9" customHeight="1">
      <c r="A15" s="38"/>
      <c r="B15" s="62"/>
      <c r="C15" s="24" t="s">
        <v>18</v>
      </c>
      <c r="D15" s="25" t="n">
        <f>36875</f>
        <v>36875.0</v>
      </c>
      <c r="E15" s="37" t="n">
        <f>20583</f>
        <v>20583.0</v>
      </c>
      <c r="F15" s="25" t="n">
        <f>21088</f>
        <v>21088.0</v>
      </c>
      <c r="G15" s="37" t="n">
        <f>9465</f>
        <v>9465.0</v>
      </c>
      <c r="H15" s="25" t="n">
        <f>57963</f>
        <v>57963.0</v>
      </c>
      <c r="I15" s="37" t="n">
        <f>30048</f>
        <v>30048.0</v>
      </c>
      <c r="J15" s="25" t="n">
        <f>31428385812</f>
        <v>3.1428385812E10</v>
      </c>
      <c r="K15" s="37" t="n">
        <f>27396795812</f>
        <v>2.7396795812E10</v>
      </c>
      <c r="L15" s="25" t="n">
        <f>54079243020</f>
        <v>5.407924302E10</v>
      </c>
      <c r="M15" s="37" t="n">
        <f>50953162020</f>
        <v>5.095316202E10</v>
      </c>
      <c r="N15" s="25" t="n">
        <f>85507628832</f>
        <v>8.5507628832E10</v>
      </c>
      <c r="O15" s="37" t="n">
        <f>78349957832</f>
        <v>7.8349957832E10</v>
      </c>
    </row>
    <row r="16" spans="1:15" ht="24.9" customHeight="1">
      <c r="A16" s="38"/>
      <c r="B16" s="61" t="s">
        <v>105</v>
      </c>
      <c r="C16" s="16" t="s">
        <v>15</v>
      </c>
      <c r="D16" s="17" t="n">
        <f>12166</f>
        <v>12166.0</v>
      </c>
      <c r="E16" s="35" t="n">
        <f>1130</f>
        <v>1130.0</v>
      </c>
      <c r="F16" s="17" t="n">
        <f>10702</f>
        <v>10702.0</v>
      </c>
      <c r="G16" s="35" t="n">
        <f>1050</f>
        <v>1050.0</v>
      </c>
      <c r="H16" s="17" t="n">
        <f>22868</f>
        <v>22868.0</v>
      </c>
      <c r="I16" s="35" t="n">
        <f>2180</f>
        <v>2180.0</v>
      </c>
      <c r="J16" s="17" t="n">
        <f>397284800</f>
        <v>3.972848E8</v>
      </c>
      <c r="K16" s="35" t="n">
        <f>16052100</f>
        <v>1.60521E7</v>
      </c>
      <c r="L16" s="17" t="n">
        <f>435413830</f>
        <v>4.3541383E8</v>
      </c>
      <c r="M16" s="35" t="n">
        <f>25220930</f>
        <v>2.522093E7</v>
      </c>
      <c r="N16" s="17" t="n">
        <f>832698630</f>
        <v>8.3269863E8</v>
      </c>
      <c r="O16" s="35" t="n">
        <f>41273030</f>
        <v>4.127303E7</v>
      </c>
    </row>
    <row r="17" spans="1:15" ht="24.9" customHeight="1">
      <c r="A17" s="38"/>
      <c r="B17" s="62"/>
      <c r="C17" s="20" t="s">
        <v>16</v>
      </c>
      <c r="D17" s="21" t="n">
        <f>6142</f>
        <v>6142.0</v>
      </c>
      <c r="E17" s="36" t="n">
        <f>190</f>
        <v>190.0</v>
      </c>
      <c r="F17" s="21" t="n">
        <f>5373</f>
        <v>5373.0</v>
      </c>
      <c r="G17" s="36" t="n">
        <f>270</f>
        <v>270.0</v>
      </c>
      <c r="H17" s="21" t="n">
        <f>11515</f>
        <v>11515.0</v>
      </c>
      <c r="I17" s="36" t="n">
        <f>460</f>
        <v>460.0</v>
      </c>
      <c r="J17" s="21" t="n">
        <f>194870570</f>
        <v>1.9487057E8</v>
      </c>
      <c r="K17" s="36" t="n">
        <f>2366570</f>
        <v>2366570.0</v>
      </c>
      <c r="L17" s="21" t="n">
        <f>170884160</f>
        <v>1.7088416E8</v>
      </c>
      <c r="M17" s="36" t="n">
        <f>2223560</f>
        <v>2223560.0</v>
      </c>
      <c r="N17" s="21" t="n">
        <f>365754730</f>
        <v>3.6575473E8</v>
      </c>
      <c r="O17" s="36" t="n">
        <f>4590130</f>
        <v>4590130.0</v>
      </c>
    </row>
    <row r="18" spans="1:15" ht="24.9" customHeight="1">
      <c r="A18" s="38"/>
      <c r="B18" s="62"/>
      <c r="C18" s="20" t="s">
        <v>17</v>
      </c>
      <c r="D18" s="21" t="n">
        <f>8971</f>
        <v>8971.0</v>
      </c>
      <c r="E18" s="36" t="n">
        <f>370</f>
        <v>370.0</v>
      </c>
      <c r="F18" s="21" t="n">
        <f>7587</f>
        <v>7587.0</v>
      </c>
      <c r="G18" s="36" t="n">
        <f>250</f>
        <v>250.0</v>
      </c>
      <c r="H18" s="21" t="n">
        <f>16558</f>
        <v>16558.0</v>
      </c>
      <c r="I18" s="36" t="n">
        <f>620</f>
        <v>620.0</v>
      </c>
      <c r="J18" s="21" t="n">
        <f>259534220</f>
        <v>2.5953422E8</v>
      </c>
      <c r="K18" s="36" t="n">
        <f>11826320</f>
        <v>1.182632E7</v>
      </c>
      <c r="L18" s="21" t="n">
        <f>186067700</f>
        <v>1.860677E8</v>
      </c>
      <c r="M18" s="36" t="n">
        <f>1657100</f>
        <v>1657100.0</v>
      </c>
      <c r="N18" s="21" t="n">
        <f>445601920</f>
        <v>4.4560192E8</v>
      </c>
      <c r="O18" s="36" t="n">
        <f>13483420</f>
        <v>1.348342E7</v>
      </c>
    </row>
    <row r="19" spans="1:15" ht="24.9" customHeight="1">
      <c r="A19" s="38"/>
      <c r="B19" s="62"/>
      <c r="C19" s="24" t="s">
        <v>18</v>
      </c>
      <c r="D19" s="25" t="n">
        <f>27279</f>
        <v>27279.0</v>
      </c>
      <c r="E19" s="37" t="n">
        <f>1690</f>
        <v>1690.0</v>
      </c>
      <c r="F19" s="25" t="n">
        <f>23662</f>
        <v>23662.0</v>
      </c>
      <c r="G19" s="37" t="n">
        <f>1570</f>
        <v>1570.0</v>
      </c>
      <c r="H19" s="25" t="n">
        <f>50941</f>
        <v>50941.0</v>
      </c>
      <c r="I19" s="37" t="n">
        <f>3260</f>
        <v>3260.0</v>
      </c>
      <c r="J19" s="25" t="n">
        <f>851689590</f>
        <v>8.5168959E8</v>
      </c>
      <c r="K19" s="37" t="n">
        <f>30244990</f>
        <v>3.024499E7</v>
      </c>
      <c r="L19" s="25" t="n">
        <f>792365690</f>
        <v>7.9236569E8</v>
      </c>
      <c r="M19" s="37" t="n">
        <f>29101590</f>
        <v>2.910159E7</v>
      </c>
      <c r="N19" s="25" t="n">
        <f>1644055280</f>
        <v>1.64405528E9</v>
      </c>
      <c r="O19" s="37" t="n">
        <f>59346580</f>
        <v>5.934658E7</v>
      </c>
    </row>
    <row r="20" spans="1:15" ht="24.9" customHeight="1">
      <c r="A20" s="38"/>
      <c r="B20" s="61" t="s">
        <v>106</v>
      </c>
      <c r="C20" s="16" t="s">
        <v>15</v>
      </c>
      <c r="D20" s="17" t="n">
        <f>150</f>
        <v>150.0</v>
      </c>
      <c r="E20" s="35" t="n">
        <f>150</f>
        <v>150.0</v>
      </c>
      <c r="F20" s="17" t="n">
        <f>0</f>
        <v>0.0</v>
      </c>
      <c r="G20" s="35" t="n">
        <f>0</f>
        <v>0.0</v>
      </c>
      <c r="H20" s="17" t="n">
        <f>150</f>
        <v>150.0</v>
      </c>
      <c r="I20" s="35" t="n">
        <f>150</f>
        <v>150.0</v>
      </c>
      <c r="J20" s="17" t="n">
        <f>432750000</f>
        <v>4.3275E8</v>
      </c>
      <c r="K20" s="35" t="n">
        <f>432750000</f>
        <v>4.3275E8</v>
      </c>
      <c r="L20" s="17" t="n">
        <f>0</f>
        <v>0.0</v>
      </c>
      <c r="M20" s="35" t="n">
        <f>0</f>
        <v>0.0</v>
      </c>
      <c r="N20" s="17" t="n">
        <f>432750000</f>
        <v>4.3275E8</v>
      </c>
      <c r="O20" s="35" t="n">
        <f>432750000</f>
        <v>4.3275E8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48</f>
        <v>48.0</v>
      </c>
      <c r="G21" s="36" t="n">
        <f>0</f>
        <v>0.0</v>
      </c>
      <c r="H21" s="21" t="n">
        <f>48</f>
        <v>48.0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6174000</f>
        <v>6174000.0</v>
      </c>
      <c r="M21" s="36" t="n">
        <f>0</f>
        <v>0.0</v>
      </c>
      <c r="N21" s="21" t="n">
        <f>6174000</f>
        <v>6174000.0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70</f>
        <v>70.0</v>
      </c>
      <c r="E22" s="36" t="n">
        <f>70</f>
        <v>70.0</v>
      </c>
      <c r="F22" s="21" t="n">
        <f>712</f>
        <v>712.0</v>
      </c>
      <c r="G22" s="36" t="n">
        <f>706</f>
        <v>706.0</v>
      </c>
      <c r="H22" s="21" t="n">
        <f>782</f>
        <v>782.0</v>
      </c>
      <c r="I22" s="36" t="n">
        <f>776</f>
        <v>776.0</v>
      </c>
      <c r="J22" s="21" t="n">
        <f>155140000</f>
        <v>1.5514E8</v>
      </c>
      <c r="K22" s="36" t="n">
        <f>155140000</f>
        <v>1.5514E8</v>
      </c>
      <c r="L22" s="21" t="n">
        <f>32465320</f>
        <v>3.246532E7</v>
      </c>
      <c r="M22" s="36" t="n">
        <f>31925320</f>
        <v>3.192532E7</v>
      </c>
      <c r="N22" s="21" t="n">
        <f>187605320</f>
        <v>1.8760532E8</v>
      </c>
      <c r="O22" s="36" t="n">
        <f>187065320</f>
        <v>1.8706532E8</v>
      </c>
    </row>
    <row r="23" spans="1:15" ht="24.9" customHeight="1">
      <c r="A23" s="38"/>
      <c r="B23" s="62"/>
      <c r="C23" s="24" t="s">
        <v>18</v>
      </c>
      <c r="D23" s="25" t="n">
        <f>220</f>
        <v>220.0</v>
      </c>
      <c r="E23" s="37" t="n">
        <f>220</f>
        <v>220.0</v>
      </c>
      <c r="F23" s="25" t="n">
        <f>760</f>
        <v>760.0</v>
      </c>
      <c r="G23" s="37" t="n">
        <f>706</f>
        <v>706.0</v>
      </c>
      <c r="H23" s="25" t="n">
        <f>980</f>
        <v>980.0</v>
      </c>
      <c r="I23" s="37" t="n">
        <f>926</f>
        <v>926.0</v>
      </c>
      <c r="J23" s="25" t="n">
        <f>587890000</f>
        <v>5.8789E8</v>
      </c>
      <c r="K23" s="37" t="n">
        <f>587890000</f>
        <v>5.8789E8</v>
      </c>
      <c r="L23" s="25" t="n">
        <f>38639320</f>
        <v>3.863932E7</v>
      </c>
      <c r="M23" s="37" t="n">
        <f>31925320</f>
        <v>3.192532E7</v>
      </c>
      <c r="N23" s="25" t="n">
        <f>626529320</f>
        <v>6.2652932E8</v>
      </c>
      <c r="O23" s="37" t="n">
        <f>619815320</f>
        <v>6.1981532E8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20</f>
        <v>20.0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20</f>
        <v>20.0</v>
      </c>
      <c r="I36" s="18" t="n">
        <f>0</f>
        <v>0.0</v>
      </c>
      <c r="J36" s="17" t="n">
        <f>3000000</f>
        <v>3000000.0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3000000</f>
        <v>3000000.0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10</f>
        <v>10.0</v>
      </c>
      <c r="E37" s="22" t="n">
        <f>0</f>
        <v>0.0</v>
      </c>
      <c r="F37" s="21" t="n">
        <f>4</f>
        <v>4.0</v>
      </c>
      <c r="G37" s="22" t="n">
        <f>0</f>
        <v>0.0</v>
      </c>
      <c r="H37" s="21" t="n">
        <f>14</f>
        <v>14.0</v>
      </c>
      <c r="I37" s="22" t="n">
        <f>0</f>
        <v>0.0</v>
      </c>
      <c r="J37" s="21" t="n">
        <f>2000000</f>
        <v>2000000.0</v>
      </c>
      <c r="K37" s="22" t="n">
        <f>0</f>
        <v>0.0</v>
      </c>
      <c r="L37" s="21" t="n">
        <f>360000</f>
        <v>360000.0</v>
      </c>
      <c r="M37" s="22" t="n">
        <f>0</f>
        <v>0.0</v>
      </c>
      <c r="N37" s="21" t="n">
        <f>2360000</f>
        <v>2360000.0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11</f>
        <v>11.0</v>
      </c>
      <c r="E38" s="36" t="n">
        <f>0</f>
        <v>0.0</v>
      </c>
      <c r="F38" s="21" t="n">
        <f>0</f>
        <v>0.0</v>
      </c>
      <c r="G38" s="36" t="n">
        <f>0</f>
        <v>0.0</v>
      </c>
      <c r="H38" s="21" t="n">
        <f>11</f>
        <v>11.0</v>
      </c>
      <c r="I38" s="36" t="n">
        <f>0</f>
        <v>0.0</v>
      </c>
      <c r="J38" s="21" t="n">
        <f>2640000</f>
        <v>2640000.0</v>
      </c>
      <c r="K38" s="36" t="n">
        <f>0</f>
        <v>0.0</v>
      </c>
      <c r="L38" s="21" t="n">
        <f>0</f>
        <v>0.0</v>
      </c>
      <c r="M38" s="36" t="n">
        <f>0</f>
        <v>0.0</v>
      </c>
      <c r="N38" s="21" t="n">
        <f>2640000</f>
        <v>2640000.0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41</f>
        <v>41.0</v>
      </c>
      <c r="E39" s="37" t="n">
        <f>0</f>
        <v>0.0</v>
      </c>
      <c r="F39" s="25" t="n">
        <f>4</f>
        <v>4.0</v>
      </c>
      <c r="G39" s="37" t="n">
        <f>0</f>
        <v>0.0</v>
      </c>
      <c r="H39" s="25" t="n">
        <f>45</f>
        <v>45.0</v>
      </c>
      <c r="I39" s="37" t="n">
        <f>0</f>
        <v>0.0</v>
      </c>
      <c r="J39" s="25" t="n">
        <f>7640000</f>
        <v>7640000.0</v>
      </c>
      <c r="K39" s="37" t="n">
        <f>0</f>
        <v>0.0</v>
      </c>
      <c r="L39" s="25" t="n">
        <f>360000</f>
        <v>360000.0</v>
      </c>
      <c r="M39" s="37" t="n">
        <f>0</f>
        <v>0.0</v>
      </c>
      <c r="N39" s="25" t="n">
        <f>8000000</f>
        <v>8000000.0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6608</f>
        <v>6608.0</v>
      </c>
      <c r="E41" s="36" t="n">
        <f>1000</f>
        <v>1000.0</v>
      </c>
      <c r="F41" s="21" t="n">
        <f>12152</f>
        <v>12152.0</v>
      </c>
      <c r="G41" s="36" t="n">
        <f>0</f>
        <v>0.0</v>
      </c>
      <c r="H41" s="21" t="n">
        <f>18760</f>
        <v>18760.0</v>
      </c>
      <c r="I41" s="36" t="n">
        <f>1000</f>
        <v>1000.0</v>
      </c>
      <c r="J41" s="21" t="n">
        <f>61515170</f>
        <v>6.151517E7</v>
      </c>
      <c r="K41" s="36" t="n">
        <f>12500000</f>
        <v>1.25E7</v>
      </c>
      <c r="L41" s="21" t="n">
        <f>28440598</f>
        <v>2.8440598E7</v>
      </c>
      <c r="M41" s="36" t="n">
        <f>0</f>
        <v>0.0</v>
      </c>
      <c r="N41" s="21" t="n">
        <f>89955768</f>
        <v>8.9955768E7</v>
      </c>
      <c r="O41" s="36" t="n">
        <f>12500000</f>
        <v>1.25E7</v>
      </c>
    </row>
    <row r="42" spans="1:15" ht="24.9" customHeight="1">
      <c r="A42" s="38"/>
      <c r="B42" s="62"/>
      <c r="C42" s="20" t="s">
        <v>17</v>
      </c>
      <c r="D42" s="21" t="n">
        <f>5356</f>
        <v>5356.0</v>
      </c>
      <c r="E42" s="36" t="n">
        <f>0</f>
        <v>0.0</v>
      </c>
      <c r="F42" s="21" t="n">
        <f>28410</f>
        <v>28410.0</v>
      </c>
      <c r="G42" s="36" t="n">
        <f>9200</f>
        <v>9200.0</v>
      </c>
      <c r="H42" s="21" t="n">
        <f>33766</f>
        <v>33766.0</v>
      </c>
      <c r="I42" s="36" t="n">
        <f>9200</f>
        <v>9200.0</v>
      </c>
      <c r="J42" s="21" t="n">
        <f>2802960</f>
        <v>2802960.0</v>
      </c>
      <c r="K42" s="36" t="n">
        <f>0</f>
        <v>0.0</v>
      </c>
      <c r="L42" s="21" t="n">
        <f>231481090</f>
        <v>2.3148109E8</v>
      </c>
      <c r="M42" s="36" t="n">
        <f>181245000</f>
        <v>1.81245E8</v>
      </c>
      <c r="N42" s="21" t="n">
        <f>234284050</f>
        <v>2.3428405E8</v>
      </c>
      <c r="O42" s="36" t="n">
        <f>181245000</f>
        <v>1.81245E8</v>
      </c>
    </row>
    <row r="43" spans="1:15" ht="24.9" customHeight="1">
      <c r="A43" s="38"/>
      <c r="B43" s="62"/>
      <c r="C43" s="24" t="s">
        <v>18</v>
      </c>
      <c r="D43" s="25" t="n">
        <f>11964</f>
        <v>11964.0</v>
      </c>
      <c r="E43" s="37" t="n">
        <f>1000</f>
        <v>1000.0</v>
      </c>
      <c r="F43" s="25" t="n">
        <f>40562</f>
        <v>40562.0</v>
      </c>
      <c r="G43" s="37" t="n">
        <f>9200</f>
        <v>9200.0</v>
      </c>
      <c r="H43" s="25" t="n">
        <f>52526</f>
        <v>52526.0</v>
      </c>
      <c r="I43" s="37" t="n">
        <f>10200</f>
        <v>10200.0</v>
      </c>
      <c r="J43" s="25" t="n">
        <f>64318130</f>
        <v>6.431813E7</v>
      </c>
      <c r="K43" s="37" t="n">
        <f>12500000</f>
        <v>1.25E7</v>
      </c>
      <c r="L43" s="25" t="n">
        <f>259921688</f>
        <v>2.59921688E8</v>
      </c>
      <c r="M43" s="37" t="n">
        <f>181245000</f>
        <v>1.81245E8</v>
      </c>
      <c r="N43" s="25" t="n">
        <f>324239818</f>
        <v>3.24239818E8</v>
      </c>
      <c r="O43" s="37" t="n">
        <f>193745000</f>
        <v>1.93745E8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