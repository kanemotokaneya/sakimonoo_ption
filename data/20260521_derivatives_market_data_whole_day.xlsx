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<sst xmlns="http://schemas.openxmlformats.org/spreadsheetml/2006/main" count="528" uniqueCount="129">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</sst>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DATE(2026,05,21)</f>
        <v>46163.0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DATE(2026,05,21)</f>
        <v>46163.0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794600.0</f>
        <v>794600.0</v>
      </c>
      <c r="E12" s="18" t="n">
        <f>37799.0</f>
        <v>37799.0</v>
      </c>
      <c r="F12" s="19" t="n">
        <f>1.0</f>
        <v>1.0</v>
      </c>
      <c r="G12" s="17" t="n">
        <f>6248796988395.0</f>
        <v>6.248796988395E12</v>
      </c>
      <c r="H12" s="18" t="n">
        <f>380001249620.0</f>
        <v>3.8000124962E11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452576.0</f>
        <v>452576.0</v>
      </c>
      <c r="E13" s="22" t="n">
        <f>23413.0</f>
        <v>23413.0</v>
      </c>
      <c r="F13" s="23" t="n">
        <f>1.0</f>
        <v>1.0</v>
      </c>
      <c r="G13" s="21" t="n">
        <f>5227085540160.0</f>
        <v>5.22708554016E12</v>
      </c>
      <c r="H13" s="22" t="n">
        <f>412178989410.0</f>
        <v>4.1217898941E11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429560.0</f>
        <v>429560.0</v>
      </c>
      <c r="E14" s="22" t="n">
        <f>29290.0</f>
        <v>29290.0</v>
      </c>
      <c r="F14" s="23" t="n">
        <f>1.0</f>
        <v>1.0</v>
      </c>
      <c r="G14" s="21" t="n">
        <f>5693955338141.0</f>
        <v>5.693955338141E12</v>
      </c>
      <c r="H14" s="22" t="n">
        <f>784082745016.0</f>
        <v>7.84082745016E11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1676736.0</f>
        <v>1676736.0</v>
      </c>
      <c r="E15" s="26" t="n">
        <f>90502.0</f>
        <v>90502.0</v>
      </c>
      <c r="F15" s="27" t="n">
        <f>1.0</f>
        <v>1.0</v>
      </c>
      <c r="G15" s="25" t="n">
        <f>17169837866696.0</f>
        <v>1.7169837866696E13</v>
      </c>
      <c r="H15" s="26" t="n">
        <f>1576262984046.0</f>
        <v>1.576262984046E12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19699.0</f>
        <v>19699.0</v>
      </c>
      <c r="E16" s="18" t="n">
        <f>324.0</f>
        <v>324.0</v>
      </c>
      <c r="F16" s="19" t="n">
        <f>0.025</f>
        <v>0.025</v>
      </c>
      <c r="G16" s="17" t="n">
        <f>2353378196875.0</f>
        <v>2.353378196875E12</v>
      </c>
      <c r="H16" s="18" t="n">
        <f>41361610000.0</f>
        <v>4.136161E10</v>
      </c>
      <c r="I16" s="19" t="n">
        <f>0.377</f>
        <v>0.377</v>
      </c>
    </row>
    <row r="17" spans="1:9" ht="24.9" customHeight="1">
      <c r="A17" s="41"/>
      <c r="B17" s="39"/>
      <c r="C17" s="20" t="s">
        <v>16</v>
      </c>
      <c r="D17" s="21" t="n">
        <f>18787.0</f>
        <v>18787.0</v>
      </c>
      <c r="E17" s="22" t="n">
        <f>613.0</f>
        <v>613.0</v>
      </c>
      <c r="F17" s="23" t="n">
        <f>0.042</f>
        <v>0.042</v>
      </c>
      <c r="G17" s="21" t="n">
        <f>2208977068750.0</f>
        <v>2.20897706875E12</v>
      </c>
      <c r="H17" s="22" t="n">
        <f>78377600000.0</f>
        <v>7.83776E10</v>
      </c>
      <c r="I17" s="23" t="n">
        <f>0.423</f>
        <v>0.423</v>
      </c>
    </row>
    <row r="18" spans="1:9" ht="24.9" customHeight="1">
      <c r="A18" s="41"/>
      <c r="B18" s="39"/>
      <c r="C18" s="20" t="s">
        <v>17</v>
      </c>
      <c r="D18" s="21" t="n">
        <f>18237.0</f>
        <v>18237.0</v>
      </c>
      <c r="E18" s="22" t="n">
        <f>1210.0</f>
        <v>1210.0</v>
      </c>
      <c r="F18" s="23" t="n">
        <f>0.042</f>
        <v>0.042</v>
      </c>
      <c r="G18" s="21" t="n">
        <f>2259108236125.0</f>
        <v>2.259108236125E12</v>
      </c>
      <c r="H18" s="22" t="n">
        <f>154652855000.0</f>
        <v>1.54652855E11</v>
      </c>
      <c r="I18" s="23" t="n">
        <f>0.397</f>
        <v>0.397</v>
      </c>
    </row>
    <row r="19" spans="1:9" ht="24.9" customHeight="1">
      <c r="A19" s="41"/>
      <c r="B19" s="39"/>
      <c r="C19" s="24" t="s">
        <v>18</v>
      </c>
      <c r="D19" s="25" t="n">
        <f>56723.0</f>
        <v>56723.0</v>
      </c>
      <c r="E19" s="26" t="n">
        <f>2147.0</f>
        <v>2147.0</v>
      </c>
      <c r="F19" s="27" t="n">
        <f>0.034</f>
        <v>0.034</v>
      </c>
      <c r="G19" s="25" t="n">
        <f>6821463501750.0</f>
        <v>6.82146350175E12</v>
      </c>
      <c r="H19" s="26" t="n">
        <f>274392065000.0</f>
        <v>2.74392065E11</v>
      </c>
      <c r="I19" s="27" t="n">
        <f>0.397</f>
        <v>0.397</v>
      </c>
    </row>
    <row r="20" spans="1:9" ht="24.9" customHeight="1">
      <c r="A20" s="41"/>
      <c r="B20" s="39" t="s">
        <v>21</v>
      </c>
      <c r="C20" s="16" t="s">
        <v>15</v>
      </c>
      <c r="D20" s="17" t="n">
        <f>756526.0</f>
        <v>756526.0</v>
      </c>
      <c r="E20" s="18" t="n">
        <f>37375.0</f>
        <v>37375.0</v>
      </c>
      <c r="F20" s="19" t="n">
        <f>0.952</f>
        <v>0.952</v>
      </c>
      <c r="G20" s="17" t="n">
        <f>3695974792220.0</f>
        <v>3.69597479222E12</v>
      </c>
      <c r="H20" s="18" t="n">
        <f>338465357620.0</f>
        <v>3.3846535762E11</v>
      </c>
      <c r="I20" s="19" t="n">
        <f>0.591</f>
        <v>0.591</v>
      </c>
    </row>
    <row r="21" spans="1:9" ht="24.9" customHeight="1">
      <c r="A21" s="41"/>
      <c r="B21" s="39"/>
      <c r="C21" s="20" t="s">
        <v>16</v>
      </c>
      <c r="D21" s="21" t="n">
        <f>425349.0</f>
        <v>425349.0</v>
      </c>
      <c r="E21" s="22" t="n">
        <f>22800.0</f>
        <v>22800.0</v>
      </c>
      <c r="F21" s="23" t="n">
        <f>0.94</f>
        <v>0.94</v>
      </c>
      <c r="G21" s="21" t="n">
        <f>2934869660410.0</f>
        <v>2.93486966041E12</v>
      </c>
      <c r="H21" s="22" t="n">
        <f>333801389410.0</f>
        <v>3.3380138941E11</v>
      </c>
      <c r="I21" s="23" t="n">
        <f>0.561</f>
        <v>0.561</v>
      </c>
    </row>
    <row r="22" spans="1:9" ht="24.9" customHeight="1">
      <c r="A22" s="41"/>
      <c r="B22" s="39"/>
      <c r="C22" s="20" t="s">
        <v>17</v>
      </c>
      <c r="D22" s="21" t="n">
        <f>403014.0</f>
        <v>403014.0</v>
      </c>
      <c r="E22" s="22" t="n">
        <f>28080.0</f>
        <v>28080.0</v>
      </c>
      <c r="F22" s="23" t="n">
        <f>0.938</f>
        <v>0.938</v>
      </c>
      <c r="G22" s="21" t="n">
        <f>3365274201616.0</f>
        <v>3.365274201616E12</v>
      </c>
      <c r="H22" s="22" t="n">
        <f>629429890016.0</f>
        <v>6.29429890016E11</v>
      </c>
      <c r="I22" s="23" t="n">
        <f>0.591</f>
        <v>0.591</v>
      </c>
    </row>
    <row r="23" spans="1:9" ht="24.9" customHeight="1">
      <c r="A23" s="41"/>
      <c r="B23" s="39"/>
      <c r="C23" s="24" t="s">
        <v>18</v>
      </c>
      <c r="D23" s="25" t="n">
        <f>1584889.0</f>
        <v>1584889.0</v>
      </c>
      <c r="E23" s="26" t="n">
        <f>88255.0</f>
        <v>88255.0</v>
      </c>
      <c r="F23" s="27" t="n">
        <f>0.945</f>
        <v>0.945</v>
      </c>
      <c r="G23" s="25" t="n">
        <f>9996118654246.0</f>
        <v>9.996118654246E12</v>
      </c>
      <c r="H23" s="26" t="n">
        <f>1301696637046.0</f>
        <v>1.301696637046E12</v>
      </c>
      <c r="I23" s="27" t="n">
        <f>0.582</f>
        <v>0.582</v>
      </c>
    </row>
    <row r="24" spans="1:9" ht="24.9" customHeight="1">
      <c r="A24" s="41"/>
      <c r="B24" s="39" t="s">
        <v>22</v>
      </c>
      <c r="C24" s="16" t="s">
        <v>15</v>
      </c>
      <c r="D24" s="17" t="n">
        <f>16685.0</f>
        <v>16685.0</v>
      </c>
      <c r="E24" s="18" t="n">
        <f>0.0</f>
        <v>0.0</v>
      </c>
      <c r="F24" s="19" t="n">
        <f>0.021</f>
        <v>0.021</v>
      </c>
      <c r="G24" s="17" t="n">
        <f>192301724800.0</f>
        <v>1.923017248E11</v>
      </c>
      <c r="H24" s="18" t="n">
        <f>0.0</f>
        <v>0.0</v>
      </c>
      <c r="I24" s="19" t="n">
        <f>0.031</f>
        <v>0.031</v>
      </c>
    </row>
    <row r="25" spans="1:9" ht="24.9" customHeight="1">
      <c r="A25" s="41"/>
      <c r="B25" s="39"/>
      <c r="C25" s="20" t="s">
        <v>16</v>
      </c>
      <c r="D25" s="21" t="n">
        <f>8195.0</f>
        <v>8195.0</v>
      </c>
      <c r="E25" s="22" t="n">
        <f>0.0</f>
        <v>0.0</v>
      </c>
      <c r="F25" s="23" t="n">
        <f>0.018</f>
        <v>0.018</v>
      </c>
      <c r="G25" s="21" t="n">
        <f>82179375000.0</f>
        <v>8.2179375E10</v>
      </c>
      <c r="H25" s="22" t="n">
        <f>0.0</f>
        <v>0.0</v>
      </c>
      <c r="I25" s="23" t="n">
        <f>0.016</f>
        <v>0.016</v>
      </c>
    </row>
    <row r="26" spans="1:9" ht="24.9" customHeight="1">
      <c r="A26" s="41"/>
      <c r="B26" s="39"/>
      <c r="C26" s="20" t="s">
        <v>17</v>
      </c>
      <c r="D26" s="21" t="n">
        <f>6875.0</f>
        <v>6875.0</v>
      </c>
      <c r="E26" s="22" t="n">
        <f>0.0</f>
        <v>0.0</v>
      </c>
      <c r="F26" s="23" t="n">
        <f>0.016</f>
        <v>0.016</v>
      </c>
      <c r="G26" s="21" t="n">
        <f>63284858900.0</f>
        <v>6.32848589E10</v>
      </c>
      <c r="H26" s="22" t="n">
        <f>0.0</f>
        <v>0.0</v>
      </c>
      <c r="I26" s="23" t="n">
        <f>0.011</f>
        <v>0.011</v>
      </c>
    </row>
    <row r="27" spans="1:9" ht="24.9" customHeight="1">
      <c r="A27" s="42"/>
      <c r="B27" s="39"/>
      <c r="C27" s="24" t="s">
        <v>18</v>
      </c>
      <c r="D27" s="25" t="n">
        <f>31755.0</f>
        <v>31755.0</v>
      </c>
      <c r="E27" s="26" t="n">
        <f>0.0</f>
        <v>0.0</v>
      </c>
      <c r="F27" s="27" t="n">
        <f>0.019</f>
        <v>0.019</v>
      </c>
      <c r="G27" s="25" t="n">
        <f>337765958700.0</f>
        <v>3.377659587E11</v>
      </c>
      <c r="H27" s="26" t="n">
        <f>0.0</f>
        <v>0.0</v>
      </c>
      <c r="I27" s="27" t="n">
        <f>0.02</f>
        <v>0.02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1690.0</f>
        <v>1690.0</v>
      </c>
      <c r="E28" s="18" t="n">
        <f>100.0</f>
        <v>100.0</v>
      </c>
      <c r="F28" s="19" t="n">
        <f>0.002</f>
        <v>0.002</v>
      </c>
      <c r="G28" s="17" t="n">
        <f>7142274500.0</f>
        <v>7.1422745E9</v>
      </c>
      <c r="H28" s="18" t="n">
        <f>174282000.0</f>
        <v>1.74282E8</v>
      </c>
      <c r="I28" s="19" t="n">
        <f>0.001</f>
        <v>0.001</v>
      </c>
    </row>
    <row r="29" spans="1:9" ht="24.9" customHeight="1">
      <c r="A29" s="38"/>
      <c r="B29" s="39"/>
      <c r="C29" s="20" t="s">
        <v>16</v>
      </c>
      <c r="D29" s="21" t="n">
        <f>245.0</f>
        <v>245.0</v>
      </c>
      <c r="E29" s="22" t="n">
        <f>0.0</f>
        <v>0.0</v>
      </c>
      <c r="F29" s="23" t="n">
        <f>0.001</f>
        <v>0.001</v>
      </c>
      <c r="G29" s="21" t="n">
        <f>1059436000.0</f>
        <v>1.059436E9</v>
      </c>
      <c r="H29" s="22" t="n">
        <f>0.0</f>
        <v>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1434.0</f>
        <v>1434.0</v>
      </c>
      <c r="E30" s="22" t="n">
        <f>0.0</f>
        <v>0.0</v>
      </c>
      <c r="F30" s="23" t="n">
        <f>0.003</f>
        <v>0.003</v>
      </c>
      <c r="G30" s="21" t="n">
        <f>6288041500.0</f>
        <v>6.2880415E9</v>
      </c>
      <c r="H30" s="22" t="n">
        <f>0.0</f>
        <v>0.0</v>
      </c>
      <c r="I30" s="23" t="n">
        <f>0.001</f>
        <v>0.001</v>
      </c>
    </row>
    <row r="31" spans="1:9" ht="24.9" customHeight="1">
      <c r="A31" s="38"/>
      <c r="B31" s="39"/>
      <c r="C31" s="24" t="s">
        <v>18</v>
      </c>
      <c r="D31" s="25" t="n">
        <f>3369.0</f>
        <v>3369.0</v>
      </c>
      <c r="E31" s="26" t="n">
        <f>100.0</f>
        <v>100.0</v>
      </c>
      <c r="F31" s="27" t="n">
        <f>0.002</f>
        <v>0.002</v>
      </c>
      <c r="G31" s="25" t="n">
        <f>14489752000.0</f>
        <v>1.4489752E10</v>
      </c>
      <c r="H31" s="26" t="n">
        <f>174282000.0</f>
        <v>1.74282E8</v>
      </c>
      <c r="I31" s="27" t="n">
        <f>0.001</f>
        <v>0.001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46163.0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46163.0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34260</f>
        <v>34260.0</v>
      </c>
      <c r="E11" s="18" t="n">
        <f>6810</f>
        <v>6810.0</v>
      </c>
      <c r="F11" s="19" t="n">
        <f>1</f>
        <v>1.0</v>
      </c>
      <c r="G11" s="17" t="n">
        <f>5028417010</f>
        <v>5.02841701E9</v>
      </c>
      <c r="H11" s="18" t="n">
        <f>3150938510</f>
        <v>3.15093851E9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40979</f>
        <v>40979.0</v>
      </c>
      <c r="E12" s="22" t="n">
        <f>8403</f>
        <v>8403.0</v>
      </c>
      <c r="F12" s="23" t="n">
        <f>1</f>
        <v>1.0</v>
      </c>
      <c r="G12" s="21" t="n">
        <f>6740449122</f>
        <v>6.740449122E9</v>
      </c>
      <c r="H12" s="22" t="n">
        <f>3722685774</f>
        <v>3.722685774E9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50945</f>
        <v>50945.0</v>
      </c>
      <c r="E13" s="22" t="n">
        <f>20828</f>
        <v>20828.0</v>
      </c>
      <c r="F13" s="23" t="n">
        <f>1</f>
        <v>1.0</v>
      </c>
      <c r="G13" s="21" t="n">
        <f>24378987863</f>
        <v>2.4378987863E10</v>
      </c>
      <c r="H13" s="22" t="n">
        <f>21117572160</f>
        <v>2.111757216E10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126184</f>
        <v>126184.0</v>
      </c>
      <c r="E14" s="26" t="n">
        <f>36041</f>
        <v>36041.0</v>
      </c>
      <c r="F14" s="27" t="n">
        <f>1</f>
        <v>1.0</v>
      </c>
      <c r="G14" s="25" t="n">
        <f>36147853995</f>
        <v>3.6147853995E10</v>
      </c>
      <c r="H14" s="26" t="n">
        <f>27991196444</f>
        <v>2.7991196444E10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0</f>
        <v>0.0</v>
      </c>
      <c r="E15" s="18" t="n">
        <f>0</f>
        <v>0.0</v>
      </c>
      <c r="F15" s="19" t="n">
        <f>0</f>
        <v>0.0</v>
      </c>
      <c r="G15" s="17" t="n">
        <f>0</f>
        <v>0.0</v>
      </c>
      <c r="H15" s="18" t="n">
        <f>0</f>
        <v>0.0</v>
      </c>
      <c r="I15" s="19" t="n">
        <f>0</f>
        <v>0.0</v>
      </c>
    </row>
    <row r="16" spans="1:9" ht="24.9" customHeight="1">
      <c r="A16" s="41"/>
      <c r="B16" s="39"/>
      <c r="C16" s="20" t="s">
        <v>16</v>
      </c>
      <c r="D16" s="21" t="n">
        <f>71</f>
        <v>71.0</v>
      </c>
      <c r="E16" s="22" t="n">
        <f>0</f>
        <v>0.0</v>
      </c>
      <c r="F16" s="23" t="n">
        <f>0.002</f>
        <v>0.002</v>
      </c>
      <c r="G16" s="21" t="n">
        <f>16260000</f>
        <v>1.626E7</v>
      </c>
      <c r="H16" s="22" t="n">
        <f>0</f>
        <v>0.0</v>
      </c>
      <c r="I16" s="23" t="n">
        <f>0.002</f>
        <v>0.002</v>
      </c>
    </row>
    <row r="17" spans="1:9" ht="24.9" customHeight="1">
      <c r="A17" s="41"/>
      <c r="B17" s="39"/>
      <c r="C17" s="20" t="s">
        <v>17</v>
      </c>
      <c r="D17" s="21" t="n">
        <f>202</f>
        <v>202.0</v>
      </c>
      <c r="E17" s="22" t="n">
        <f>100</f>
        <v>100.0</v>
      </c>
      <c r="F17" s="23" t="n">
        <f>0.004</f>
        <v>0.004</v>
      </c>
      <c r="G17" s="21" t="n">
        <f>47220000</f>
        <v>4.722E7</v>
      </c>
      <c r="H17" s="22" t="n">
        <f>33500000</f>
        <v>3.35E7</v>
      </c>
      <c r="I17" s="23" t="n">
        <f>0.002</f>
        <v>0.002</v>
      </c>
    </row>
    <row r="18" spans="1:9" ht="24.9" customHeight="1">
      <c r="A18" s="41"/>
      <c r="B18" s="39"/>
      <c r="C18" s="24" t="s">
        <v>18</v>
      </c>
      <c r="D18" s="25" t="n">
        <f>273</f>
        <v>273.0</v>
      </c>
      <c r="E18" s="26" t="n">
        <f>100</f>
        <v>100.0</v>
      </c>
      <c r="F18" s="27" t="n">
        <f>0.002</f>
        <v>0.002</v>
      </c>
      <c r="G18" s="25" t="n">
        <f>63480000</f>
        <v>6.348E7</v>
      </c>
      <c r="H18" s="26" t="n">
        <f>33500000</f>
        <v>3.35E7</v>
      </c>
      <c r="I18" s="27" t="n">
        <f>0.002</f>
        <v>0.002</v>
      </c>
    </row>
    <row r="19" spans="1:9" ht="24.9" customHeight="1">
      <c r="A19" s="41"/>
      <c r="B19" s="39" t="s">
        <v>31</v>
      </c>
      <c r="C19" s="16" t="s">
        <v>15</v>
      </c>
      <c r="D19" s="17" t="n">
        <f>34260</f>
        <v>34260.0</v>
      </c>
      <c r="E19" s="18" t="n">
        <f>6810</f>
        <v>6810.0</v>
      </c>
      <c r="F19" s="19" t="n">
        <f>1</f>
        <v>1.0</v>
      </c>
      <c r="G19" s="17" t="n">
        <f>5028417010</f>
        <v>5.02841701E9</v>
      </c>
      <c r="H19" s="18" t="n">
        <f>3150938510</f>
        <v>3.15093851E9</v>
      </c>
      <c r="I19" s="19" t="n">
        <f>1</f>
        <v>1.0</v>
      </c>
    </row>
    <row r="20" spans="1:9" ht="24.9" customHeight="1">
      <c r="A20" s="41"/>
      <c r="B20" s="39"/>
      <c r="C20" s="20" t="s">
        <v>16</v>
      </c>
      <c r="D20" s="21" t="n">
        <f>33739</f>
        <v>33739.0</v>
      </c>
      <c r="E20" s="22" t="n">
        <f>7623</f>
        <v>7623.0</v>
      </c>
      <c r="F20" s="23" t="n">
        <f>0.823</f>
        <v>0.823</v>
      </c>
      <c r="G20" s="21" t="n">
        <f>6530802474</f>
        <v>6.530802474E9</v>
      </c>
      <c r="H20" s="22" t="n">
        <f>3570610774</f>
        <v>3.570610774E9</v>
      </c>
      <c r="I20" s="23" t="n">
        <f>0.969</f>
        <v>0.969</v>
      </c>
    </row>
    <row r="21" spans="1:9" ht="24.9" customHeight="1">
      <c r="A21" s="41"/>
      <c r="B21" s="39"/>
      <c r="C21" s="20" t="s">
        <v>17</v>
      </c>
      <c r="D21" s="21" t="n">
        <f>48990</f>
        <v>48990.0</v>
      </c>
      <c r="E21" s="22" t="n">
        <f>19788</f>
        <v>19788.0</v>
      </c>
      <c r="F21" s="23" t="n">
        <f>0.962</f>
        <v>0.962</v>
      </c>
      <c r="G21" s="21" t="n">
        <f>24048667260</f>
        <v>2.404866726E10</v>
      </c>
      <c r="H21" s="22" t="n">
        <f>20840872160</f>
        <v>2.084087216E10</v>
      </c>
      <c r="I21" s="23" t="n">
        <f>0.986</f>
        <v>0.986</v>
      </c>
    </row>
    <row r="22" spans="1:9" ht="24.9" customHeight="1">
      <c r="A22" s="41"/>
      <c r="B22" s="39"/>
      <c r="C22" s="24" t="s">
        <v>18</v>
      </c>
      <c r="D22" s="25" t="n">
        <f>116989</f>
        <v>116989.0</v>
      </c>
      <c r="E22" s="26" t="n">
        <f>34221</f>
        <v>34221.0</v>
      </c>
      <c r="F22" s="27" t="n">
        <f>0.927</f>
        <v>0.927</v>
      </c>
      <c r="G22" s="25" t="n">
        <f>35607886744</f>
        <v>3.5607886744E10</v>
      </c>
      <c r="H22" s="26" t="n">
        <f>27562421444</f>
        <v>2.7562421444E10</v>
      </c>
      <c r="I22" s="27" t="n">
        <f>0.985</f>
        <v>0.985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7169</f>
        <v>7169.0</v>
      </c>
      <c r="E24" s="22" t="n">
        <f>780</f>
        <v>780.0</v>
      </c>
      <c r="F24" s="23" t="n">
        <f>0.175</f>
        <v>0.175</v>
      </c>
      <c r="G24" s="21" t="n">
        <f>193386648</f>
        <v>1.93386648E8</v>
      </c>
      <c r="H24" s="22" t="n">
        <f>152075000</f>
        <v>1.52075E8</v>
      </c>
      <c r="I24" s="23" t="n">
        <f>0.029</f>
        <v>0.029</v>
      </c>
    </row>
    <row r="25" spans="1:9" ht="24.9" customHeight="1">
      <c r="A25" s="41"/>
      <c r="B25" s="39"/>
      <c r="C25" s="20" t="s">
        <v>17</v>
      </c>
      <c r="D25" s="21" t="n">
        <f>1753</f>
        <v>1753.0</v>
      </c>
      <c r="E25" s="22" t="n">
        <f>940</f>
        <v>940.0</v>
      </c>
      <c r="F25" s="23" t="n">
        <f>0.034</f>
        <v>0.034</v>
      </c>
      <c r="G25" s="21" t="n">
        <f>283100603</f>
        <v>2.83100603E8</v>
      </c>
      <c r="H25" s="22" t="n">
        <f>243200000</f>
        <v>2.432E8</v>
      </c>
      <c r="I25" s="23" t="n">
        <f>0.012</f>
        <v>0.012</v>
      </c>
    </row>
    <row r="26" spans="1:9" ht="24.9" customHeight="1">
      <c r="A26" s="41"/>
      <c r="B26" s="39"/>
      <c r="C26" s="24" t="s">
        <v>18</v>
      </c>
      <c r="D26" s="25" t="n">
        <f>8922</f>
        <v>8922.0</v>
      </c>
      <c r="E26" s="26" t="n">
        <f>1720</f>
        <v>1720.0</v>
      </c>
      <c r="F26" s="27" t="n">
        <f>0.071</f>
        <v>0.071</v>
      </c>
      <c r="G26" s="25" t="n">
        <f>476487251</f>
        <v>4.76487251E8</v>
      </c>
      <c r="H26" s="26" t="n">
        <f>395275000</f>
        <v>3.95275E8</v>
      </c>
      <c r="I26" s="27" t="n">
        <f>0.013</f>
        <v>0.013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46163.0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46163.0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14508.0</v>
      </c>
      <c r="F12" s="18" t="n">
        <f>1535</f>
        <v>1535.0</v>
      </c>
      <c r="G12" s="17" t="n">
        <v>8.8176194831E11</v>
      </c>
      <c r="H12" s="18" t="n">
        <f>93156291310</f>
        <v>9.315629131E10</v>
      </c>
    </row>
    <row r="13" spans="1:8" ht="24.9" customHeight="1">
      <c r="A13" s="51"/>
      <c r="B13" s="57"/>
      <c r="C13" s="39"/>
      <c r="D13" s="20" t="s">
        <v>16</v>
      </c>
      <c r="E13" s="21" t="n">
        <v>16091.0</v>
      </c>
      <c r="F13" s="22" t="n">
        <f>2457</f>
        <v>2457.0</v>
      </c>
      <c r="G13" s="21" t="n">
        <v>9.916027167E11</v>
      </c>
      <c r="H13" s="22" t="n">
        <f>151569409700</f>
        <v>1.515694097E11</v>
      </c>
    </row>
    <row r="14" spans="1:8" ht="24.9" customHeight="1">
      <c r="A14" s="51"/>
      <c r="B14" s="57"/>
      <c r="C14" s="39"/>
      <c r="D14" s="20" t="s">
        <v>17</v>
      </c>
      <c r="E14" s="21" t="n">
        <v>20106.0</v>
      </c>
      <c r="F14" s="22" t="n">
        <f>5643</f>
        <v>5643.0</v>
      </c>
      <c r="G14" s="21" t="n">
        <v>1.242727899506E12</v>
      </c>
      <c r="H14" s="22" t="n">
        <f>348475308506</f>
        <v>3.48475308506E11</v>
      </c>
    </row>
    <row r="15" spans="1:8" ht="24.9" customHeight="1">
      <c r="A15" s="51"/>
      <c r="B15" s="57"/>
      <c r="C15" s="39"/>
      <c r="D15" s="24" t="s">
        <v>18</v>
      </c>
      <c r="E15" s="25" t="n">
        <v>50705.0</v>
      </c>
      <c r="F15" s="26" t="n">
        <f>9635</f>
        <v>9635.0</v>
      </c>
      <c r="G15" s="25" t="n">
        <v>3.116092564516E12</v>
      </c>
      <c r="H15" s="26" t="n">
        <f>593201009516</f>
        <v>5.93201009516E11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294475.0</v>
      </c>
      <c r="F16" s="18" t="n">
        <f>34410</f>
        <v>34410.0</v>
      </c>
      <c r="G16" s="17" t="n">
        <v>1.78927623452E12</v>
      </c>
      <c r="H16" s="18" t="n">
        <f>208716219520</f>
        <v>2.0871621952E11</v>
      </c>
    </row>
    <row r="17" spans="1:8" ht="24.9" customHeight="1">
      <c r="A17" s="51"/>
      <c r="B17" s="57"/>
      <c r="C17" s="39"/>
      <c r="D17" s="20" t="s">
        <v>16</v>
      </c>
      <c r="E17" s="21" t="n">
        <v>181336.0</v>
      </c>
      <c r="F17" s="22" t="n">
        <f>18294</f>
        <v>18294.0</v>
      </c>
      <c r="G17" s="21" t="n">
        <v>1.11728755931E12</v>
      </c>
      <c r="H17" s="22" t="n">
        <f>112742984810</f>
        <v>1.1274298481E11</v>
      </c>
    </row>
    <row r="18" spans="1:8" ht="24.9" customHeight="1">
      <c r="A18" s="51"/>
      <c r="B18" s="57"/>
      <c r="C18" s="39"/>
      <c r="D18" s="20" t="s">
        <v>17</v>
      </c>
      <c r="E18" s="21" t="n">
        <v>168034.0</v>
      </c>
      <c r="F18" s="22" t="n">
        <f>17500</f>
        <v>17500.0</v>
      </c>
      <c r="G18" s="21" t="n">
        <v>1.03938002271E12</v>
      </c>
      <c r="H18" s="22" t="n">
        <f>108200307710</f>
        <v>1.0820030771E11</v>
      </c>
    </row>
    <row r="19" spans="1:8" ht="24.9" customHeight="1">
      <c r="A19" s="51"/>
      <c r="B19" s="57"/>
      <c r="C19" s="39"/>
      <c r="D19" s="24" t="s">
        <v>18</v>
      </c>
      <c r="E19" s="25" t="n">
        <v>643845.0</v>
      </c>
      <c r="F19" s="26" t="n">
        <f>70204</f>
        <v>70204.0</v>
      </c>
      <c r="G19" s="25" t="n">
        <v>3.94594381654E12</v>
      </c>
      <c r="H19" s="26" t="n">
        <f>429659512040</f>
        <v>4.2965951204E11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417084.0</v>
      </c>
      <c r="F20" s="18" t="str">
        <f>"－"</f>
        <v>－</v>
      </c>
      <c r="G20" s="17" t="n">
        <v>2.533883856E11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200235.0</v>
      </c>
      <c r="F21" s="22" t="str">
        <f>"－"</f>
        <v>－</v>
      </c>
      <c r="G21" s="21" t="n">
        <v>1.234130376E11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180499.0</v>
      </c>
      <c r="F22" s="22" t="str">
        <f>"－"</f>
        <v>－</v>
      </c>
      <c r="G22" s="21" t="n">
        <v>1.1168724405E11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797818.0</v>
      </c>
      <c r="F23" s="26" t="str">
        <f>"－"</f>
        <v>－</v>
      </c>
      <c r="G23" s="25" t="n">
        <v>4.8848866725E11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19269.0</v>
      </c>
      <c r="F24" s="18" t="n">
        <f>921</f>
        <v>921.0</v>
      </c>
      <c r="G24" s="17" t="n">
        <v>7.389941405E11</v>
      </c>
      <c r="H24" s="18" t="n">
        <f>34986460500</f>
        <v>3.49864605E10</v>
      </c>
    </row>
    <row r="25" spans="1:8" ht="24.9" customHeight="1">
      <c r="A25" s="51"/>
      <c r="B25" s="57"/>
      <c r="C25" s="39"/>
      <c r="D25" s="20" t="s">
        <v>16</v>
      </c>
      <c r="E25" s="21" t="n">
        <v>17290.0</v>
      </c>
      <c r="F25" s="22" t="n">
        <f>1771</f>
        <v>1771.0</v>
      </c>
      <c r="G25" s="21" t="n">
        <v>6.681768E11</v>
      </c>
      <c r="H25" s="22" t="n">
        <f>68587840000</f>
        <v>6.858784E10</v>
      </c>
    </row>
    <row r="26" spans="1:8" ht="24.9" customHeight="1">
      <c r="A26" s="51"/>
      <c r="B26" s="57"/>
      <c r="C26" s="39"/>
      <c r="D26" s="20" t="s">
        <v>17</v>
      </c>
      <c r="E26" s="21" t="n">
        <v>24298.0</v>
      </c>
      <c r="F26" s="22" t="n">
        <f>4441</f>
        <v>4441.0</v>
      </c>
      <c r="G26" s="21" t="n">
        <v>9.38869869024E11</v>
      </c>
      <c r="H26" s="22" t="n">
        <f>171249664024</f>
        <v>1.71249664024E11</v>
      </c>
    </row>
    <row r="27" spans="1:8" ht="24.9" customHeight="1">
      <c r="A27" s="51"/>
      <c r="B27" s="57"/>
      <c r="C27" s="39"/>
      <c r="D27" s="24" t="s">
        <v>18</v>
      </c>
      <c r="E27" s="25" t="n">
        <v>60857.0</v>
      </c>
      <c r="F27" s="26" t="n">
        <f>7133</f>
        <v>7133.0</v>
      </c>
      <c r="G27" s="25" t="n">
        <v>2.346040809524E12</v>
      </c>
      <c r="H27" s="26" t="n">
        <f>274823964524</f>
        <v>2.74823964524E11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6008.0</v>
      </c>
      <c r="F28" s="18" t="n">
        <f>326</f>
        <v>326.0</v>
      </c>
      <c r="G28" s="17" t="n">
        <v>2.30521119E10</v>
      </c>
      <c r="H28" s="18" t="n">
        <f>1247347400</f>
        <v>1.2473474E9</v>
      </c>
    </row>
    <row r="29" spans="1:8" ht="24.9" customHeight="1">
      <c r="A29" s="51"/>
      <c r="B29" s="57"/>
      <c r="C29" s="39"/>
      <c r="D29" s="20" t="s">
        <v>16</v>
      </c>
      <c r="E29" s="21" t="n">
        <v>7796.0</v>
      </c>
      <c r="F29" s="22" t="n">
        <f>212</f>
        <v>212.0</v>
      </c>
      <c r="G29" s="21" t="n">
        <v>3.01091551E10</v>
      </c>
      <c r="H29" s="22" t="n">
        <f>818809600</f>
        <v>8.188096E8</v>
      </c>
    </row>
    <row r="30" spans="1:8" ht="24.9" customHeight="1">
      <c r="A30" s="51"/>
      <c r="B30" s="57"/>
      <c r="C30" s="39"/>
      <c r="D30" s="20" t="s">
        <v>17</v>
      </c>
      <c r="E30" s="21" t="n">
        <v>6429.0</v>
      </c>
      <c r="F30" s="22" t="n">
        <f>261</f>
        <v>261.0</v>
      </c>
      <c r="G30" s="21" t="n">
        <v>2.4855333635E10</v>
      </c>
      <c r="H30" s="22" t="n">
        <f>1008941385</f>
        <v>1.008941385E9</v>
      </c>
    </row>
    <row r="31" spans="1:8" ht="24.9" customHeight="1">
      <c r="A31" s="51"/>
      <c r="B31" s="57"/>
      <c r="C31" s="39"/>
      <c r="D31" s="24" t="s">
        <v>18</v>
      </c>
      <c r="E31" s="25" t="n">
        <v>20233.0</v>
      </c>
      <c r="F31" s="26" t="n">
        <f>799</f>
        <v>799.0</v>
      </c>
      <c r="G31" s="25" t="n">
        <v>7.8016600635E10</v>
      </c>
      <c r="H31" s="26" t="n">
        <f>3075098385</f>
        <v>3.075098385E9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461.0</v>
      </c>
      <c r="F36" s="18" t="n">
        <f>0</f>
        <v>0.0</v>
      </c>
      <c r="G36" s="17" t="n">
        <v>1.6011745E9</v>
      </c>
      <c r="H36" s="18" t="n">
        <f>0</f>
        <v>0.0</v>
      </c>
    </row>
    <row r="37" spans="1:8" ht="24.9" customHeight="1">
      <c r="A37" s="51"/>
      <c r="B37" s="57"/>
      <c r="C37" s="39"/>
      <c r="D37" s="20" t="s">
        <v>16</v>
      </c>
      <c r="E37" s="21" t="n">
        <v>630.0</v>
      </c>
      <c r="F37" s="22" t="n">
        <f>2</f>
        <v>2.0</v>
      </c>
      <c r="G37" s="21" t="n">
        <v>2.202143E9</v>
      </c>
      <c r="H37" s="22" t="n">
        <f>7003500</f>
        <v>7003500.0</v>
      </c>
    </row>
    <row r="38" spans="1:8" ht="24.9" customHeight="1">
      <c r="A38" s="51"/>
      <c r="B38" s="57"/>
      <c r="C38" s="39"/>
      <c r="D38" s="20" t="s">
        <v>17</v>
      </c>
      <c r="E38" s="21" t="n">
        <v>1463.0</v>
      </c>
      <c r="F38" s="22" t="n">
        <f>58</f>
        <v>58.0</v>
      </c>
      <c r="G38" s="21" t="n">
        <v>5.118694451E9</v>
      </c>
      <c r="H38" s="22" t="n">
        <f>202529451</f>
        <v>2.02529451E8</v>
      </c>
    </row>
    <row r="39" spans="1:8" ht="24.9" customHeight="1">
      <c r="A39" s="51"/>
      <c r="B39" s="57"/>
      <c r="C39" s="39"/>
      <c r="D39" s="24" t="s">
        <v>18</v>
      </c>
      <c r="E39" s="25" t="n">
        <v>2554.0</v>
      </c>
      <c r="F39" s="26" t="n">
        <f>60</f>
        <v>60.0</v>
      </c>
      <c r="G39" s="25" t="n">
        <v>8.922011951E9</v>
      </c>
      <c r="H39" s="26" t="n">
        <f>209532951</f>
        <v>2.09532951E8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0.0</v>
      </c>
      <c r="F45" s="22" t="n">
        <f>0</f>
        <v>0.0</v>
      </c>
      <c r="G45" s="21" t="n">
        <v>0.0</v>
      </c>
      <c r="H45" s="22" t="n">
        <f>0</f>
        <v>0.0</v>
      </c>
    </row>
    <row r="46" spans="1:8" ht="24.9" customHeight="1">
      <c r="A46" s="51"/>
      <c r="B46" s="57"/>
      <c r="C46" s="39"/>
      <c r="D46" s="20" t="s">
        <v>17</v>
      </c>
      <c r="E46" s="21" t="n">
        <v>0.0</v>
      </c>
      <c r="F46" s="22" t="n">
        <f>0</f>
        <v>0.0</v>
      </c>
      <c r="G46" s="21" t="n">
        <v>0.0</v>
      </c>
      <c r="H46" s="22" t="n">
        <f>0</f>
        <v>0.0</v>
      </c>
    </row>
    <row r="47" spans="1:8" ht="24.9" customHeight="1">
      <c r="A47" s="51"/>
      <c r="B47" s="57"/>
      <c r="C47" s="39"/>
      <c r="D47" s="24" t="s">
        <v>18</v>
      </c>
      <c r="E47" s="25" t="n">
        <v>0.0</v>
      </c>
      <c r="F47" s="26" t="n">
        <f>0</f>
        <v>0.0</v>
      </c>
      <c r="G47" s="25" t="n">
        <v>0.0</v>
      </c>
      <c r="H47" s="26" t="n">
        <f>0</f>
        <v>0.0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139.0</v>
      </c>
      <c r="F48" s="18" t="n">
        <f>138</f>
        <v>138.0</v>
      </c>
      <c r="G48" s="17" t="n">
        <v>2.504115E8</v>
      </c>
      <c r="H48" s="18" t="n">
        <f>248607000</f>
        <v>2.48607E8</v>
      </c>
    </row>
    <row r="49" spans="1:8" ht="24.9" customHeight="1">
      <c r="A49" s="51"/>
      <c r="B49" s="57"/>
      <c r="C49" s="39"/>
      <c r="D49" s="20" t="s">
        <v>16</v>
      </c>
      <c r="E49" s="21" t="n">
        <v>16.0</v>
      </c>
      <c r="F49" s="22" t="n">
        <f>0</f>
        <v>0.0</v>
      </c>
      <c r="G49" s="21" t="n">
        <v>2.89075E7</v>
      </c>
      <c r="H49" s="22" t="n">
        <f>0</f>
        <v>0.0</v>
      </c>
    </row>
    <row r="50" spans="1:8" ht="24.9" customHeight="1">
      <c r="A50" s="51"/>
      <c r="B50" s="57"/>
      <c r="C50" s="39"/>
      <c r="D50" s="20" t="s">
        <v>17</v>
      </c>
      <c r="E50" s="21" t="n">
        <v>206.0</v>
      </c>
      <c r="F50" s="22" t="n">
        <f>117</f>
        <v>117.0</v>
      </c>
      <c r="G50" s="21" t="n">
        <v>3.7335264E8</v>
      </c>
      <c r="H50" s="22" t="n">
        <f>211983140</f>
        <v>2.1198314E8</v>
      </c>
    </row>
    <row r="51" spans="1:8" ht="24.9" customHeight="1">
      <c r="A51" s="51"/>
      <c r="B51" s="57"/>
      <c r="C51" s="39"/>
      <c r="D51" s="24" t="s">
        <v>18</v>
      </c>
      <c r="E51" s="25" t="n">
        <v>361.0</v>
      </c>
      <c r="F51" s="26" t="n">
        <f>255</f>
        <v>255.0</v>
      </c>
      <c r="G51" s="25" t="n">
        <v>6.5267164E8</v>
      </c>
      <c r="H51" s="26" t="n">
        <f>460590140</f>
        <v>4.6059014E8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1219.0</v>
      </c>
      <c r="F56" s="18" t="n">
        <f>27</f>
        <v>27.0</v>
      </c>
      <c r="G56" s="17" t="n">
        <v>9.530256E8</v>
      </c>
      <c r="H56" s="18" t="n">
        <f>21139600</f>
        <v>2.11396E7</v>
      </c>
    </row>
    <row r="57" spans="1:8" ht="24.9" customHeight="1">
      <c r="A57" s="51"/>
      <c r="B57" s="57"/>
      <c r="C57" s="39"/>
      <c r="D57" s="20" t="s">
        <v>16</v>
      </c>
      <c r="E57" s="21" t="n">
        <v>1560.0</v>
      </c>
      <c r="F57" s="22" t="n">
        <f>58</f>
        <v>58.0</v>
      </c>
      <c r="G57" s="21" t="n">
        <v>1.2199269E9</v>
      </c>
      <c r="H57" s="22" t="n">
        <f>45371900</f>
        <v>4.53719E7</v>
      </c>
    </row>
    <row r="58" spans="1:8" ht="24.9" customHeight="1">
      <c r="A58" s="51"/>
      <c r="B58" s="57"/>
      <c r="C58" s="39"/>
      <c r="D58" s="20" t="s">
        <v>17</v>
      </c>
      <c r="E58" s="21" t="n">
        <v>1380.0</v>
      </c>
      <c r="F58" s="22" t="n">
        <f>52</f>
        <v>52.0</v>
      </c>
      <c r="G58" s="21" t="n">
        <v>1.0870632E9</v>
      </c>
      <c r="H58" s="22" t="n">
        <f>41141200</f>
        <v>4.11412E7</v>
      </c>
    </row>
    <row r="59" spans="1:8" ht="24.9" customHeight="1">
      <c r="A59" s="51"/>
      <c r="B59" s="57"/>
      <c r="C59" s="39"/>
      <c r="D59" s="24" t="s">
        <v>18</v>
      </c>
      <c r="E59" s="25" t="n">
        <v>4159.0</v>
      </c>
      <c r="F59" s="26" t="n">
        <f>137</f>
        <v>137.0</v>
      </c>
      <c r="G59" s="25" t="n">
        <v>3.2600157E9</v>
      </c>
      <c r="H59" s="26" t="n">
        <f>107652700</f>
        <v>1.076527E8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218.0</v>
      </c>
      <c r="F60" s="18" t="n">
        <f>18</f>
        <v>18.0</v>
      </c>
      <c r="G60" s="17" t="n">
        <v>1.08499079E9</v>
      </c>
      <c r="H60" s="18" t="n">
        <f>89292290</f>
        <v>8.929229E7</v>
      </c>
    </row>
    <row r="61" spans="1:8" ht="24.9" customHeight="1">
      <c r="A61" s="51"/>
      <c r="B61" s="57"/>
      <c r="C61" s="39"/>
      <c r="D61" s="20" t="s">
        <v>16</v>
      </c>
      <c r="E61" s="21" t="n">
        <v>9.0</v>
      </c>
      <c r="F61" s="22" t="n">
        <f>6</f>
        <v>6.0</v>
      </c>
      <c r="G61" s="21" t="n">
        <v>4.49545E7</v>
      </c>
      <c r="H61" s="22" t="n">
        <f>29969900</f>
        <v>2.99699E7</v>
      </c>
    </row>
    <row r="62" spans="1:8" ht="24.9" customHeight="1">
      <c r="A62" s="51"/>
      <c r="B62" s="57"/>
      <c r="C62" s="39"/>
      <c r="D62" s="20" t="s">
        <v>17</v>
      </c>
      <c r="E62" s="21" t="n">
        <v>36.0</v>
      </c>
      <c r="F62" s="22" t="n">
        <f>8</f>
        <v>8.0</v>
      </c>
      <c r="G62" s="21" t="n">
        <v>1.802239E8</v>
      </c>
      <c r="H62" s="22" t="n">
        <f>40014600</f>
        <v>4.00146E7</v>
      </c>
    </row>
    <row r="63" spans="1:8" ht="24.9" customHeight="1">
      <c r="A63" s="51"/>
      <c r="B63" s="57"/>
      <c r="C63" s="39"/>
      <c r="D63" s="24" t="s">
        <v>18</v>
      </c>
      <c r="E63" s="25" t="n">
        <v>263.0</v>
      </c>
      <c r="F63" s="26" t="n">
        <f>32</f>
        <v>32.0</v>
      </c>
      <c r="G63" s="25" t="n">
        <v>1.31016919E9</v>
      </c>
      <c r="H63" s="26" t="n">
        <f>159276790</f>
        <v>1.5927679E8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0.0</v>
      </c>
      <c r="F75" s="26" t="n">
        <f>0</f>
        <v>0.0</v>
      </c>
      <c r="G75" s="25" t="n">
        <v>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0.0</v>
      </c>
      <c r="F76" s="18" t="n">
        <f>0</f>
        <v>0.0</v>
      </c>
      <c r="G76" s="17" t="n">
        <v>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19.0</v>
      </c>
      <c r="F77" s="22" t="n">
        <f>0</f>
        <v>0.0</v>
      </c>
      <c r="G77" s="21" t="n">
        <v>6401500.0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1.0</v>
      </c>
      <c r="F78" s="22" t="n">
        <f>0</f>
        <v>0.0</v>
      </c>
      <c r="G78" s="21" t="n">
        <v>337000.0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20.0</v>
      </c>
      <c r="F79" s="26" t="n">
        <f>0</f>
        <v>0.0</v>
      </c>
      <c r="G79" s="25" t="n">
        <v>6738500.0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1930.0</v>
      </c>
      <c r="F92" s="18" t="n">
        <f>0</f>
        <v>0.0</v>
      </c>
      <c r="G92" s="17" t="n">
        <v>3.0601269E9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1.0</v>
      </c>
      <c r="F93" s="22" t="n">
        <f>0</f>
        <v>0.0</v>
      </c>
      <c r="G93" s="21" t="n">
        <v>1585600.0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301.0</v>
      </c>
      <c r="F94" s="22" t="n">
        <f>0</f>
        <v>0.0</v>
      </c>
      <c r="G94" s="21" t="n">
        <v>4.775871E8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2232.0</v>
      </c>
      <c r="F95" s="26" t="n">
        <f>0</f>
        <v>0.0</v>
      </c>
      <c r="G95" s="25" t="n">
        <v>3.5392996E9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635.0</v>
      </c>
      <c r="F96" s="18" t="n">
        <f>0</f>
        <v>0.0</v>
      </c>
      <c r="G96" s="17" t="n">
        <v>1.4829961E9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206.0</v>
      </c>
      <c r="F97" s="22" t="n">
        <f>0</f>
        <v>0.0</v>
      </c>
      <c r="G97" s="21" t="n">
        <v>4.810957E8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71.0</v>
      </c>
      <c r="F98" s="22" t="n">
        <f>0</f>
        <v>0.0</v>
      </c>
      <c r="G98" s="21" t="n">
        <v>1.658184E8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912.0</v>
      </c>
      <c r="F99" s="26" t="n">
        <f>0</f>
        <v>0.0</v>
      </c>
      <c r="G99" s="25" t="n">
        <v>2.1299102E9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580.0</v>
      </c>
      <c r="F100" s="18" t="n">
        <f>0</f>
        <v>0.0</v>
      </c>
      <c r="G100" s="17" t="n">
        <v>1.069246E9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160.0</v>
      </c>
      <c r="F101" s="22" t="n">
        <f>0</f>
        <v>0.0</v>
      </c>
      <c r="G101" s="21" t="n">
        <v>2.95377E8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190.0</v>
      </c>
      <c r="F102" s="22" t="n">
        <f>0</f>
        <v>0.0</v>
      </c>
      <c r="G102" s="21" t="n">
        <v>3.50756E8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930.0</v>
      </c>
      <c r="F103" s="26" t="n">
        <f>0</f>
        <v>0.0</v>
      </c>
      <c r="G103" s="25" t="n">
        <v>1.715379E9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18088.0</v>
      </c>
      <c r="F108" s="18" t="n">
        <f>324</f>
        <v>324.0</v>
      </c>
      <c r="G108" s="17" t="n">
        <v>2.31364543E12</v>
      </c>
      <c r="H108" s="18" t="n">
        <f>41361610000</f>
        <v>4.136161E10</v>
      </c>
    </row>
    <row r="109" spans="1:8" ht="24.9" customHeight="1">
      <c r="A109" s="51"/>
      <c r="B109" s="57"/>
      <c r="C109" s="39"/>
      <c r="D109" s="20" t="s">
        <v>16</v>
      </c>
      <c r="E109" s="21" t="n">
        <v>16977.0</v>
      </c>
      <c r="F109" s="22" t="n">
        <f>613</f>
        <v>613.0</v>
      </c>
      <c r="G109" s="21" t="n">
        <v>2.17064063E12</v>
      </c>
      <c r="H109" s="22" t="n">
        <f>78377600000</f>
        <v>7.83776E10</v>
      </c>
    </row>
    <row r="110" spans="1:8" ht="24.9" customHeight="1">
      <c r="A110" s="51"/>
      <c r="B110" s="57"/>
      <c r="C110" s="39"/>
      <c r="D110" s="20" t="s">
        <v>17</v>
      </c>
      <c r="E110" s="21" t="n">
        <v>17585.0</v>
      </c>
      <c r="F110" s="22" t="n">
        <f>1210</f>
        <v>1210.0</v>
      </c>
      <c r="G110" s="21" t="n">
        <v>2.247344455E12</v>
      </c>
      <c r="H110" s="22" t="n">
        <f>154652855000</f>
        <v>1.54652855E11</v>
      </c>
    </row>
    <row r="111" spans="1:8" ht="24.9" customHeight="1">
      <c r="A111" s="51"/>
      <c r="B111" s="57"/>
      <c r="C111" s="39"/>
      <c r="D111" s="24" t="s">
        <v>18</v>
      </c>
      <c r="E111" s="25" t="n">
        <v>52650.0</v>
      </c>
      <c r="F111" s="26" t="n">
        <f>2147</f>
        <v>2147.0</v>
      </c>
      <c r="G111" s="25" t="n">
        <v>6.731630515E12</v>
      </c>
      <c r="H111" s="26" t="n">
        <f>274392065000</f>
        <v>2.74392065E11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543.0</v>
      </c>
      <c r="F113" s="22" t="n">
        <f>0</f>
        <v>0.0</v>
      </c>
      <c r="G113" s="21" t="n">
        <v>6.943805E9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365.0</v>
      </c>
      <c r="F114" s="22" t="n">
        <f>0</f>
        <v>0.0</v>
      </c>
      <c r="G114" s="21" t="n">
        <v>4.663978E9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908.0</v>
      </c>
      <c r="F115" s="26" t="n">
        <f>0</f>
        <v>0.0</v>
      </c>
      <c r="G115" s="25" t="n">
        <v>1.1607783E10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0.0</v>
      </c>
      <c r="F117" s="22" t="n">
        <f>0</f>
        <v>0.0</v>
      </c>
      <c r="G117" s="21" t="n">
        <v>0.0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0.0</v>
      </c>
      <c r="F118" s="22" t="n">
        <f>0</f>
        <v>0.0</v>
      </c>
      <c r="G118" s="21" t="n">
        <v>0.0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0.0</v>
      </c>
      <c r="F119" s="26" t="n">
        <f>0</f>
        <v>0.0</v>
      </c>
      <c r="G119" s="25" t="n">
        <v>0.0</v>
      </c>
      <c r="H119" s="26" t="n">
        <f>0</f>
        <v>0.0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1611.0</v>
      </c>
      <c r="F120" s="18" t="n">
        <f>0</f>
        <v>0.0</v>
      </c>
      <c r="G120" s="17" t="n">
        <v>3.9732766875E10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1267.0</v>
      </c>
      <c r="F121" s="22" t="n">
        <f>0</f>
        <v>0.0</v>
      </c>
      <c r="G121" s="21" t="n">
        <v>3.139263375E10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287.0</v>
      </c>
      <c r="F122" s="22" t="n">
        <f>0</f>
        <v>0.0</v>
      </c>
      <c r="G122" s="21" t="n">
        <v>7.099803125E9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3165.0</v>
      </c>
      <c r="F123" s="26" t="n">
        <f>0</f>
        <v>0.0</v>
      </c>
      <c r="G123" s="25" t="n">
        <v>7.822520375E10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7105.0</v>
      </c>
      <c r="F124" s="18" t="n">
        <f>0</f>
        <v>0.0</v>
      </c>
      <c r="G124" s="17" t="n">
        <v>1.68048521E11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2917.0</v>
      </c>
      <c r="F125" s="22" t="n">
        <f>0</f>
        <v>0.0</v>
      </c>
      <c r="G125" s="21" t="n">
        <v>6.9682692E10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2164.0</v>
      </c>
      <c r="F126" s="22" t="n">
        <f>0</f>
        <v>0.0</v>
      </c>
      <c r="G126" s="21" t="n">
        <v>5.1593765E10</v>
      </c>
      <c r="H126" s="22" t="n">
        <f>0</f>
        <v>0.0</v>
      </c>
    </row>
    <row r="127" spans="1:8" ht="24.9" customHeight="1">
      <c r="A127" s="51"/>
      <c r="B127" s="57"/>
      <c r="C127" s="39"/>
      <c r="D127" s="24" t="s">
        <v>18</v>
      </c>
      <c r="E127" s="25" t="n">
        <v>12186.0</v>
      </c>
      <c r="F127" s="26" t="n">
        <f>0</f>
        <v>0.0</v>
      </c>
      <c r="G127" s="25" t="n">
        <v>2.89324978E11</v>
      </c>
      <c r="H127" s="26" t="n">
        <f>0</f>
        <v>0.0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59.0</v>
      </c>
      <c r="F128" s="18" t="n">
        <f>0</f>
        <v>0.0</v>
      </c>
      <c r="G128" s="17" t="n">
        <v>1.397213E8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61.0</v>
      </c>
      <c r="F129" s="22" t="n">
        <f>0</f>
        <v>0.0</v>
      </c>
      <c r="G129" s="21" t="n">
        <v>1.459951E8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224.0</v>
      </c>
      <c r="F130" s="22" t="n">
        <f>0</f>
        <v>0.0</v>
      </c>
      <c r="G130" s="21" t="n">
        <v>5.333972E8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344.0</v>
      </c>
      <c r="F131" s="26" t="n">
        <f>0</f>
        <v>0.0</v>
      </c>
      <c r="G131" s="25" t="n">
        <v>8.191136E8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7777.0</v>
      </c>
      <c r="F132" s="18" t="n">
        <f>0</f>
        <v>0.0</v>
      </c>
      <c r="G132" s="17" t="n">
        <v>1.84542804E10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2478.0</v>
      </c>
      <c r="F133" s="22" t="n">
        <f>0</f>
        <v>0.0</v>
      </c>
      <c r="G133" s="21" t="n">
        <v>5.9352262E9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1986.0</v>
      </c>
      <c r="F134" s="22" t="n">
        <f>0</f>
        <v>0.0</v>
      </c>
      <c r="G134" s="21" t="n">
        <v>4.7484745E9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12241.0</v>
      </c>
      <c r="F135" s="26" t="n">
        <f>0</f>
        <v>0.0</v>
      </c>
      <c r="G135" s="25" t="n">
        <v>2.91379811E10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70.0</v>
      </c>
      <c r="F136" s="18" t="n">
        <f>0</f>
        <v>0.0</v>
      </c>
      <c r="G136" s="17" t="n">
        <v>1.639533E8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59.0</v>
      </c>
      <c r="F137" s="22" t="n">
        <f>0</f>
        <v>0.0</v>
      </c>
      <c r="G137" s="21" t="n">
        <v>1.400605E8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108.0</v>
      </c>
      <c r="F138" s="22" t="n">
        <f>0</f>
        <v>0.0</v>
      </c>
      <c r="G138" s="21" t="n">
        <v>2.555513E8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237.0</v>
      </c>
      <c r="F139" s="26" t="n">
        <f>0</f>
        <v>0.0</v>
      </c>
      <c r="G139" s="25" t="n">
        <v>5.595651E8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0.0</v>
      </c>
      <c r="F141" s="22" t="n">
        <f>0</f>
        <v>0.0</v>
      </c>
      <c r="G141" s="21" t="n">
        <v>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0.0</v>
      </c>
      <c r="F142" s="22" t="n">
        <f>0</f>
        <v>0.0</v>
      </c>
      <c r="G142" s="21" t="n">
        <v>0.0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0.0</v>
      </c>
      <c r="F143" s="26" t="n">
        <f>0</f>
        <v>0.0</v>
      </c>
      <c r="G143" s="25" t="n">
        <v>0.0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959.0</v>
      </c>
      <c r="F144" s="18" t="n">
        <f>0</f>
        <v>0.0</v>
      </c>
      <c r="G144" s="17" t="n">
        <v>4.667121E9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848.0</v>
      </c>
      <c r="F145" s="22" t="n">
        <f>0</f>
        <v>0.0</v>
      </c>
      <c r="G145" s="21" t="n">
        <v>4.1676885E9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929.0</v>
      </c>
      <c r="F146" s="22" t="n">
        <f>0</f>
        <v>0.0</v>
      </c>
      <c r="G146" s="21" t="n">
        <v>4.5230405E9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2736.0</v>
      </c>
      <c r="F147" s="26" t="n">
        <f>0</f>
        <v>0.0</v>
      </c>
      <c r="G147" s="25" t="n">
        <v>1.335785E10</v>
      </c>
      <c r="H147" s="26" t="n">
        <f>0</f>
        <v>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136.0</v>
      </c>
      <c r="F148" s="18" t="n">
        <f>0</f>
        <v>0.0</v>
      </c>
      <c r="G148" s="17" t="n">
        <v>1.352888E8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116.0</v>
      </c>
      <c r="F149" s="22" t="n">
        <f>0</f>
        <v>0.0</v>
      </c>
      <c r="G149" s="21" t="n">
        <v>1.157753E8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453.0</v>
      </c>
      <c r="F150" s="22" t="n">
        <f>0</f>
        <v>0.0</v>
      </c>
      <c r="G150" s="21" t="n">
        <v>4.46844E8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705.0</v>
      </c>
      <c r="F151" s="26" t="n">
        <f>0</f>
        <v>0.0</v>
      </c>
      <c r="G151" s="25" t="n">
        <v>6.979081E8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206.0</v>
      </c>
      <c r="F152" s="18" t="n">
        <f>0</f>
        <v>0.0</v>
      </c>
      <c r="G152" s="17" t="n">
        <v>2.007411E8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250.0</v>
      </c>
      <c r="F153" s="22" t="n">
        <f>0</f>
        <v>0.0</v>
      </c>
      <c r="G153" s="21" t="n">
        <v>2.459772E8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102.0</v>
      </c>
      <c r="F154" s="22" t="n">
        <f>0</f>
        <v>0.0</v>
      </c>
      <c r="G154" s="21" t="n">
        <v>9.96504E7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558.0</v>
      </c>
      <c r="F155" s="26" t="n">
        <f>0</f>
        <v>0.0</v>
      </c>
      <c r="G155" s="25" t="n">
        <v>5.463687E8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247.0</v>
      </c>
      <c r="F156" s="18" t="n">
        <f>0</f>
        <v>0.0</v>
      </c>
      <c r="G156" s="17" t="n">
        <v>2.415934E8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1164.0</v>
      </c>
      <c r="F157" s="22" t="n">
        <f>0</f>
        <v>0.0</v>
      </c>
      <c r="G157" s="21" t="n">
        <v>1.1376442E9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713.0</v>
      </c>
      <c r="F158" s="22" t="n">
        <f>0</f>
        <v>0.0</v>
      </c>
      <c r="G158" s="21" t="n">
        <v>6.904695E8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2124.0</v>
      </c>
      <c r="F159" s="26" t="n">
        <f>0</f>
        <v>0.0</v>
      </c>
      <c r="G159" s="25" t="n">
        <v>2.0697071E9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110.0</v>
      </c>
      <c r="F168" s="18" t="n">
        <f>0</f>
        <v>0.0</v>
      </c>
      <c r="G168" s="17" t="n">
        <v>2.220125E8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274.0</v>
      </c>
      <c r="F169" s="22" t="n">
        <f>0</f>
        <v>0.0</v>
      </c>
      <c r="G169" s="21" t="n">
        <v>5.58132E8</v>
      </c>
      <c r="H169" s="22" t="n">
        <f>0</f>
        <v>0.0</v>
      </c>
    </row>
    <row r="170" spans="1:8" ht="24.9" customHeight="1">
      <c r="A170" s="51"/>
      <c r="B170" s="57"/>
      <c r="C170" s="39"/>
      <c r="D170" s="20" t="s">
        <v>17</v>
      </c>
      <c r="E170" s="21" t="n">
        <v>172.0</v>
      </c>
      <c r="F170" s="22" t="n">
        <f>0</f>
        <v>0.0</v>
      </c>
      <c r="G170" s="21" t="n">
        <v>3.507045E8</v>
      </c>
      <c r="H170" s="22" t="n">
        <f>0</f>
        <v>0.0</v>
      </c>
    </row>
    <row r="171" spans="1:8" ht="24.9" customHeight="1">
      <c r="A171" s="51"/>
      <c r="B171" s="57"/>
      <c r="C171" s="39"/>
      <c r="D171" s="24" t="s">
        <v>18</v>
      </c>
      <c r="E171" s="25" t="n">
        <v>556.0</v>
      </c>
      <c r="F171" s="26" t="n">
        <f>0</f>
        <v>0.0</v>
      </c>
      <c r="G171" s="25" t="n">
        <v>1.130849E9</v>
      </c>
      <c r="H171" s="26" t="n">
        <f>0</f>
        <v>0.0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16.0</v>
      </c>
      <c r="F176" s="18" t="n">
        <f>0</f>
        <v>0.0</v>
      </c>
      <c r="G176" s="17" t="n">
        <v>2.8492E7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28.0</v>
      </c>
      <c r="F177" s="22" t="n">
        <f>0</f>
        <v>0.0</v>
      </c>
      <c r="G177" s="21" t="n">
        <v>5.0184E7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24.0</v>
      </c>
      <c r="F178" s="22" t="n">
        <f>0</f>
        <v>0.0</v>
      </c>
      <c r="G178" s="21" t="n">
        <v>4.2962E7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68.0</v>
      </c>
      <c r="F179" s="26" t="n">
        <f>0</f>
        <v>0.0</v>
      </c>
      <c r="G179" s="25" t="n">
        <v>1.21638E8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1590.0</v>
      </c>
      <c r="F204" s="18" t="n">
        <f>0</f>
        <v>0.0</v>
      </c>
      <c r="G204" s="17" t="n">
        <v>6.9679925E9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245.0</v>
      </c>
      <c r="F205" s="22" t="n">
        <f>0</f>
        <v>0.0</v>
      </c>
      <c r="G205" s="21" t="n">
        <v>1.059436E9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1434.0</v>
      </c>
      <c r="F206" s="22" t="n">
        <f>0</f>
        <v>0.0</v>
      </c>
      <c r="G206" s="21" t="n">
        <v>6.2880415E9</v>
      </c>
      <c r="H206" s="22" t="n">
        <f>0</f>
        <v>0.0</v>
      </c>
    </row>
    <row r="207" spans="1:8" ht="24.9" customHeight="1">
      <c r="A207" s="57"/>
      <c r="B207" s="59"/>
      <c r="C207" s="39"/>
      <c r="D207" s="24" t="s">
        <v>18</v>
      </c>
      <c r="E207" s="25" t="n">
        <v>3269.0</v>
      </c>
      <c r="F207" s="26" t="n">
        <f>0</f>
        <v>0.0</v>
      </c>
      <c r="G207" s="25" t="n">
        <v>1.431547E10</v>
      </c>
      <c r="H207" s="26" t="n">
        <f>0</f>
        <v>0.0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100.0</v>
      </c>
      <c r="F208" s="18" t="n">
        <f>100</f>
        <v>100.0</v>
      </c>
      <c r="G208" s="17" t="n">
        <v>1.74282E8</v>
      </c>
      <c r="H208" s="18" t="n">
        <f>174282000</f>
        <v>1.74282E8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0.0</v>
      </c>
      <c r="F210" s="22" t="n">
        <f>0</f>
        <v>0.0</v>
      </c>
      <c r="G210" s="21" t="n">
        <v>0.0</v>
      </c>
      <c r="H210" s="22" t="n">
        <f>0</f>
        <v>0.0</v>
      </c>
    </row>
    <row r="211" spans="1:8" ht="24.9" customHeight="1">
      <c r="A211" s="57"/>
      <c r="B211" s="59"/>
      <c r="C211" s="39"/>
      <c r="D211" s="24" t="s">
        <v>18</v>
      </c>
      <c r="E211" s="25" t="n">
        <v>100.0</v>
      </c>
      <c r="F211" s="26" t="n">
        <f>100</f>
        <v>100.0</v>
      </c>
      <c r="G211" s="25" t="n">
        <v>1.74282E8</v>
      </c>
      <c r="H211" s="26" t="n">
        <f>174282000</f>
        <v>1.74282E8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0.0</v>
      </c>
      <c r="F215" s="26" t="n">
        <f>0</f>
        <v>0.0</v>
      </c>
      <c r="G215" s="25" t="n">
        <v>0.0</v>
      </c>
      <c r="H215" s="26" t="n">
        <f>0</f>
        <v>0.0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46163.0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46163.0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4275</f>
        <v>4275.0</v>
      </c>
      <c r="E12" s="35" t="n">
        <f>2846</f>
        <v>2846.0</v>
      </c>
      <c r="F12" s="17" t="n">
        <f>2988</f>
        <v>2988.0</v>
      </c>
      <c r="G12" s="35" t="n">
        <f>1004</f>
        <v>1004.0</v>
      </c>
      <c r="H12" s="17" t="n">
        <f>7263</f>
        <v>7263.0</v>
      </c>
      <c r="I12" s="35" t="n">
        <f>3850</f>
        <v>3850.0</v>
      </c>
      <c r="J12" s="17" t="n">
        <f>3289976300</f>
        <v>3.2899763E9</v>
      </c>
      <c r="K12" s="35" t="n">
        <f>2555073300</f>
        <v>2.5550733E9</v>
      </c>
      <c r="L12" s="17" t="n">
        <f>1091890390</f>
        <v>1.09189039E9</v>
      </c>
      <c r="M12" s="35" t="n">
        <f>583322390</f>
        <v>5.8332239E8</v>
      </c>
      <c r="N12" s="17" t="n">
        <f>4381866690</f>
        <v>4.38186669E9</v>
      </c>
      <c r="O12" s="35" t="n">
        <f>3138395690</f>
        <v>3.13839569E9</v>
      </c>
    </row>
    <row r="13" spans="1:15" ht="24.9" customHeight="1">
      <c r="A13" s="38"/>
      <c r="B13" s="62"/>
      <c r="C13" s="20" t="s">
        <v>16</v>
      </c>
      <c r="D13" s="21" t="n">
        <f>5140</f>
        <v>5140.0</v>
      </c>
      <c r="E13" s="36" t="n">
        <f>2277</f>
        <v>2277.0</v>
      </c>
      <c r="F13" s="21" t="n">
        <f>5474</f>
        <v>5474.0</v>
      </c>
      <c r="G13" s="36" t="n">
        <f>2496</f>
        <v>2496.0</v>
      </c>
      <c r="H13" s="21" t="n">
        <f>10614</f>
        <v>10614.0</v>
      </c>
      <c r="I13" s="36" t="n">
        <f>4773</f>
        <v>4773.0</v>
      </c>
      <c r="J13" s="21" t="n">
        <f>2125259684</f>
        <v>2.125259684E9</v>
      </c>
      <c r="K13" s="36" t="n">
        <f>785435684</f>
        <v>7.85435684E8</v>
      </c>
      <c r="L13" s="21" t="n">
        <f>3456059740</f>
        <v>3.45605974E9</v>
      </c>
      <c r="M13" s="36" t="n">
        <f>2338326740</f>
        <v>2.33832674E9</v>
      </c>
      <c r="N13" s="21" t="n">
        <f>5581319424</f>
        <v>5.581319424E9</v>
      </c>
      <c r="O13" s="36" t="n">
        <f>3123762424</f>
        <v>3.123762424E9</v>
      </c>
    </row>
    <row r="14" spans="1:15" ht="24.9" customHeight="1">
      <c r="A14" s="38"/>
      <c r="B14" s="62"/>
      <c r="C14" s="20" t="s">
        <v>17</v>
      </c>
      <c r="D14" s="21" t="n">
        <f>14818</f>
        <v>14818.0</v>
      </c>
      <c r="E14" s="36" t="n">
        <f>11341</f>
        <v>11341.0</v>
      </c>
      <c r="F14" s="21" t="n">
        <f>7023</f>
        <v>7023.0</v>
      </c>
      <c r="G14" s="36" t="n">
        <f>4846</f>
        <v>4846.0</v>
      </c>
      <c r="H14" s="21" t="n">
        <f>21841</f>
        <v>21841.0</v>
      </c>
      <c r="I14" s="36" t="n">
        <f>16187</f>
        <v>16187.0</v>
      </c>
      <c r="J14" s="21" t="n">
        <f>17597005230</f>
        <v>1.759700523E10</v>
      </c>
      <c r="K14" s="36" t="n">
        <f>15872864230</f>
        <v>1.587286423E10</v>
      </c>
      <c r="L14" s="21" t="n">
        <f>5579930490</f>
        <v>5.57993049E9</v>
      </c>
      <c r="M14" s="36" t="n">
        <f>4686891490</f>
        <v>4.68689149E9</v>
      </c>
      <c r="N14" s="21" t="n">
        <f>23176935720</f>
        <v>2.317693572E10</v>
      </c>
      <c r="O14" s="36" t="n">
        <f>20559755720</f>
        <v>2.055975572E10</v>
      </c>
    </row>
    <row r="15" spans="1:15" ht="24.9" customHeight="1">
      <c r="A15" s="38"/>
      <c r="B15" s="62"/>
      <c r="C15" s="24" t="s">
        <v>18</v>
      </c>
      <c r="D15" s="25" t="n">
        <f>24233</f>
        <v>24233.0</v>
      </c>
      <c r="E15" s="37" t="n">
        <f>16464</f>
        <v>16464.0</v>
      </c>
      <c r="F15" s="25" t="n">
        <f>15485</f>
        <v>15485.0</v>
      </c>
      <c r="G15" s="37" t="n">
        <f>8346</f>
        <v>8346.0</v>
      </c>
      <c r="H15" s="25" t="n">
        <f>39718</f>
        <v>39718.0</v>
      </c>
      <c r="I15" s="37" t="n">
        <f>24810</f>
        <v>24810.0</v>
      </c>
      <c r="J15" s="25" t="n">
        <f>23012241214</f>
        <v>2.3012241214E10</v>
      </c>
      <c r="K15" s="37" t="n">
        <f>19213373214</f>
        <v>1.9213373214E10</v>
      </c>
      <c r="L15" s="25" t="n">
        <f>10127880620</f>
        <v>1.012788062E10</v>
      </c>
      <c r="M15" s="37" t="n">
        <f>7608540620</f>
        <v>7.60854062E9</v>
      </c>
      <c r="N15" s="25" t="n">
        <f>33140121834</f>
        <v>3.3140121834E10</v>
      </c>
      <c r="O15" s="37" t="n">
        <f>26821913834</f>
        <v>2.6821913834E10</v>
      </c>
    </row>
    <row r="16" spans="1:15" ht="24.9" customHeight="1">
      <c r="A16" s="38"/>
      <c r="B16" s="61" t="s">
        <v>105</v>
      </c>
      <c r="C16" s="16" t="s">
        <v>15</v>
      </c>
      <c r="D16" s="17" t="n">
        <f>14363</f>
        <v>14363.0</v>
      </c>
      <c r="E16" s="35" t="n">
        <f>1600</f>
        <v>1600.0</v>
      </c>
      <c r="F16" s="17" t="n">
        <f>12634</f>
        <v>12634.0</v>
      </c>
      <c r="G16" s="35" t="n">
        <f>1360</f>
        <v>1360.0</v>
      </c>
      <c r="H16" s="17" t="n">
        <f>26997</f>
        <v>26997.0</v>
      </c>
      <c r="I16" s="35" t="n">
        <f>2960</f>
        <v>2960.0</v>
      </c>
      <c r="J16" s="17" t="n">
        <f>337186280</f>
        <v>3.3718628E8</v>
      </c>
      <c r="K16" s="35" t="n">
        <f>7168380</f>
        <v>7168380.0</v>
      </c>
      <c r="L16" s="17" t="n">
        <f>309364040</f>
        <v>3.0936404E8</v>
      </c>
      <c r="M16" s="35" t="n">
        <f>5374440</f>
        <v>5374440.0</v>
      </c>
      <c r="N16" s="17" t="n">
        <f>646550320</f>
        <v>6.4655032E8</v>
      </c>
      <c r="O16" s="35" t="n">
        <f>12542820</f>
        <v>1.254282E7</v>
      </c>
    </row>
    <row r="17" spans="1:15" ht="24.9" customHeight="1">
      <c r="A17" s="38"/>
      <c r="B17" s="62"/>
      <c r="C17" s="20" t="s">
        <v>16</v>
      </c>
      <c r="D17" s="21" t="n">
        <f>12040</f>
        <v>12040.0</v>
      </c>
      <c r="E17" s="36" t="n">
        <f>1190</f>
        <v>1190.0</v>
      </c>
      <c r="F17" s="21" t="n">
        <f>10625</f>
        <v>10625.0</v>
      </c>
      <c r="G17" s="36" t="n">
        <f>1260</f>
        <v>1260.0</v>
      </c>
      <c r="H17" s="21" t="n">
        <f>22665</f>
        <v>22665.0</v>
      </c>
      <c r="I17" s="36" t="n">
        <f>2450</f>
        <v>2450.0</v>
      </c>
      <c r="J17" s="21" t="n">
        <f>237240530</f>
        <v>2.3724053E8</v>
      </c>
      <c r="K17" s="36" t="n">
        <f>3522430</f>
        <v>3522430.0</v>
      </c>
      <c r="L17" s="21" t="n">
        <f>253667520</f>
        <v>2.5366752E8</v>
      </c>
      <c r="M17" s="36" t="n">
        <f>8825920</f>
        <v>8825920.0</v>
      </c>
      <c r="N17" s="21" t="n">
        <f>490908050</f>
        <v>4.9090805E8</v>
      </c>
      <c r="O17" s="36" t="n">
        <f>12348350</f>
        <v>1.234835E7</v>
      </c>
    </row>
    <row r="18" spans="1:15" ht="24.9" customHeight="1">
      <c r="A18" s="38"/>
      <c r="B18" s="62"/>
      <c r="C18" s="20" t="s">
        <v>17</v>
      </c>
      <c r="D18" s="21" t="n">
        <f>14756</f>
        <v>14756.0</v>
      </c>
      <c r="E18" s="36" t="n">
        <f>1600</f>
        <v>1600.0</v>
      </c>
      <c r="F18" s="21" t="n">
        <f>11532</f>
        <v>11532.0</v>
      </c>
      <c r="G18" s="36" t="n">
        <f>1140</f>
        <v>1140.0</v>
      </c>
      <c r="H18" s="21" t="n">
        <f>26288</f>
        <v>26288.0</v>
      </c>
      <c r="I18" s="36" t="n">
        <f>2740</f>
        <v>2740.0</v>
      </c>
      <c r="J18" s="21" t="n">
        <f>324062610</f>
        <v>3.2406261E8</v>
      </c>
      <c r="K18" s="36" t="n">
        <f>5384910</f>
        <v>5384910.0</v>
      </c>
      <c r="L18" s="21" t="n">
        <f>281322300</f>
        <v>2.813223E8</v>
      </c>
      <c r="M18" s="36" t="n">
        <f>9384900</f>
        <v>9384900.0</v>
      </c>
      <c r="N18" s="21" t="n">
        <f>605384910</f>
        <v>6.0538491E8</v>
      </c>
      <c r="O18" s="36" t="n">
        <f>14769810</f>
        <v>1.476981E7</v>
      </c>
    </row>
    <row r="19" spans="1:15" ht="24.9" customHeight="1">
      <c r="A19" s="38"/>
      <c r="B19" s="62"/>
      <c r="C19" s="24" t="s">
        <v>18</v>
      </c>
      <c r="D19" s="25" t="n">
        <f>41159</f>
        <v>41159.0</v>
      </c>
      <c r="E19" s="37" t="n">
        <f>4390</f>
        <v>4390.0</v>
      </c>
      <c r="F19" s="25" t="n">
        <f>34791</f>
        <v>34791.0</v>
      </c>
      <c r="G19" s="37" t="n">
        <f>3760</f>
        <v>3760.0</v>
      </c>
      <c r="H19" s="25" t="n">
        <f>75950</f>
        <v>75950.0</v>
      </c>
      <c r="I19" s="37" t="n">
        <f>8150</f>
        <v>8150.0</v>
      </c>
      <c r="J19" s="25" t="n">
        <f>898489420</f>
        <v>8.9848942E8</v>
      </c>
      <c r="K19" s="37" t="n">
        <f>16075720</f>
        <v>1.607572E7</v>
      </c>
      <c r="L19" s="25" t="n">
        <f>844353860</f>
        <v>8.4435386E8</v>
      </c>
      <c r="M19" s="37" t="n">
        <f>23585260</f>
        <v>2.358526E7</v>
      </c>
      <c r="N19" s="25" t="n">
        <f>1742843280</f>
        <v>1.74284328E9</v>
      </c>
      <c r="O19" s="37" t="n">
        <f>39660980</f>
        <v>3.966098E7</v>
      </c>
    </row>
    <row r="20" spans="1:15" ht="24.9" customHeight="1">
      <c r="A20" s="38"/>
      <c r="B20" s="61" t="s">
        <v>106</v>
      </c>
      <c r="C20" s="16" t="s">
        <v>15</v>
      </c>
      <c r="D20" s="17" t="n">
        <f>0</f>
        <v>0.0</v>
      </c>
      <c r="E20" s="35" t="n">
        <f>0</f>
        <v>0.0</v>
      </c>
      <c r="F20" s="17" t="n">
        <f>0</f>
        <v>0.0</v>
      </c>
      <c r="G20" s="35" t="n">
        <f>0</f>
        <v>0.0</v>
      </c>
      <c r="H20" s="17" t="n">
        <f>0</f>
        <v>0.0</v>
      </c>
      <c r="I20" s="35" t="n">
        <f>0</f>
        <v>0.0</v>
      </c>
      <c r="J20" s="17" t="n">
        <f>0</f>
        <v>0.0</v>
      </c>
      <c r="K20" s="35" t="n">
        <f>0</f>
        <v>0.0</v>
      </c>
      <c r="L20" s="17" t="n">
        <f>0</f>
        <v>0.0</v>
      </c>
      <c r="M20" s="35" t="n">
        <f>0</f>
        <v>0.0</v>
      </c>
      <c r="N20" s="17" t="n">
        <f>0</f>
        <v>0.0</v>
      </c>
      <c r="O20" s="35" t="n">
        <f>0</f>
        <v>0.0</v>
      </c>
    </row>
    <row r="21" spans="1:15" ht="24.9" customHeight="1">
      <c r="A21" s="38"/>
      <c r="B21" s="62"/>
      <c r="C21" s="20" t="s">
        <v>16</v>
      </c>
      <c r="D21" s="21" t="n">
        <f>295</f>
        <v>295.0</v>
      </c>
      <c r="E21" s="36" t="n">
        <f>250</f>
        <v>250.0</v>
      </c>
      <c r="F21" s="21" t="n">
        <f>165</f>
        <v>165.0</v>
      </c>
      <c r="G21" s="36" t="n">
        <f>150</f>
        <v>150.0</v>
      </c>
      <c r="H21" s="21" t="n">
        <f>460</f>
        <v>460.0</v>
      </c>
      <c r="I21" s="36" t="n">
        <f>400</f>
        <v>400.0</v>
      </c>
      <c r="J21" s="21" t="n">
        <f>317050000</f>
        <v>3.1705E8</v>
      </c>
      <c r="K21" s="36" t="n">
        <f>299500000</f>
        <v>2.995E8</v>
      </c>
      <c r="L21" s="21" t="n">
        <f>141525000</f>
        <v>1.41525E8</v>
      </c>
      <c r="M21" s="36" t="n">
        <f>135000000</f>
        <v>1.35E8</v>
      </c>
      <c r="N21" s="21" t="n">
        <f>458575000</f>
        <v>4.58575E8</v>
      </c>
      <c r="O21" s="36" t="n">
        <f>434500000</f>
        <v>4.345E8</v>
      </c>
    </row>
    <row r="22" spans="1:15" ht="24.9" customHeight="1">
      <c r="A22" s="38"/>
      <c r="B22" s="62"/>
      <c r="C22" s="20" t="s">
        <v>17</v>
      </c>
      <c r="D22" s="21" t="n">
        <f>771</f>
        <v>771.0</v>
      </c>
      <c r="E22" s="36" t="n">
        <f>771</f>
        <v>771.0</v>
      </c>
      <c r="F22" s="21" t="n">
        <f>90</f>
        <v>90.0</v>
      </c>
      <c r="G22" s="36" t="n">
        <f>90</f>
        <v>90.0</v>
      </c>
      <c r="H22" s="21" t="n">
        <f>861</f>
        <v>861.0</v>
      </c>
      <c r="I22" s="36" t="n">
        <f>861</f>
        <v>861.0</v>
      </c>
      <c r="J22" s="21" t="n">
        <f>185346630</f>
        <v>1.8534663E8</v>
      </c>
      <c r="K22" s="36" t="n">
        <f>185346630</f>
        <v>1.8534663E8</v>
      </c>
      <c r="L22" s="21" t="n">
        <f>81000000</f>
        <v>8.1E7</v>
      </c>
      <c r="M22" s="36" t="n">
        <f>81000000</f>
        <v>8.1E7</v>
      </c>
      <c r="N22" s="21" t="n">
        <f>266346630</f>
        <v>2.6634663E8</v>
      </c>
      <c r="O22" s="36" t="n">
        <f>266346630</f>
        <v>2.6634663E8</v>
      </c>
    </row>
    <row r="23" spans="1:15" ht="24.9" customHeight="1">
      <c r="A23" s="38"/>
      <c r="B23" s="62"/>
      <c r="C23" s="24" t="s">
        <v>18</v>
      </c>
      <c r="D23" s="25" t="n">
        <f>1066</f>
        <v>1066.0</v>
      </c>
      <c r="E23" s="37" t="n">
        <f>1021</f>
        <v>1021.0</v>
      </c>
      <c r="F23" s="25" t="n">
        <f>255</f>
        <v>255.0</v>
      </c>
      <c r="G23" s="37" t="n">
        <f>240</f>
        <v>240.0</v>
      </c>
      <c r="H23" s="25" t="n">
        <f>1321</f>
        <v>1321.0</v>
      </c>
      <c r="I23" s="37" t="n">
        <f>1261</f>
        <v>1261.0</v>
      </c>
      <c r="J23" s="25" t="n">
        <f>502396630</f>
        <v>5.0239663E8</v>
      </c>
      <c r="K23" s="37" t="n">
        <f>484846630</f>
        <v>4.8484663E8</v>
      </c>
      <c r="L23" s="25" t="n">
        <f>222525000</f>
        <v>2.22525E8</v>
      </c>
      <c r="M23" s="37" t="n">
        <f>216000000</f>
        <v>2.16E8</v>
      </c>
      <c r="N23" s="25" t="n">
        <f>724921630</f>
        <v>7.2492163E8</v>
      </c>
      <c r="O23" s="37" t="n">
        <f>700846630</f>
        <v>7.0084663E8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0</f>
        <v>0.0</v>
      </c>
      <c r="E36" s="18" t="n">
        <f>0</f>
        <v>0.0</v>
      </c>
      <c r="F36" s="17" t="n">
        <f>0</f>
        <v>0.0</v>
      </c>
      <c r="G36" s="18" t="n">
        <f>0</f>
        <v>0.0</v>
      </c>
      <c r="H36" s="17" t="n">
        <f>0</f>
        <v>0.0</v>
      </c>
      <c r="I36" s="18" t="n">
        <f>0</f>
        <v>0.0</v>
      </c>
      <c r="J36" s="17" t="n">
        <f>0</f>
        <v>0.0</v>
      </c>
      <c r="K36" s="18" t="n">
        <f>0</f>
        <v>0.0</v>
      </c>
      <c r="L36" s="17" t="n">
        <f>0</f>
        <v>0.0</v>
      </c>
      <c r="M36" s="18" t="n">
        <f>0</f>
        <v>0.0</v>
      </c>
      <c r="N36" s="17" t="n">
        <f>0</f>
        <v>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36</f>
        <v>36.0</v>
      </c>
      <c r="E37" s="22" t="n">
        <f>0</f>
        <v>0.0</v>
      </c>
      <c r="F37" s="21" t="n">
        <f>35</f>
        <v>35.0</v>
      </c>
      <c r="G37" s="22" t="n">
        <f>0</f>
        <v>0.0</v>
      </c>
      <c r="H37" s="21" t="n">
        <f>71</f>
        <v>71.0</v>
      </c>
      <c r="I37" s="22" t="n">
        <f>0</f>
        <v>0.0</v>
      </c>
      <c r="J37" s="21" t="n">
        <f>8810000</f>
        <v>8810000.0</v>
      </c>
      <c r="K37" s="22" t="n">
        <f>0</f>
        <v>0.0</v>
      </c>
      <c r="L37" s="21" t="n">
        <f>7450000</f>
        <v>7450000.0</v>
      </c>
      <c r="M37" s="22" t="n">
        <f>0</f>
        <v>0.0</v>
      </c>
      <c r="N37" s="21" t="n">
        <f>16260000</f>
        <v>1.626E7</v>
      </c>
      <c r="O37" s="22" t="n">
        <f>0</f>
        <v>0.0</v>
      </c>
    </row>
    <row r="38" spans="1:15" ht="24.9" customHeight="1">
      <c r="A38" s="38"/>
      <c r="B38" s="62"/>
      <c r="C38" s="20" t="s">
        <v>17</v>
      </c>
      <c r="D38" s="21" t="n">
        <f>80</f>
        <v>80.0</v>
      </c>
      <c r="E38" s="36" t="n">
        <f>50</f>
        <v>50.0</v>
      </c>
      <c r="F38" s="21" t="n">
        <f>122</f>
        <v>122.0</v>
      </c>
      <c r="G38" s="36" t="n">
        <f>50</f>
        <v>50.0</v>
      </c>
      <c r="H38" s="21" t="n">
        <f>202</f>
        <v>202.0</v>
      </c>
      <c r="I38" s="36" t="n">
        <f>100</f>
        <v>100.0</v>
      </c>
      <c r="J38" s="21" t="n">
        <f>22050000</f>
        <v>2.205E7</v>
      </c>
      <c r="K38" s="36" t="n">
        <f>15000000</f>
        <v>1.5E7</v>
      </c>
      <c r="L38" s="21" t="n">
        <f>25170000</f>
        <v>2.517E7</v>
      </c>
      <c r="M38" s="36" t="n">
        <f>18500000</f>
        <v>1.85E7</v>
      </c>
      <c r="N38" s="21" t="n">
        <f>47220000</f>
        <v>4.722E7</v>
      </c>
      <c r="O38" s="36" t="n">
        <f>33500000</f>
        <v>3.35E7</v>
      </c>
    </row>
    <row r="39" spans="1:15" ht="24.9" customHeight="1">
      <c r="A39" s="38"/>
      <c r="B39" s="62"/>
      <c r="C39" s="24" t="s">
        <v>18</v>
      </c>
      <c r="D39" s="25" t="n">
        <f>116</f>
        <v>116.0</v>
      </c>
      <c r="E39" s="37" t="n">
        <f>50</f>
        <v>50.0</v>
      </c>
      <c r="F39" s="25" t="n">
        <f>157</f>
        <v>157.0</v>
      </c>
      <c r="G39" s="37" t="n">
        <f>50</f>
        <v>50.0</v>
      </c>
      <c r="H39" s="25" t="n">
        <f>273</f>
        <v>273.0</v>
      </c>
      <c r="I39" s="37" t="n">
        <f>100</f>
        <v>100.0</v>
      </c>
      <c r="J39" s="25" t="n">
        <f>30860000</f>
        <v>3.086E7</v>
      </c>
      <c r="K39" s="37" t="n">
        <f>15000000</f>
        <v>1.5E7</v>
      </c>
      <c r="L39" s="25" t="n">
        <f>32620000</f>
        <v>3.262E7</v>
      </c>
      <c r="M39" s="37" t="n">
        <f>18500000</f>
        <v>1.85E7</v>
      </c>
      <c r="N39" s="25" t="n">
        <f>63480000</f>
        <v>6.348E7</v>
      </c>
      <c r="O39" s="37" t="n">
        <f>33500000</f>
        <v>3.35E7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5626</f>
        <v>5626.0</v>
      </c>
      <c r="E41" s="36" t="n">
        <f>140</f>
        <v>140.0</v>
      </c>
      <c r="F41" s="21" t="n">
        <f>1543</f>
        <v>1543.0</v>
      </c>
      <c r="G41" s="36" t="n">
        <f>640</f>
        <v>640.0</v>
      </c>
      <c r="H41" s="21" t="n">
        <f>7169</f>
        <v>7169.0</v>
      </c>
      <c r="I41" s="36" t="n">
        <f>780</f>
        <v>780.0</v>
      </c>
      <c r="J41" s="21" t="n">
        <f>104664766</f>
        <v>1.04664766E8</v>
      </c>
      <c r="K41" s="36" t="n">
        <f>78400000</f>
        <v>7.84E7</v>
      </c>
      <c r="L41" s="21" t="n">
        <f>88721882</f>
        <v>8.8721882E7</v>
      </c>
      <c r="M41" s="36" t="n">
        <f>73675000</f>
        <v>7.3675E7</v>
      </c>
      <c r="N41" s="21" t="n">
        <f>193386648</f>
        <v>1.93386648E8</v>
      </c>
      <c r="O41" s="36" t="n">
        <f>152075000</f>
        <v>1.52075E8</v>
      </c>
    </row>
    <row r="42" spans="1:15" ht="24.9" customHeight="1">
      <c r="A42" s="38"/>
      <c r="B42" s="62"/>
      <c r="C42" s="20" t="s">
        <v>17</v>
      </c>
      <c r="D42" s="21" t="n">
        <f>1198</f>
        <v>1198.0</v>
      </c>
      <c r="E42" s="36" t="n">
        <f>720</f>
        <v>720.0</v>
      </c>
      <c r="F42" s="21" t="n">
        <f>555</f>
        <v>555.0</v>
      </c>
      <c r="G42" s="36" t="n">
        <f>220</f>
        <v>220.0</v>
      </c>
      <c r="H42" s="21" t="n">
        <f>1753</f>
        <v>1753.0</v>
      </c>
      <c r="I42" s="36" t="n">
        <f>940</f>
        <v>940.0</v>
      </c>
      <c r="J42" s="21" t="n">
        <f>156026753</f>
        <v>1.56026753E8</v>
      </c>
      <c r="K42" s="36" t="n">
        <f>128800000</f>
        <v>1.288E8</v>
      </c>
      <c r="L42" s="21" t="n">
        <f>127073850</f>
        <v>1.2707385E8</v>
      </c>
      <c r="M42" s="36" t="n">
        <f>114400000</f>
        <v>1.144E8</v>
      </c>
      <c r="N42" s="21" t="n">
        <f>283100603</f>
        <v>2.83100603E8</v>
      </c>
      <c r="O42" s="36" t="n">
        <f>243200000</f>
        <v>2.432E8</v>
      </c>
    </row>
    <row r="43" spans="1:15" ht="24.9" customHeight="1">
      <c r="A43" s="38"/>
      <c r="B43" s="62"/>
      <c r="C43" s="24" t="s">
        <v>18</v>
      </c>
      <c r="D43" s="25" t="n">
        <f>6824</f>
        <v>6824.0</v>
      </c>
      <c r="E43" s="37" t="n">
        <f>860</f>
        <v>860.0</v>
      </c>
      <c r="F43" s="25" t="n">
        <f>2098</f>
        <v>2098.0</v>
      </c>
      <c r="G43" s="37" t="n">
        <f>860</f>
        <v>860.0</v>
      </c>
      <c r="H43" s="25" t="n">
        <f>8922</f>
        <v>8922.0</v>
      </c>
      <c r="I43" s="37" t="n">
        <f>1720</f>
        <v>1720.0</v>
      </c>
      <c r="J43" s="25" t="n">
        <f>260691519</f>
        <v>2.60691519E8</v>
      </c>
      <c r="K43" s="37" t="n">
        <f>207200000</f>
        <v>2.072E8</v>
      </c>
      <c r="L43" s="25" t="n">
        <f>215795732</f>
        <v>2.15795732E8</v>
      </c>
      <c r="M43" s="37" t="n">
        <f>188075000</f>
        <v>1.88075E8</v>
      </c>
      <c r="N43" s="25" t="n">
        <f>476487251</f>
        <v>4.76487251E8</v>
      </c>
      <c r="O43" s="37" t="n">
        <f>395275000</f>
        <v>3.95275E8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