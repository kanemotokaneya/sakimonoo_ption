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<sst xmlns="http://schemas.openxmlformats.org/spreadsheetml/2006/main" count="528" uniqueCount="129">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</sst>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DATE(2026,06,24)</f>
        <v>46197.0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DATE(2026,06,24)</f>
        <v>46197.0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1193251.0</f>
        <v>1193251.0</v>
      </c>
      <c r="E12" s="18" t="n">
        <f>65933.0</f>
        <v>65933.0</v>
      </c>
      <c r="F12" s="19" t="n">
        <f>1.0</f>
        <v>1.0</v>
      </c>
      <c r="G12" s="17" t="n">
        <f>7627869247483.0</f>
        <v>7.627869247483E12</v>
      </c>
      <c r="H12" s="18" t="n">
        <f>636061204758.0</f>
        <v>6.36061204758E11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609093.0</f>
        <v>609093.0</v>
      </c>
      <c r="E13" s="22" t="n">
        <f>22823.0</f>
        <v>22823.0</v>
      </c>
      <c r="F13" s="23" t="n">
        <f>1.0</f>
        <v>1.0</v>
      </c>
      <c r="G13" s="21" t="n">
        <f>5687011204910.0</f>
        <v>5.68701120491E12</v>
      </c>
      <c r="H13" s="22" t="n">
        <f>483495174560.0</f>
        <v>4.8349517456E11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730439.0</f>
        <v>730439.0</v>
      </c>
      <c r="E14" s="22" t="n">
        <f>46751.0</f>
        <v>46751.0</v>
      </c>
      <c r="F14" s="23" t="n">
        <f>1.0</f>
        <v>1.0</v>
      </c>
      <c r="G14" s="21" t="n">
        <f>7368471443121.0</f>
        <v>7.368471443121E12</v>
      </c>
      <c r="H14" s="22" t="n">
        <f>1426999059021.0</f>
        <v>1.426999059021E12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2532783.0</f>
        <v>2532783.0</v>
      </c>
      <c r="E15" s="26" t="n">
        <f>135507.0</f>
        <v>135507.0</v>
      </c>
      <c r="F15" s="27" t="n">
        <f>1.0</f>
        <v>1.0</v>
      </c>
      <c r="G15" s="25" t="n">
        <f>20683351895514.0</f>
        <v>2.0683351895514E13</v>
      </c>
      <c r="H15" s="26" t="n">
        <f>2546555438339.0</f>
        <v>2.546555438339E12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18500.0</f>
        <v>18500.0</v>
      </c>
      <c r="E16" s="18" t="n">
        <f>216.0</f>
        <v>216.0</v>
      </c>
      <c r="F16" s="19" t="n">
        <f>0.016</f>
        <v>0.016</v>
      </c>
      <c r="G16" s="17" t="n">
        <f>1478957084375.0</f>
        <v>1.478957084375E12</v>
      </c>
      <c r="H16" s="18" t="n">
        <f>27574810000.0</f>
        <v>2.757481E10</v>
      </c>
      <c r="I16" s="19" t="n">
        <f>0.194</f>
        <v>0.194</v>
      </c>
    </row>
    <row r="17" spans="1:9" ht="24.9" customHeight="1">
      <c r="A17" s="41"/>
      <c r="B17" s="39"/>
      <c r="C17" s="20" t="s">
        <v>16</v>
      </c>
      <c r="D17" s="21" t="n">
        <f>14761.0</f>
        <v>14761.0</v>
      </c>
      <c r="E17" s="22" t="n">
        <f>1226.0</f>
        <v>1226.0</v>
      </c>
      <c r="F17" s="23" t="n">
        <f>0.024</f>
        <v>0.024</v>
      </c>
      <c r="G17" s="21" t="n">
        <f>1744843021250.0</f>
        <v>1.74484302125E12</v>
      </c>
      <c r="H17" s="22" t="n">
        <f>156502270000.0</f>
        <v>1.5650227E11</v>
      </c>
      <c r="I17" s="23" t="n">
        <f>0.307</f>
        <v>0.307</v>
      </c>
    </row>
    <row r="18" spans="1:9" ht="24.9" customHeight="1">
      <c r="A18" s="41"/>
      <c r="B18" s="39"/>
      <c r="C18" s="20" t="s">
        <v>17</v>
      </c>
      <c r="D18" s="21" t="n">
        <f>12885.0</f>
        <v>12885.0</v>
      </c>
      <c r="E18" s="22" t="n">
        <f>2388.0</f>
        <v>2388.0</v>
      </c>
      <c r="F18" s="23" t="n">
        <f>0.018</f>
        <v>0.018</v>
      </c>
      <c r="G18" s="21" t="n">
        <f>1560134403750.0</f>
        <v>1.56013440375E12</v>
      </c>
      <c r="H18" s="22" t="n">
        <f>304888120000.0</f>
        <v>3.0488812E11</v>
      </c>
      <c r="I18" s="23" t="n">
        <f>0.212</f>
        <v>0.212</v>
      </c>
    </row>
    <row r="19" spans="1:9" ht="24.9" customHeight="1">
      <c r="A19" s="41"/>
      <c r="B19" s="39"/>
      <c r="C19" s="24" t="s">
        <v>18</v>
      </c>
      <c r="D19" s="25" t="n">
        <f>46146.0</f>
        <v>46146.0</v>
      </c>
      <c r="E19" s="26" t="n">
        <f>3830.0</f>
        <v>3830.0</v>
      </c>
      <c r="F19" s="27" t="n">
        <f>0.018</f>
        <v>0.018</v>
      </c>
      <c r="G19" s="25" t="n">
        <f>4783934509375.0</f>
        <v>4.783934509375E12</v>
      </c>
      <c r="H19" s="26" t="n">
        <f>488965200000.0</f>
        <v>4.889652E11</v>
      </c>
      <c r="I19" s="27" t="n">
        <f>0.231</f>
        <v>0.231</v>
      </c>
    </row>
    <row r="20" spans="1:9" ht="24.9" customHeight="1">
      <c r="A20" s="41"/>
      <c r="B20" s="39" t="s">
        <v>21</v>
      </c>
      <c r="C20" s="16" t="s">
        <v>15</v>
      </c>
      <c r="D20" s="17" t="n">
        <f>1161831.0</f>
        <v>1161831.0</v>
      </c>
      <c r="E20" s="18" t="n">
        <f>65716.0</f>
        <v>65716.0</v>
      </c>
      <c r="F20" s="19" t="n">
        <f>0.974</f>
        <v>0.974</v>
      </c>
      <c r="G20" s="17" t="n">
        <f>6023512993308.0</f>
        <v>6.023512993308E12</v>
      </c>
      <c r="H20" s="18" t="n">
        <f>608482299758.0</f>
        <v>6.08482299758E11</v>
      </c>
      <c r="I20" s="19" t="n">
        <f>0.79</f>
        <v>0.79</v>
      </c>
    </row>
    <row r="21" spans="1:9" ht="24.9" customHeight="1">
      <c r="A21" s="41"/>
      <c r="B21" s="39"/>
      <c r="C21" s="20" t="s">
        <v>16</v>
      </c>
      <c r="D21" s="21" t="n">
        <f>586794.0</f>
        <v>586794.0</v>
      </c>
      <c r="E21" s="22" t="n">
        <f>21597.0</f>
        <v>21597.0</v>
      </c>
      <c r="F21" s="23" t="n">
        <f>0.963</f>
        <v>0.963</v>
      </c>
      <c r="G21" s="21" t="n">
        <f>3872274293960.0</f>
        <v>3.87227429396E12</v>
      </c>
      <c r="H21" s="22" t="n">
        <f>326992904560.0</f>
        <v>3.2699290456E11</v>
      </c>
      <c r="I21" s="23" t="n">
        <f>0.681</f>
        <v>0.681</v>
      </c>
    </row>
    <row r="22" spans="1:9" ht="24.9" customHeight="1">
      <c r="A22" s="41"/>
      <c r="B22" s="39"/>
      <c r="C22" s="20" t="s">
        <v>17</v>
      </c>
      <c r="D22" s="21" t="n">
        <f>705896.0</f>
        <v>705896.0</v>
      </c>
      <c r="E22" s="22" t="n">
        <f>44152.0</f>
        <v>44152.0</v>
      </c>
      <c r="F22" s="23" t="n">
        <f>0.966</f>
        <v>0.966</v>
      </c>
      <c r="G22" s="21" t="n">
        <f>5700923859351.0</f>
        <v>5.700923859351E12</v>
      </c>
      <c r="H22" s="22" t="n">
        <f>1121679248601.0</f>
        <v>1.121679248601E12</v>
      </c>
      <c r="I22" s="23" t="n">
        <f>0.774</f>
        <v>0.774</v>
      </c>
    </row>
    <row r="23" spans="1:9" ht="24.9" customHeight="1">
      <c r="A23" s="41"/>
      <c r="B23" s="39"/>
      <c r="C23" s="24" t="s">
        <v>18</v>
      </c>
      <c r="D23" s="25" t="n">
        <f>2454521.0</f>
        <v>2454521.0</v>
      </c>
      <c r="E23" s="26" t="n">
        <f>131465.0</f>
        <v>131465.0</v>
      </c>
      <c r="F23" s="27" t="n">
        <f>0.969</f>
        <v>0.969</v>
      </c>
      <c r="G23" s="25" t="n">
        <f>15596711146619.0</f>
        <v>1.5596711146619E13</v>
      </c>
      <c r="H23" s="26" t="n">
        <f>2057154452919.0</f>
        <v>2.057154452919E12</v>
      </c>
      <c r="I23" s="27" t="n">
        <f>0.754</f>
        <v>0.754</v>
      </c>
    </row>
    <row r="24" spans="1:9" ht="24.9" customHeight="1">
      <c r="A24" s="41"/>
      <c r="B24" s="39" t="s">
        <v>22</v>
      </c>
      <c r="C24" s="16" t="s">
        <v>15</v>
      </c>
      <c r="D24" s="17" t="n">
        <f>12693.0</f>
        <v>12693.0</v>
      </c>
      <c r="E24" s="18" t="n">
        <f>1.0</f>
        <v>1.0</v>
      </c>
      <c r="F24" s="19" t="n">
        <f>0.011</f>
        <v>0.011</v>
      </c>
      <c r="G24" s="17" t="n">
        <f>124584885300.0</f>
        <v>1.245848853E11</v>
      </c>
      <c r="H24" s="18" t="n">
        <f>4095000.0</f>
        <v>4095000.0</v>
      </c>
      <c r="I24" s="19" t="n">
        <f>0.016</f>
        <v>0.016</v>
      </c>
    </row>
    <row r="25" spans="1:9" ht="24.9" customHeight="1">
      <c r="A25" s="41"/>
      <c r="B25" s="39"/>
      <c r="C25" s="20" t="s">
        <v>16</v>
      </c>
      <c r="D25" s="21" t="n">
        <f>7409.0</f>
        <v>7409.0</v>
      </c>
      <c r="E25" s="22" t="n">
        <f>0.0</f>
        <v>0.0</v>
      </c>
      <c r="F25" s="23" t="n">
        <f>0.012</f>
        <v>0.012</v>
      </c>
      <c r="G25" s="21" t="n">
        <f>69436388200.0</f>
        <v>6.94363882E10</v>
      </c>
      <c r="H25" s="22" t="n">
        <f>0.0</f>
        <v>0.0</v>
      </c>
      <c r="I25" s="23" t="n">
        <f>0.012</f>
        <v>0.012</v>
      </c>
    </row>
    <row r="26" spans="1:9" ht="24.9" customHeight="1">
      <c r="A26" s="41"/>
      <c r="B26" s="39"/>
      <c r="C26" s="20" t="s">
        <v>17</v>
      </c>
      <c r="D26" s="21" t="n">
        <f>10496.0</f>
        <v>10496.0</v>
      </c>
      <c r="E26" s="22" t="n">
        <f>171.0</f>
        <v>171.0</v>
      </c>
      <c r="F26" s="23" t="n">
        <f>0.014</f>
        <v>0.014</v>
      </c>
      <c r="G26" s="21" t="n">
        <f>103385072600.0</f>
        <v>1.033850726E11</v>
      </c>
      <c r="H26" s="22" t="n">
        <f>379848500.0</f>
        <v>3.798485E8</v>
      </c>
      <c r="I26" s="23" t="n">
        <f>0.014</f>
        <v>0.014</v>
      </c>
    </row>
    <row r="27" spans="1:9" ht="24.9" customHeight="1">
      <c r="A27" s="42"/>
      <c r="B27" s="39"/>
      <c r="C27" s="24" t="s">
        <v>18</v>
      </c>
      <c r="D27" s="25" t="n">
        <f>30598.0</f>
        <v>30598.0</v>
      </c>
      <c r="E27" s="26" t="n">
        <f>172.0</f>
        <v>172.0</v>
      </c>
      <c r="F27" s="27" t="n">
        <f>0.012</f>
        <v>0.012</v>
      </c>
      <c r="G27" s="25" t="n">
        <f>297406346100.0</f>
        <v>2.974063461E11</v>
      </c>
      <c r="H27" s="26" t="n">
        <f>383943500.0</f>
        <v>3.839435E8</v>
      </c>
      <c r="I27" s="27" t="n">
        <f>0.014</f>
        <v>0.014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227.0</f>
        <v>227.0</v>
      </c>
      <c r="E28" s="18" t="n">
        <f>0.0</f>
        <v>0.0</v>
      </c>
      <c r="F28" s="19" t="n">
        <f>0.0</f>
        <v>0.0</v>
      </c>
      <c r="G28" s="17" t="n">
        <f>814284500.0</f>
        <v>8.142845E8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129.0</f>
        <v>129.0</v>
      </c>
      <c r="E29" s="22" t="n">
        <f>0.0</f>
        <v>0.0</v>
      </c>
      <c r="F29" s="23" t="n">
        <f>0.0</f>
        <v>0.0</v>
      </c>
      <c r="G29" s="21" t="n">
        <f>457501500.0</f>
        <v>4.575015E8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1162.0</f>
        <v>1162.0</v>
      </c>
      <c r="E30" s="22" t="n">
        <f>40.0</f>
        <v>40.0</v>
      </c>
      <c r="F30" s="23" t="n">
        <f>0.002</f>
        <v>0.002</v>
      </c>
      <c r="G30" s="21" t="n">
        <f>4028107420.0</f>
        <v>4.02810742E9</v>
      </c>
      <c r="H30" s="22" t="n">
        <f>51841920.0</f>
        <v>5.184192E7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1518.0</f>
        <v>1518.0</v>
      </c>
      <c r="E31" s="26" t="n">
        <f>40.0</f>
        <v>40.0</v>
      </c>
      <c r="F31" s="27" t="n">
        <f>0.001</f>
        <v>0.001</v>
      </c>
      <c r="G31" s="25" t="n">
        <f>5299893420.0</f>
        <v>5.29989342E9</v>
      </c>
      <c r="H31" s="26" t="n">
        <f>51841920.0</f>
        <v>5.184192E7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46197.0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46197.0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46415</f>
        <v>46415.0</v>
      </c>
      <c r="E11" s="18" t="n">
        <f>7507</f>
        <v>7507.0</v>
      </c>
      <c r="F11" s="19" t="n">
        <f>1</f>
        <v>1.0</v>
      </c>
      <c r="G11" s="17" t="n">
        <f>9648423524</f>
        <v>9.648423524E9</v>
      </c>
      <c r="H11" s="18" t="n">
        <f>3966244724</f>
        <v>3.966244724E9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36345</f>
        <v>36345.0</v>
      </c>
      <c r="E12" s="22" t="n">
        <f>4650</f>
        <v>4650.0</v>
      </c>
      <c r="F12" s="23" t="n">
        <f>1</f>
        <v>1.0</v>
      </c>
      <c r="G12" s="21" t="n">
        <f>7264376495</f>
        <v>7.264376495E9</v>
      </c>
      <c r="H12" s="22" t="n">
        <f>3820363555</f>
        <v>3.820363555E9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64326</f>
        <v>64326.0</v>
      </c>
      <c r="E13" s="22" t="n">
        <f>22585</f>
        <v>22585.0</v>
      </c>
      <c r="F13" s="23" t="n">
        <f>1</f>
        <v>1.0</v>
      </c>
      <c r="G13" s="21" t="n">
        <f>38373136557</f>
        <v>3.8373136557E10</v>
      </c>
      <c r="H13" s="22" t="n">
        <f>32311777640</f>
        <v>3.231177764E10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147086</f>
        <v>147086.0</v>
      </c>
      <c r="E14" s="26" t="n">
        <f>34742</f>
        <v>34742.0</v>
      </c>
      <c r="F14" s="27" t="n">
        <f>1</f>
        <v>1.0</v>
      </c>
      <c r="G14" s="25" t="n">
        <f>55285936576</f>
        <v>5.5285936576E10</v>
      </c>
      <c r="H14" s="26" t="n">
        <f>40098385919</f>
        <v>4.0098385919E10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24</f>
        <v>24.0</v>
      </c>
      <c r="E15" s="18" t="n">
        <f>0</f>
        <v>0.0</v>
      </c>
      <c r="F15" s="19" t="n">
        <f>0.001</f>
        <v>0.001</v>
      </c>
      <c r="G15" s="17" t="n">
        <f>2520000</f>
        <v>2520000.0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68</f>
        <v>68.0</v>
      </c>
      <c r="E16" s="22" t="n">
        <f>35</f>
        <v>35.0</v>
      </c>
      <c r="F16" s="23" t="n">
        <f>0.002</f>
        <v>0.002</v>
      </c>
      <c r="G16" s="21" t="n">
        <f>11210000</f>
        <v>1.121E7</v>
      </c>
      <c r="H16" s="22" t="n">
        <f>7650000</f>
        <v>7650000.0</v>
      </c>
      <c r="I16" s="23" t="n">
        <f>0.002</f>
        <v>0.002</v>
      </c>
    </row>
    <row r="17" spans="1:9" ht="24.9" customHeight="1">
      <c r="A17" s="41"/>
      <c r="B17" s="39"/>
      <c r="C17" s="20" t="s">
        <v>17</v>
      </c>
      <c r="D17" s="21" t="n">
        <f>52</f>
        <v>52.0</v>
      </c>
      <c r="E17" s="22" t="n">
        <f>35</f>
        <v>35.0</v>
      </c>
      <c r="F17" s="23" t="n">
        <f>0.001</f>
        <v>0.001</v>
      </c>
      <c r="G17" s="21" t="n">
        <f>12960000</f>
        <v>1.296E7</v>
      </c>
      <c r="H17" s="22" t="n">
        <f>9750000</f>
        <v>9750000.0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144</f>
        <v>144.0</v>
      </c>
      <c r="E18" s="26" t="n">
        <f>70</f>
        <v>70.0</v>
      </c>
      <c r="F18" s="27" t="n">
        <f>0.001</f>
        <v>0.001</v>
      </c>
      <c r="G18" s="25" t="n">
        <f>26690000</f>
        <v>2.669E7</v>
      </c>
      <c r="H18" s="26" t="n">
        <f>17400000</f>
        <v>1.74E7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46391</f>
        <v>46391.0</v>
      </c>
      <c r="E19" s="18" t="n">
        <f>7507</f>
        <v>7507.0</v>
      </c>
      <c r="F19" s="19" t="n">
        <f>0.999</f>
        <v>0.999</v>
      </c>
      <c r="G19" s="17" t="n">
        <f>9645903524</f>
        <v>9.645903524E9</v>
      </c>
      <c r="H19" s="18" t="n">
        <f>3966244724</f>
        <v>3.966244724E9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25163</f>
        <v>25163.0</v>
      </c>
      <c r="E20" s="22" t="n">
        <f>4615</f>
        <v>4615.0</v>
      </c>
      <c r="F20" s="23" t="n">
        <f>0.692</f>
        <v>0.692</v>
      </c>
      <c r="G20" s="21" t="n">
        <f>7067179255</f>
        <v>7.067179255E9</v>
      </c>
      <c r="H20" s="22" t="n">
        <f>3812713555</f>
        <v>3.812713555E9</v>
      </c>
      <c r="I20" s="23" t="n">
        <f>0.973</f>
        <v>0.973</v>
      </c>
    </row>
    <row r="21" spans="1:9" ht="24.9" customHeight="1">
      <c r="A21" s="41"/>
      <c r="B21" s="39"/>
      <c r="C21" s="20" t="s">
        <v>17</v>
      </c>
      <c r="D21" s="21" t="n">
        <f>53615</f>
        <v>53615.0</v>
      </c>
      <c r="E21" s="22" t="n">
        <f>21500</f>
        <v>21500.0</v>
      </c>
      <c r="F21" s="23" t="n">
        <f>0.833</f>
        <v>0.833</v>
      </c>
      <c r="G21" s="21" t="n">
        <f>38314930540</f>
        <v>3.831493054E10</v>
      </c>
      <c r="H21" s="22" t="n">
        <f>32291177640</f>
        <v>3.229117764E10</v>
      </c>
      <c r="I21" s="23" t="n">
        <f>0.998</f>
        <v>0.998</v>
      </c>
    </row>
    <row r="22" spans="1:9" ht="24.9" customHeight="1">
      <c r="A22" s="41"/>
      <c r="B22" s="39"/>
      <c r="C22" s="24" t="s">
        <v>18</v>
      </c>
      <c r="D22" s="25" t="n">
        <f>125169</f>
        <v>125169.0</v>
      </c>
      <c r="E22" s="26" t="n">
        <f>33622</f>
        <v>33622.0</v>
      </c>
      <c r="F22" s="27" t="n">
        <f>0.851</f>
        <v>0.851</v>
      </c>
      <c r="G22" s="25" t="n">
        <f>55028013319</f>
        <v>5.5028013319E10</v>
      </c>
      <c r="H22" s="26" t="n">
        <f>40070135919</f>
        <v>4.0070135919E10</v>
      </c>
      <c r="I22" s="27" t="n">
        <f>0.995</f>
        <v>0.995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11114</f>
        <v>11114.0</v>
      </c>
      <c r="E24" s="22" t="n">
        <f>0</f>
        <v>0.0</v>
      </c>
      <c r="F24" s="23" t="n">
        <f>0.306</f>
        <v>0.306</v>
      </c>
      <c r="G24" s="21" t="n">
        <f>185987240</f>
        <v>1.8598724E8</v>
      </c>
      <c r="H24" s="22" t="n">
        <f>0</f>
        <v>0.0</v>
      </c>
      <c r="I24" s="23" t="n">
        <f>0.026</f>
        <v>0.026</v>
      </c>
    </row>
    <row r="25" spans="1:9" ht="24.9" customHeight="1">
      <c r="A25" s="41"/>
      <c r="B25" s="39"/>
      <c r="C25" s="20" t="s">
        <v>17</v>
      </c>
      <c r="D25" s="21" t="n">
        <f>10659</f>
        <v>10659.0</v>
      </c>
      <c r="E25" s="22" t="n">
        <f>1050</f>
        <v>1050.0</v>
      </c>
      <c r="F25" s="23" t="n">
        <f>0.166</f>
        <v>0.166</v>
      </c>
      <c r="G25" s="21" t="n">
        <f>45246017</f>
        <v>4.5246017E7</v>
      </c>
      <c r="H25" s="22" t="n">
        <f>10850000</f>
        <v>1.085E7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21773</f>
        <v>21773.0</v>
      </c>
      <c r="E26" s="26" t="n">
        <f>1050</f>
        <v>1050.0</v>
      </c>
      <c r="F26" s="27" t="n">
        <f>0.148</f>
        <v>0.148</v>
      </c>
      <c r="G26" s="25" t="n">
        <f>231233257</f>
        <v>2.31233257E8</v>
      </c>
      <c r="H26" s="26" t="n">
        <f>10850000</f>
        <v>1.085E7</v>
      </c>
      <c r="I26" s="27" t="n">
        <f>0.004</f>
        <v>0.004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46197.0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46197.0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24328.0</v>
      </c>
      <c r="F12" s="18" t="n">
        <f>2016</f>
        <v>2016.0</v>
      </c>
      <c r="G12" s="17" t="n">
        <v>1.6827973952E12</v>
      </c>
      <c r="H12" s="18" t="n">
        <f>139753302200</f>
        <v>1.397533022E11</v>
      </c>
    </row>
    <row r="13" spans="1:8" ht="24.9" customHeight="1">
      <c r="A13" s="51"/>
      <c r="B13" s="57"/>
      <c r="C13" s="39"/>
      <c r="D13" s="20" t="s">
        <v>16</v>
      </c>
      <c r="E13" s="21" t="n">
        <v>17879.0</v>
      </c>
      <c r="F13" s="22" t="n">
        <f>2310</f>
        <v>2310.0</v>
      </c>
      <c r="G13" s="21" t="n">
        <v>1.2471776586E12</v>
      </c>
      <c r="H13" s="22" t="n">
        <f>161226064600</f>
        <v>1.612260646E11</v>
      </c>
    </row>
    <row r="14" spans="1:8" ht="24.9" customHeight="1">
      <c r="A14" s="51"/>
      <c r="B14" s="57"/>
      <c r="C14" s="39"/>
      <c r="D14" s="20" t="s">
        <v>17</v>
      </c>
      <c r="E14" s="21" t="n">
        <v>30018.0</v>
      </c>
      <c r="F14" s="22" t="n">
        <f>9478</f>
        <v>9478.0</v>
      </c>
      <c r="G14" s="21" t="n">
        <v>2.081650177193E12</v>
      </c>
      <c r="H14" s="22" t="n">
        <f>658220485193</f>
        <v>6.58220485193E11</v>
      </c>
    </row>
    <row r="15" spans="1:8" ht="24.9" customHeight="1">
      <c r="A15" s="51"/>
      <c r="B15" s="57"/>
      <c r="C15" s="39"/>
      <c r="D15" s="24" t="s">
        <v>18</v>
      </c>
      <c r="E15" s="25" t="n">
        <v>72225.0</v>
      </c>
      <c r="F15" s="26" t="n">
        <f>13804</f>
        <v>13804.0</v>
      </c>
      <c r="G15" s="25" t="n">
        <v>5.011625230993E12</v>
      </c>
      <c r="H15" s="26" t="n">
        <f>959199851993</f>
        <v>9.59199851993E11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432372.0</v>
      </c>
      <c r="F16" s="18" t="n">
        <f>60934</f>
        <v>60934.0</v>
      </c>
      <c r="G16" s="17" t="n">
        <v>2.989671777858E12</v>
      </c>
      <c r="H16" s="18" t="n">
        <f>421358730358</f>
        <v>4.21358730358E11</v>
      </c>
    </row>
    <row r="17" spans="1:8" ht="24.9" customHeight="1">
      <c r="A17" s="51"/>
      <c r="B17" s="57"/>
      <c r="C17" s="39"/>
      <c r="D17" s="20" t="s">
        <v>16</v>
      </c>
      <c r="E17" s="21" t="n">
        <v>251809.0</v>
      </c>
      <c r="F17" s="22" t="n">
        <f>18090</f>
        <v>18090.0</v>
      </c>
      <c r="G17" s="21" t="n">
        <v>1.75640799326E12</v>
      </c>
      <c r="H17" s="22" t="n">
        <f>126153725260</f>
        <v>1.2615372526E11</v>
      </c>
    </row>
    <row r="18" spans="1:8" ht="24.9" customHeight="1">
      <c r="A18" s="51"/>
      <c r="B18" s="57"/>
      <c r="C18" s="39"/>
      <c r="D18" s="20" t="s">
        <v>17</v>
      </c>
      <c r="E18" s="21" t="n">
        <v>288674.0</v>
      </c>
      <c r="F18" s="22" t="n">
        <f>26574</f>
        <v>26574.0</v>
      </c>
      <c r="G18" s="21" t="n">
        <v>2.0006602765E12</v>
      </c>
      <c r="H18" s="22" t="n">
        <f>184114571000</f>
        <v>1.84114571E11</v>
      </c>
    </row>
    <row r="19" spans="1:8" ht="24.9" customHeight="1">
      <c r="A19" s="51"/>
      <c r="B19" s="57"/>
      <c r="C19" s="39"/>
      <c r="D19" s="24" t="s">
        <v>18</v>
      </c>
      <c r="E19" s="25" t="n">
        <v>972855.0</v>
      </c>
      <c r="F19" s="26" t="n">
        <f>105598</f>
        <v>105598.0</v>
      </c>
      <c r="G19" s="25" t="n">
        <v>6.746740047618E12</v>
      </c>
      <c r="H19" s="26" t="n">
        <f>731627026618</f>
        <v>7.31627026618E11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674243.0</v>
      </c>
      <c r="F20" s="18" t="str">
        <f>"－"</f>
        <v>－</v>
      </c>
      <c r="G20" s="17" t="n">
        <v>4.6619070205E11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290865.0</v>
      </c>
      <c r="F21" s="22" t="str">
        <f>"－"</f>
        <v>－</v>
      </c>
      <c r="G21" s="21" t="n">
        <v>2.0279492065E11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341470.0</v>
      </c>
      <c r="F22" s="22" t="str">
        <f>"－"</f>
        <v>－</v>
      </c>
      <c r="G22" s="21" t="n">
        <v>2.3654880595E11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1306578.0</v>
      </c>
      <c r="F23" s="26" t="str">
        <f>"－"</f>
        <v>－</v>
      </c>
      <c r="G23" s="25" t="n">
        <v>9.0553442865E11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21390.0</v>
      </c>
      <c r="F24" s="18" t="n">
        <f>1039</f>
        <v>1039.0</v>
      </c>
      <c r="G24" s="17" t="n">
        <v>8.51744515E11</v>
      </c>
      <c r="H24" s="18" t="n">
        <f>42030305000</f>
        <v>4.2030305E10</v>
      </c>
    </row>
    <row r="25" spans="1:8" ht="24.9" customHeight="1">
      <c r="A25" s="51"/>
      <c r="B25" s="57"/>
      <c r="C25" s="39"/>
      <c r="D25" s="20" t="s">
        <v>16</v>
      </c>
      <c r="E25" s="21" t="n">
        <v>15723.0</v>
      </c>
      <c r="F25" s="22" t="n">
        <f>972</f>
        <v>972.0</v>
      </c>
      <c r="G25" s="21" t="n">
        <v>6.280035265E11</v>
      </c>
      <c r="H25" s="22" t="n">
        <f>38820371500</f>
        <v>3.88203715E10</v>
      </c>
    </row>
    <row r="26" spans="1:8" ht="24.9" customHeight="1">
      <c r="A26" s="51"/>
      <c r="B26" s="57"/>
      <c r="C26" s="39"/>
      <c r="D26" s="20" t="s">
        <v>17</v>
      </c>
      <c r="E26" s="21" t="n">
        <v>33724.0</v>
      </c>
      <c r="F26" s="22" t="n">
        <f>6950</f>
        <v>6950.0</v>
      </c>
      <c r="G26" s="21" t="n">
        <v>1.338804242008E12</v>
      </c>
      <c r="H26" s="22" t="n">
        <f>276096187008</f>
        <v>2.76096187008E11</v>
      </c>
    </row>
    <row r="27" spans="1:8" ht="24.9" customHeight="1">
      <c r="A27" s="51"/>
      <c r="B27" s="57"/>
      <c r="C27" s="39"/>
      <c r="D27" s="24" t="s">
        <v>18</v>
      </c>
      <c r="E27" s="25" t="n">
        <v>70837.0</v>
      </c>
      <c r="F27" s="26" t="n">
        <f>8961</f>
        <v>8961.0</v>
      </c>
      <c r="G27" s="25" t="n">
        <v>2.818552283508E12</v>
      </c>
      <c r="H27" s="26" t="n">
        <f>356946863508</f>
        <v>3.56946863508E11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7195.0</v>
      </c>
      <c r="F28" s="18" t="n">
        <f>1027</f>
        <v>1027.0</v>
      </c>
      <c r="G28" s="17" t="n">
        <v>2.86050104E10</v>
      </c>
      <c r="H28" s="18" t="n">
        <f>4080330400</f>
        <v>4.0803304E9</v>
      </c>
    </row>
    <row r="29" spans="1:8" ht="24.9" customHeight="1">
      <c r="A29" s="51"/>
      <c r="B29" s="57"/>
      <c r="C29" s="39"/>
      <c r="D29" s="20" t="s">
        <v>16</v>
      </c>
      <c r="E29" s="21" t="n">
        <v>8583.0</v>
      </c>
      <c r="F29" s="22" t="n">
        <f>187</f>
        <v>187.0</v>
      </c>
      <c r="G29" s="21" t="n">
        <v>3.429065785E10</v>
      </c>
      <c r="H29" s="22" t="n">
        <f>747060600</f>
        <v>7.470606E8</v>
      </c>
    </row>
    <row r="30" spans="1:8" ht="24.9" customHeight="1">
      <c r="A30" s="51"/>
      <c r="B30" s="57"/>
      <c r="C30" s="39"/>
      <c r="D30" s="20" t="s">
        <v>17</v>
      </c>
      <c r="E30" s="21" t="n">
        <v>9805.0</v>
      </c>
      <c r="F30" s="22" t="n">
        <f>488</f>
        <v>488.0</v>
      </c>
      <c r="G30" s="21" t="n">
        <v>3.891580973E10</v>
      </c>
      <c r="H30" s="22" t="n">
        <f>1937358230</f>
        <v>1.93735823E9</v>
      </c>
    </row>
    <row r="31" spans="1:8" ht="24.9" customHeight="1">
      <c r="A31" s="51"/>
      <c r="B31" s="57"/>
      <c r="C31" s="39"/>
      <c r="D31" s="24" t="s">
        <v>18</v>
      </c>
      <c r="E31" s="25" t="n">
        <v>25583.0</v>
      </c>
      <c r="F31" s="26" t="n">
        <f>1702</f>
        <v>1702.0</v>
      </c>
      <c r="G31" s="25" t="n">
        <v>1.0181147798E11</v>
      </c>
      <c r="H31" s="26" t="n">
        <f>6764749230</f>
        <v>6.76474923E9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420.0</v>
      </c>
      <c r="F36" s="18" t="n">
        <f>29</f>
        <v>29.0</v>
      </c>
      <c r="G36" s="17" t="n">
        <v>1.5166865E9</v>
      </c>
      <c r="H36" s="18" t="n">
        <f>104501500</f>
        <v>1.045015E8</v>
      </c>
    </row>
    <row r="37" spans="1:8" ht="24.9" customHeight="1">
      <c r="A37" s="51"/>
      <c r="B37" s="57"/>
      <c r="C37" s="39"/>
      <c r="D37" s="20" t="s">
        <v>16</v>
      </c>
      <c r="E37" s="21" t="n">
        <v>737.0</v>
      </c>
      <c r="F37" s="22" t="n">
        <f>2</f>
        <v>2.0</v>
      </c>
      <c r="G37" s="21" t="n">
        <v>2.6718905E9</v>
      </c>
      <c r="H37" s="22" t="n">
        <f>7263500</f>
        <v>7263500.0</v>
      </c>
    </row>
    <row r="38" spans="1:8" ht="24.9" customHeight="1">
      <c r="A38" s="51"/>
      <c r="B38" s="57"/>
      <c r="C38" s="39"/>
      <c r="D38" s="20" t="s">
        <v>17</v>
      </c>
      <c r="E38" s="21" t="n">
        <v>734.0</v>
      </c>
      <c r="F38" s="22" t="n">
        <f>97</f>
        <v>97.0</v>
      </c>
      <c r="G38" s="21" t="n">
        <v>2.64509175E9</v>
      </c>
      <c r="H38" s="22" t="n">
        <f>349450750</f>
        <v>3.4945075E8</v>
      </c>
    </row>
    <row r="39" spans="1:8" ht="24.9" customHeight="1">
      <c r="A39" s="51"/>
      <c r="B39" s="57"/>
      <c r="C39" s="39"/>
      <c r="D39" s="24" t="s">
        <v>18</v>
      </c>
      <c r="E39" s="25" t="n">
        <v>1891.0</v>
      </c>
      <c r="F39" s="26" t="n">
        <f>128</f>
        <v>128.0</v>
      </c>
      <c r="G39" s="25" t="n">
        <v>6.83366875E9</v>
      </c>
      <c r="H39" s="26" t="n">
        <f>461215750</f>
        <v>4.6121575E8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610.0</v>
      </c>
      <c r="F48" s="18" t="n">
        <f>610</f>
        <v>610.0</v>
      </c>
      <c r="G48" s="17" t="n">
        <v>1.07731E9</v>
      </c>
      <c r="H48" s="18" t="n">
        <f>1077310000</f>
        <v>1.07731E9</v>
      </c>
    </row>
    <row r="49" spans="1:8" ht="24.9" customHeight="1">
      <c r="A49" s="51"/>
      <c r="B49" s="57"/>
      <c r="C49" s="39"/>
      <c r="D49" s="20" t="s">
        <v>16</v>
      </c>
      <c r="E49" s="21" t="n">
        <v>28.0</v>
      </c>
      <c r="F49" s="22" t="n">
        <f>0</f>
        <v>0.0</v>
      </c>
      <c r="G49" s="21" t="n">
        <v>4.91605E7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537.0</v>
      </c>
      <c r="F50" s="22" t="n">
        <f>521</f>
        <v>521.0</v>
      </c>
      <c r="G50" s="21" t="n">
        <v>9.4552314E8</v>
      </c>
      <c r="H50" s="22" t="n">
        <f>917318140</f>
        <v>9.1731814E8</v>
      </c>
    </row>
    <row r="51" spans="1:8" ht="24.9" customHeight="1">
      <c r="A51" s="51"/>
      <c r="B51" s="57"/>
      <c r="C51" s="39"/>
      <c r="D51" s="24" t="s">
        <v>18</v>
      </c>
      <c r="E51" s="25" t="n">
        <v>1175.0</v>
      </c>
      <c r="F51" s="26" t="n">
        <f>1131</f>
        <v>1131.0</v>
      </c>
      <c r="G51" s="25" t="n">
        <v>2.07199364E9</v>
      </c>
      <c r="H51" s="26" t="n">
        <f>1994628140</f>
        <v>1.99462814E9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761.0</v>
      </c>
      <c r="F56" s="18" t="n">
        <f>53</f>
        <v>53.0</v>
      </c>
      <c r="G56" s="17" t="n">
        <v>5.222057E8</v>
      </c>
      <c r="H56" s="18" t="n">
        <f>36325700</f>
        <v>3.63257E7</v>
      </c>
    </row>
    <row r="57" spans="1:8" ht="24.9" customHeight="1">
      <c r="A57" s="51"/>
      <c r="B57" s="57"/>
      <c r="C57" s="39"/>
      <c r="D57" s="20" t="s">
        <v>16</v>
      </c>
      <c r="E57" s="21" t="n">
        <v>1152.0</v>
      </c>
      <c r="F57" s="22" t="n">
        <f>33</f>
        <v>33.0</v>
      </c>
      <c r="G57" s="21" t="n">
        <v>7.944361E8</v>
      </c>
      <c r="H57" s="22" t="n">
        <f>22793100</f>
        <v>2.27931E7</v>
      </c>
    </row>
    <row r="58" spans="1:8" ht="24.9" customHeight="1">
      <c r="A58" s="51"/>
      <c r="B58" s="57"/>
      <c r="C58" s="39"/>
      <c r="D58" s="20" t="s">
        <v>17</v>
      </c>
      <c r="E58" s="21" t="n">
        <v>891.0</v>
      </c>
      <c r="F58" s="22" t="n">
        <f>41</f>
        <v>41.0</v>
      </c>
      <c r="G58" s="21" t="n">
        <v>6.0962938E8</v>
      </c>
      <c r="H58" s="22" t="n">
        <f>28273380</f>
        <v>2.827338E7</v>
      </c>
    </row>
    <row r="59" spans="1:8" ht="24.9" customHeight="1">
      <c r="A59" s="51"/>
      <c r="B59" s="57"/>
      <c r="C59" s="39"/>
      <c r="D59" s="24" t="s">
        <v>18</v>
      </c>
      <c r="E59" s="25" t="n">
        <v>2804.0</v>
      </c>
      <c r="F59" s="26" t="n">
        <f>127</f>
        <v>127.0</v>
      </c>
      <c r="G59" s="25" t="n">
        <v>1.92627118E9</v>
      </c>
      <c r="H59" s="26" t="n">
        <f>87392180</f>
        <v>8.739218E7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121.0</v>
      </c>
      <c r="F60" s="18" t="n">
        <f>8</f>
        <v>8.0</v>
      </c>
      <c r="G60" s="17" t="n">
        <v>6.284449E8</v>
      </c>
      <c r="H60" s="18" t="n">
        <f>41494600</f>
        <v>4.14946E7</v>
      </c>
    </row>
    <row r="61" spans="1:8" ht="24.9" customHeight="1">
      <c r="A61" s="51"/>
      <c r="B61" s="57"/>
      <c r="C61" s="39"/>
      <c r="D61" s="20" t="s">
        <v>16</v>
      </c>
      <c r="E61" s="21" t="n">
        <v>16.0</v>
      </c>
      <c r="F61" s="22" t="n">
        <f>3</f>
        <v>3.0</v>
      </c>
      <c r="G61" s="21" t="n">
        <v>8.32855E7</v>
      </c>
      <c r="H61" s="22" t="n">
        <f>15626000</f>
        <v>1.5626E7</v>
      </c>
    </row>
    <row r="62" spans="1:8" ht="24.9" customHeight="1">
      <c r="A62" s="51"/>
      <c r="B62" s="57"/>
      <c r="C62" s="39"/>
      <c r="D62" s="20" t="s">
        <v>17</v>
      </c>
      <c r="E62" s="21" t="n">
        <v>26.0</v>
      </c>
      <c r="F62" s="22" t="n">
        <f>3</f>
        <v>3.0</v>
      </c>
      <c r="G62" s="21" t="n">
        <v>1.352949E8</v>
      </c>
      <c r="H62" s="22" t="n">
        <f>15604900</f>
        <v>1.56049E7</v>
      </c>
    </row>
    <row r="63" spans="1:8" ht="24.9" customHeight="1">
      <c r="A63" s="51"/>
      <c r="B63" s="57"/>
      <c r="C63" s="39"/>
      <c r="D63" s="24" t="s">
        <v>18</v>
      </c>
      <c r="E63" s="25" t="n">
        <v>163.0</v>
      </c>
      <c r="F63" s="26" t="n">
        <f>14</f>
        <v>14.0</v>
      </c>
      <c r="G63" s="25" t="n">
        <v>8.470253E8</v>
      </c>
      <c r="H63" s="26" t="n">
        <f>72725500</f>
        <v>7.27255E7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2.0</v>
      </c>
      <c r="F77" s="22" t="n">
        <f>0</f>
        <v>0.0</v>
      </c>
      <c r="G77" s="21" t="n">
        <v>764500.0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15.0</v>
      </c>
      <c r="F78" s="22" t="n">
        <f>0</f>
        <v>0.0</v>
      </c>
      <c r="G78" s="21" t="n">
        <v>5797000.0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17.0</v>
      </c>
      <c r="F79" s="26" t="n">
        <f>0</f>
        <v>0.0</v>
      </c>
      <c r="G79" s="25" t="n">
        <v>6561500.0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119.0</v>
      </c>
      <c r="F92" s="18" t="n">
        <f>0</f>
        <v>0.0</v>
      </c>
      <c r="G92" s="17" t="n">
        <v>1.90702E8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2.0</v>
      </c>
      <c r="F94" s="22" t="n">
        <f>0</f>
        <v>0.0</v>
      </c>
      <c r="G94" s="21" t="n">
        <v>3211800.0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121.0</v>
      </c>
      <c r="F95" s="26" t="n">
        <f>0</f>
        <v>0.0</v>
      </c>
      <c r="G95" s="25" t="n">
        <v>1.939138E8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128.0</v>
      </c>
      <c r="F96" s="18" t="n">
        <f>0</f>
        <v>0.0</v>
      </c>
      <c r="G96" s="17" t="n">
        <v>3.040373E8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128.0</v>
      </c>
      <c r="F99" s="26" t="n">
        <f>0</f>
        <v>0.0</v>
      </c>
      <c r="G99" s="25" t="n">
        <v>3.040373E8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144.0</v>
      </c>
      <c r="F100" s="18" t="n">
        <f>0</f>
        <v>0.0</v>
      </c>
      <c r="G100" s="17" t="n">
        <v>2.642064E8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144.0</v>
      </c>
      <c r="F103" s="26" t="n">
        <f>0</f>
        <v>0.0</v>
      </c>
      <c r="G103" s="25" t="n">
        <v>2.642064E8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9925.0</v>
      </c>
      <c r="F108" s="18" t="n">
        <f>216</f>
        <v>216.0</v>
      </c>
      <c r="G108" s="17" t="n">
        <v>1.26767437E12</v>
      </c>
      <c r="H108" s="18" t="n">
        <f>27574810000</f>
        <v>2.757481E10</v>
      </c>
    </row>
    <row r="109" spans="1:8" ht="24.9" customHeight="1">
      <c r="A109" s="51"/>
      <c r="B109" s="57"/>
      <c r="C109" s="39"/>
      <c r="D109" s="20" t="s">
        <v>16</v>
      </c>
      <c r="E109" s="21" t="n">
        <v>13407.0</v>
      </c>
      <c r="F109" s="22" t="n">
        <f>1226</f>
        <v>1226.0</v>
      </c>
      <c r="G109" s="21" t="n">
        <v>1.71149529E12</v>
      </c>
      <c r="H109" s="22" t="n">
        <f>156502270000</f>
        <v>1.5650227E11</v>
      </c>
    </row>
    <row r="110" spans="1:8" ht="24.9" customHeight="1">
      <c r="A110" s="51"/>
      <c r="B110" s="57"/>
      <c r="C110" s="39"/>
      <c r="D110" s="20" t="s">
        <v>17</v>
      </c>
      <c r="E110" s="21" t="n">
        <v>12146.0</v>
      </c>
      <c r="F110" s="22" t="n">
        <f>2388</f>
        <v>2388.0</v>
      </c>
      <c r="G110" s="21" t="n">
        <v>1.5508731E12</v>
      </c>
      <c r="H110" s="22" t="n">
        <f>304888120000</f>
        <v>3.0488812E11</v>
      </c>
    </row>
    <row r="111" spans="1:8" ht="24.9" customHeight="1">
      <c r="A111" s="51"/>
      <c r="B111" s="57"/>
      <c r="C111" s="39"/>
      <c r="D111" s="24" t="s">
        <v>18</v>
      </c>
      <c r="E111" s="25" t="n">
        <v>35478.0</v>
      </c>
      <c r="F111" s="26" t="n">
        <f>3830</f>
        <v>3830.0</v>
      </c>
      <c r="G111" s="25" t="n">
        <v>4.53004276E12</v>
      </c>
      <c r="H111" s="26" t="n">
        <f>488965200000</f>
        <v>4.889652E11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0.0</v>
      </c>
      <c r="F113" s="22" t="n">
        <f>0</f>
        <v>0.0</v>
      </c>
      <c r="G113" s="21" t="n">
        <v>0.0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0.0</v>
      </c>
      <c r="F114" s="22" t="n">
        <f>0</f>
        <v>0.0</v>
      </c>
      <c r="G114" s="21" t="n">
        <v>0.0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0.0</v>
      </c>
      <c r="F115" s="26" t="n">
        <f>0</f>
        <v>0.0</v>
      </c>
      <c r="G115" s="25" t="n">
        <v>0.0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580.0</v>
      </c>
      <c r="F118" s="22" t="n">
        <f>0</f>
        <v>0.0</v>
      </c>
      <c r="G118" s="21" t="n">
        <v>5.33324E9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580.0</v>
      </c>
      <c r="F119" s="26" t="n">
        <f>0</f>
        <v>0.0</v>
      </c>
      <c r="G119" s="25" t="n">
        <v>5.33324E9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8575.0</v>
      </c>
      <c r="F120" s="18" t="n">
        <f>0</f>
        <v>0.0</v>
      </c>
      <c r="G120" s="17" t="n">
        <v>2.11282714375E11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1354.0</v>
      </c>
      <c r="F121" s="22" t="n">
        <f>0</f>
        <v>0.0</v>
      </c>
      <c r="G121" s="21" t="n">
        <v>3.334773125E10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159.0</v>
      </c>
      <c r="F122" s="22" t="n">
        <f>0</f>
        <v>0.0</v>
      </c>
      <c r="G122" s="21" t="n">
        <v>3.92806375E9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10088.0</v>
      </c>
      <c r="F123" s="26" t="n">
        <f>0</f>
        <v>0.0</v>
      </c>
      <c r="G123" s="25" t="n">
        <v>2.48558509375E11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4865.0</v>
      </c>
      <c r="F124" s="18" t="n">
        <f>0</f>
        <v>0.0</v>
      </c>
      <c r="G124" s="17" t="n">
        <v>1.06415492E11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2707.0</v>
      </c>
      <c r="F125" s="22" t="n">
        <f>0</f>
        <v>0.0</v>
      </c>
      <c r="G125" s="21" t="n">
        <v>5.8819477E10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4125.0</v>
      </c>
      <c r="F126" s="22" t="n">
        <f>0</f>
        <v>0.0</v>
      </c>
      <c r="G126" s="21" t="n">
        <v>8.8994033E10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11697.0</v>
      </c>
      <c r="F127" s="26" t="n">
        <f>0</f>
        <v>0.0</v>
      </c>
      <c r="G127" s="25" t="n">
        <v>2.54229002E11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32.0</v>
      </c>
      <c r="F128" s="18" t="n">
        <f>0</f>
        <v>0.0</v>
      </c>
      <c r="G128" s="17" t="n">
        <v>6.96917E7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25.0</v>
      </c>
      <c r="F129" s="22" t="n">
        <f>0</f>
        <v>0.0</v>
      </c>
      <c r="G129" s="21" t="n">
        <v>5.4323E7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106.0</v>
      </c>
      <c r="F130" s="22" t="n">
        <f>0</f>
        <v>0.0</v>
      </c>
      <c r="G130" s="21" t="n">
        <v>2.286033E8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163.0</v>
      </c>
      <c r="F131" s="26" t="n">
        <f>0</f>
        <v>0.0</v>
      </c>
      <c r="G131" s="25" t="n">
        <v>3.52618E8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5789.0</v>
      </c>
      <c r="F132" s="18" t="n">
        <f>0</f>
        <v>0.0</v>
      </c>
      <c r="G132" s="17" t="n">
        <v>1.26619664E10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2878.0</v>
      </c>
      <c r="F133" s="22" t="n">
        <f>0</f>
        <v>0.0</v>
      </c>
      <c r="G133" s="21" t="n">
        <v>6.25921365E9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4019.0</v>
      </c>
      <c r="F134" s="22" t="n">
        <f>0</f>
        <v>0.0</v>
      </c>
      <c r="G134" s="21" t="n">
        <v>8.6822786E9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12686.0</v>
      </c>
      <c r="F135" s="26" t="n">
        <f>0</f>
        <v>0.0</v>
      </c>
      <c r="G135" s="25" t="n">
        <v>2.760345865E10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59.0</v>
      </c>
      <c r="F136" s="18" t="n">
        <f>0</f>
        <v>0.0</v>
      </c>
      <c r="G136" s="17" t="n">
        <v>1.278197E8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43.0</v>
      </c>
      <c r="F137" s="22" t="n">
        <f>0</f>
        <v>0.0</v>
      </c>
      <c r="G137" s="21" t="n">
        <v>9.25944E7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70.0</v>
      </c>
      <c r="F138" s="22" t="n">
        <f>0</f>
        <v>0.0</v>
      </c>
      <c r="G138" s="21" t="n">
        <v>1.499669E8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172.0</v>
      </c>
      <c r="F139" s="26" t="n">
        <f>0</f>
        <v>0.0</v>
      </c>
      <c r="G139" s="25" t="n">
        <v>3.70381E8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2.0</v>
      </c>
      <c r="F140" s="18" t="n">
        <f>0</f>
        <v>0.0</v>
      </c>
      <c r="G140" s="17" t="n">
        <v>1.95E7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2.0</v>
      </c>
      <c r="F143" s="26" t="n">
        <f>0</f>
        <v>0.0</v>
      </c>
      <c r="G143" s="25" t="n">
        <v>1.95E7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993.0</v>
      </c>
      <c r="F144" s="18" t="n">
        <f>1</f>
        <v>1.0</v>
      </c>
      <c r="G144" s="17" t="n">
        <v>4.1145945E9</v>
      </c>
      <c r="H144" s="18" t="n">
        <f>4095000</f>
        <v>4095000.0</v>
      </c>
    </row>
    <row r="145" spans="1:8" ht="24.9" customHeight="1">
      <c r="A145" s="51"/>
      <c r="B145" s="57"/>
      <c r="C145" s="39"/>
      <c r="D145" s="20" t="s">
        <v>16</v>
      </c>
      <c r="E145" s="21" t="n">
        <v>702.0</v>
      </c>
      <c r="F145" s="22" t="n">
        <f>0</f>
        <v>0.0</v>
      </c>
      <c r="G145" s="21" t="n">
        <v>2.924565E9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788.0</v>
      </c>
      <c r="F146" s="22" t="n">
        <f>0</f>
        <v>0.0</v>
      </c>
      <c r="G146" s="21" t="n">
        <v>3.267928E9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2483.0</v>
      </c>
      <c r="F147" s="26" t="n">
        <f>1</f>
        <v>1.0</v>
      </c>
      <c r="G147" s="25" t="n">
        <v>1.03070875E10</v>
      </c>
      <c r="H147" s="26" t="n">
        <f>4095000</f>
        <v>4095000.0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35.0</v>
      </c>
      <c r="F148" s="18" t="n">
        <f>0</f>
        <v>0.0</v>
      </c>
      <c r="G148" s="17" t="n">
        <v>2.95375E7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238.0</v>
      </c>
      <c r="F149" s="22" t="n">
        <f>0</f>
        <v>0.0</v>
      </c>
      <c r="G149" s="21" t="n">
        <v>2.021788E8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131.0</v>
      </c>
      <c r="F150" s="22" t="n">
        <f>0</f>
        <v>0.0</v>
      </c>
      <c r="G150" s="21" t="n">
        <v>1.109111E8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404.0</v>
      </c>
      <c r="F151" s="26" t="n">
        <f>0</f>
        <v>0.0</v>
      </c>
      <c r="G151" s="25" t="n">
        <v>3.426274E8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242.0</v>
      </c>
      <c r="F152" s="18" t="n">
        <f>0</f>
        <v>0.0</v>
      </c>
      <c r="G152" s="17" t="n">
        <v>2.007269E8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226.0</v>
      </c>
      <c r="F153" s="22" t="n">
        <f>0</f>
        <v>0.0</v>
      </c>
      <c r="G153" s="21" t="n">
        <v>1.8765695E8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190.0</v>
      </c>
      <c r="F154" s="22" t="n">
        <f>0</f>
        <v>0.0</v>
      </c>
      <c r="G154" s="21" t="n">
        <v>1.575264E8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658.0</v>
      </c>
      <c r="F155" s="26" t="n">
        <f>0</f>
        <v>0.0</v>
      </c>
      <c r="G155" s="25" t="n">
        <v>5.4591025E8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381.0</v>
      </c>
      <c r="F156" s="18" t="n">
        <f>0</f>
        <v>0.0</v>
      </c>
      <c r="G156" s="17" t="n">
        <v>3.113486E8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231.0</v>
      </c>
      <c r="F157" s="22" t="n">
        <f>0</f>
        <v>0.0</v>
      </c>
      <c r="G157" s="21" t="n">
        <v>1.914389E8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379.0</v>
      </c>
      <c r="F158" s="22" t="n">
        <f>0</f>
        <v>0.0</v>
      </c>
      <c r="G158" s="21" t="n">
        <v>3.109378E8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991.0</v>
      </c>
      <c r="F159" s="26" t="n">
        <f>0</f>
        <v>0.0</v>
      </c>
      <c r="G159" s="25" t="n">
        <v>8.137253E8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279.0</v>
      </c>
      <c r="F168" s="18" t="n">
        <f>0</f>
        <v>0.0</v>
      </c>
      <c r="G168" s="17" t="n">
        <v>6.05968E8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155.0</v>
      </c>
      <c r="F169" s="22" t="n">
        <f>0</f>
        <v>0.0</v>
      </c>
      <c r="G169" s="21" t="n">
        <v>3.386745E8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604.0</v>
      </c>
      <c r="F170" s="22" t="n">
        <f>171</f>
        <v>171.0</v>
      </c>
      <c r="G170" s="21" t="n">
        <v>1.3277995E9</v>
      </c>
      <c r="H170" s="22" t="n">
        <f>379848500</f>
        <v>3.798485E8</v>
      </c>
    </row>
    <row r="171" spans="1:8" ht="24.9" customHeight="1">
      <c r="A171" s="51"/>
      <c r="B171" s="57"/>
      <c r="C171" s="39"/>
      <c r="D171" s="24" t="s">
        <v>18</v>
      </c>
      <c r="E171" s="25" t="n">
        <v>1038.0</v>
      </c>
      <c r="F171" s="26" t="n">
        <f>171</f>
        <v>171.0</v>
      </c>
      <c r="G171" s="25" t="n">
        <v>2.272442E9</v>
      </c>
      <c r="H171" s="26" t="n">
        <f>379848500</f>
        <v>3.798485E8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16.0</v>
      </c>
      <c r="F176" s="18" t="n">
        <f>0</f>
        <v>0.0</v>
      </c>
      <c r="G176" s="17" t="n">
        <v>2.824E7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204.0</v>
      </c>
      <c r="F177" s="22" t="n">
        <f>0</f>
        <v>0.0</v>
      </c>
      <c r="G177" s="21" t="n">
        <v>3.66266E8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84.0</v>
      </c>
      <c r="F178" s="22" t="n">
        <f>0</f>
        <v>0.0</v>
      </c>
      <c r="G178" s="21" t="n">
        <v>1.55088E8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304.0</v>
      </c>
      <c r="F179" s="26" t="n">
        <f>0</f>
        <v>0.0</v>
      </c>
      <c r="G179" s="25" t="n">
        <v>5.49594E8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227.0</v>
      </c>
      <c r="F204" s="18" t="n">
        <f>0</f>
        <v>0.0</v>
      </c>
      <c r="G204" s="17" t="n">
        <v>8.142845E8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129.0</v>
      </c>
      <c r="F205" s="22" t="n">
        <f>0</f>
        <v>0.0</v>
      </c>
      <c r="G205" s="21" t="n">
        <v>4.575015E8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1122.0</v>
      </c>
      <c r="F206" s="22" t="n">
        <f>0</f>
        <v>0.0</v>
      </c>
      <c r="G206" s="21" t="n">
        <v>3.9762655E9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1478.0</v>
      </c>
      <c r="F207" s="26" t="n">
        <f>0</f>
        <v>0.0</v>
      </c>
      <c r="G207" s="25" t="n">
        <v>5.2480515E9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40.0</v>
      </c>
      <c r="F210" s="22" t="n">
        <f>40</f>
        <v>40.0</v>
      </c>
      <c r="G210" s="21" t="n">
        <v>5.184192E7</v>
      </c>
      <c r="H210" s="22" t="n">
        <f>51841920</f>
        <v>5.184192E7</v>
      </c>
    </row>
    <row r="211" spans="1:8" ht="24.9" customHeight="1">
      <c r="A211" s="57"/>
      <c r="B211" s="59"/>
      <c r="C211" s="39"/>
      <c r="D211" s="24" t="s">
        <v>18</v>
      </c>
      <c r="E211" s="25" t="n">
        <v>40.0</v>
      </c>
      <c r="F211" s="26" t="n">
        <f>40</f>
        <v>40.0</v>
      </c>
      <c r="G211" s="25" t="n">
        <v>5.184192E7</v>
      </c>
      <c r="H211" s="26" t="n">
        <f>51841920</f>
        <v>5.184192E7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46197.0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46197.0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7236</f>
        <v>7236.0</v>
      </c>
      <c r="E12" s="35" t="n">
        <f>3641</f>
        <v>3641.0</v>
      </c>
      <c r="F12" s="17" t="n">
        <f>4318</f>
        <v>4318.0</v>
      </c>
      <c r="G12" s="35" t="n">
        <f>1176</f>
        <v>1176.0</v>
      </c>
      <c r="H12" s="17" t="n">
        <f>11554</f>
        <v>11554.0</v>
      </c>
      <c r="I12" s="35" t="n">
        <f>4817</f>
        <v>4817.0</v>
      </c>
      <c r="J12" s="17" t="n">
        <f>5161213414</f>
        <v>5.161213414E9</v>
      </c>
      <c r="K12" s="35" t="n">
        <f>3355028414</f>
        <v>3.355028414E9</v>
      </c>
      <c r="L12" s="17" t="n">
        <f>1939200430</f>
        <v>1.93920043E9</v>
      </c>
      <c r="M12" s="35" t="n">
        <f>381745430</f>
        <v>3.8174543E8</v>
      </c>
      <c r="N12" s="17" t="n">
        <f>7100413844</f>
        <v>7.100413844E9</v>
      </c>
      <c r="O12" s="35" t="n">
        <f>3736773844</f>
        <v>3.736773844E9</v>
      </c>
    </row>
    <row r="13" spans="1:15" ht="24.9" customHeight="1">
      <c r="A13" s="38"/>
      <c r="B13" s="62"/>
      <c r="C13" s="20" t="s">
        <v>16</v>
      </c>
      <c r="D13" s="21" t="n">
        <f>5487</f>
        <v>5487.0</v>
      </c>
      <c r="E13" s="36" t="n">
        <f>2823</f>
        <v>2823.0</v>
      </c>
      <c r="F13" s="21" t="n">
        <f>2488</f>
        <v>2488.0</v>
      </c>
      <c r="G13" s="36" t="n">
        <f>852</f>
        <v>852.0</v>
      </c>
      <c r="H13" s="21" t="n">
        <f>7975</f>
        <v>7975.0</v>
      </c>
      <c r="I13" s="36" t="n">
        <f>3675</f>
        <v>3675.0</v>
      </c>
      <c r="J13" s="21" t="n">
        <f>4767961185</f>
        <v>4.767961185E9</v>
      </c>
      <c r="K13" s="36" t="n">
        <f>3084724185</f>
        <v>3.084724185E9</v>
      </c>
      <c r="L13" s="21" t="n">
        <f>1500007710</f>
        <v>1.50000771E9</v>
      </c>
      <c r="M13" s="36" t="n">
        <f>644007710</f>
        <v>6.4400771E8</v>
      </c>
      <c r="N13" s="21" t="n">
        <f>6267968895</f>
        <v>6.267968895E9</v>
      </c>
      <c r="O13" s="36" t="n">
        <f>3728731895</f>
        <v>3.728731895E9</v>
      </c>
    </row>
    <row r="14" spans="1:15" ht="24.9" customHeight="1">
      <c r="A14" s="38"/>
      <c r="B14" s="62"/>
      <c r="C14" s="20" t="s">
        <v>17</v>
      </c>
      <c r="D14" s="21" t="n">
        <f>22264</f>
        <v>22264.0</v>
      </c>
      <c r="E14" s="36" t="n">
        <f>17276</f>
        <v>17276.0</v>
      </c>
      <c r="F14" s="21" t="n">
        <f>5284</f>
        <v>5284.0</v>
      </c>
      <c r="G14" s="36" t="n">
        <f>2364</f>
        <v>2364.0</v>
      </c>
      <c r="H14" s="21" t="n">
        <f>27548</f>
        <v>27548.0</v>
      </c>
      <c r="I14" s="36" t="n">
        <f>19640</f>
        <v>19640.0</v>
      </c>
      <c r="J14" s="21" t="n">
        <f>25343132250</f>
        <v>2.534313225E10</v>
      </c>
      <c r="K14" s="36" t="n">
        <f>22065953250</f>
        <v>2.206595325E10</v>
      </c>
      <c r="L14" s="21" t="n">
        <f>11379139390</f>
        <v>1.137913939E10</v>
      </c>
      <c r="M14" s="36" t="n">
        <f>9598059390</f>
        <v>9.59805939E9</v>
      </c>
      <c r="N14" s="21" t="n">
        <f>36722271640</f>
        <v>3.672227164E10</v>
      </c>
      <c r="O14" s="36" t="n">
        <f>31664012640</f>
        <v>3.166401264E10</v>
      </c>
    </row>
    <row r="15" spans="1:15" ht="24.9" customHeight="1">
      <c r="A15" s="38"/>
      <c r="B15" s="62"/>
      <c r="C15" s="24" t="s">
        <v>18</v>
      </c>
      <c r="D15" s="25" t="n">
        <f>34987</f>
        <v>34987.0</v>
      </c>
      <c r="E15" s="37" t="n">
        <f>23740</f>
        <v>23740.0</v>
      </c>
      <c r="F15" s="25" t="n">
        <f>12090</f>
        <v>12090.0</v>
      </c>
      <c r="G15" s="37" t="n">
        <f>4392</f>
        <v>4392.0</v>
      </c>
      <c r="H15" s="25" t="n">
        <f>47077</f>
        <v>47077.0</v>
      </c>
      <c r="I15" s="37" t="n">
        <f>28132</f>
        <v>28132.0</v>
      </c>
      <c r="J15" s="25" t="n">
        <f>35272306849</f>
        <v>3.5272306849E10</v>
      </c>
      <c r="K15" s="37" t="n">
        <f>28505705849</f>
        <v>2.8505705849E10</v>
      </c>
      <c r="L15" s="25" t="n">
        <f>14818347530</f>
        <v>1.481834753E10</v>
      </c>
      <c r="M15" s="37" t="n">
        <f>10623812530</f>
        <v>1.062381253E10</v>
      </c>
      <c r="N15" s="25" t="n">
        <f>50090654379</f>
        <v>5.0090654379E10</v>
      </c>
      <c r="O15" s="37" t="n">
        <f>39129518379</f>
        <v>3.9129518379E10</v>
      </c>
    </row>
    <row r="16" spans="1:15" ht="24.9" customHeight="1">
      <c r="A16" s="38"/>
      <c r="B16" s="61" t="s">
        <v>105</v>
      </c>
      <c r="C16" s="16" t="s">
        <v>15</v>
      </c>
      <c r="D16" s="17" t="n">
        <f>17143</f>
        <v>17143.0</v>
      </c>
      <c r="E16" s="35" t="n">
        <f>1490</f>
        <v>1490.0</v>
      </c>
      <c r="F16" s="17" t="n">
        <f>17594</f>
        <v>17594.0</v>
      </c>
      <c r="G16" s="35" t="n">
        <f>1100</f>
        <v>1100.0</v>
      </c>
      <c r="H16" s="17" t="n">
        <f>34737</f>
        <v>34737.0</v>
      </c>
      <c r="I16" s="35" t="n">
        <f>2590</f>
        <v>2590.0</v>
      </c>
      <c r="J16" s="17" t="n">
        <f>1215125490</f>
        <v>1.21512549E9</v>
      </c>
      <c r="K16" s="35" t="n">
        <f>55971090</f>
        <v>5.597109E7</v>
      </c>
      <c r="L16" s="17" t="n">
        <f>1183364190</f>
        <v>1.18336419E9</v>
      </c>
      <c r="M16" s="35" t="n">
        <f>26499790</f>
        <v>2.649979E7</v>
      </c>
      <c r="N16" s="17" t="n">
        <f>2398489680</f>
        <v>2.39848968E9</v>
      </c>
      <c r="O16" s="35" t="n">
        <f>82470880</f>
        <v>8.247088E7</v>
      </c>
    </row>
    <row r="17" spans="1:15" ht="24.9" customHeight="1">
      <c r="A17" s="38"/>
      <c r="B17" s="62"/>
      <c r="C17" s="20" t="s">
        <v>16</v>
      </c>
      <c r="D17" s="21" t="n">
        <f>9286</f>
        <v>9286.0</v>
      </c>
      <c r="E17" s="36" t="n">
        <f>420</f>
        <v>420.0</v>
      </c>
      <c r="F17" s="21" t="n">
        <f>7752</f>
        <v>7752.0</v>
      </c>
      <c r="G17" s="36" t="n">
        <f>370</f>
        <v>370.0</v>
      </c>
      <c r="H17" s="21" t="n">
        <f>17038</f>
        <v>17038.0</v>
      </c>
      <c r="I17" s="36" t="n">
        <f>790</f>
        <v>790.0</v>
      </c>
      <c r="J17" s="21" t="n">
        <f>347295350</f>
        <v>3.4729535E8</v>
      </c>
      <c r="K17" s="36" t="n">
        <f>6201050</f>
        <v>6201050.0</v>
      </c>
      <c r="L17" s="21" t="n">
        <f>377215010</f>
        <v>3.7721501E8</v>
      </c>
      <c r="M17" s="36" t="n">
        <f>3080610</f>
        <v>3080610.0</v>
      </c>
      <c r="N17" s="21" t="n">
        <f>724510360</f>
        <v>7.2451036E8</v>
      </c>
      <c r="O17" s="36" t="n">
        <f>9281660</f>
        <v>9281660.0</v>
      </c>
    </row>
    <row r="18" spans="1:15" ht="24.9" customHeight="1">
      <c r="A18" s="38"/>
      <c r="B18" s="62"/>
      <c r="C18" s="20" t="s">
        <v>17</v>
      </c>
      <c r="D18" s="21" t="n">
        <f>13183</f>
        <v>13183.0</v>
      </c>
      <c r="E18" s="36" t="n">
        <f>770</f>
        <v>770.0</v>
      </c>
      <c r="F18" s="21" t="n">
        <f>12528</f>
        <v>12528.0</v>
      </c>
      <c r="G18" s="36" t="n">
        <f>740</f>
        <v>740.0</v>
      </c>
      <c r="H18" s="21" t="n">
        <f>25711</f>
        <v>25711.0</v>
      </c>
      <c r="I18" s="36" t="n">
        <f>1510</f>
        <v>1510.0</v>
      </c>
      <c r="J18" s="21" t="n">
        <f>546474820</f>
        <v>5.4647482E8</v>
      </c>
      <c r="K18" s="36" t="n">
        <f>19218620</f>
        <v>1.921862E7</v>
      </c>
      <c r="L18" s="21" t="n">
        <f>449574080</f>
        <v>4.4957408E8</v>
      </c>
      <c r="M18" s="36" t="n">
        <f>13696380</f>
        <v>1.369638E7</v>
      </c>
      <c r="N18" s="21" t="n">
        <f>996048900</f>
        <v>9.960489E8</v>
      </c>
      <c r="O18" s="36" t="n">
        <f>32915000</f>
        <v>3.2915E7</v>
      </c>
    </row>
    <row r="19" spans="1:15" ht="24.9" customHeight="1">
      <c r="A19" s="38"/>
      <c r="B19" s="62"/>
      <c r="C19" s="24" t="s">
        <v>18</v>
      </c>
      <c r="D19" s="25" t="n">
        <f>39612</f>
        <v>39612.0</v>
      </c>
      <c r="E19" s="37" t="n">
        <f>2680</f>
        <v>2680.0</v>
      </c>
      <c r="F19" s="25" t="n">
        <f>37874</f>
        <v>37874.0</v>
      </c>
      <c r="G19" s="37" t="n">
        <f>2210</f>
        <v>2210.0</v>
      </c>
      <c r="H19" s="25" t="n">
        <f>77486</f>
        <v>77486.0</v>
      </c>
      <c r="I19" s="37" t="n">
        <f>4890</f>
        <v>4890.0</v>
      </c>
      <c r="J19" s="25" t="n">
        <f>2108895660</f>
        <v>2.10889566E9</v>
      </c>
      <c r="K19" s="37" t="n">
        <f>81390760</f>
        <v>8.139076E7</v>
      </c>
      <c r="L19" s="25" t="n">
        <f>2010153280</f>
        <v>2.01015328E9</v>
      </c>
      <c r="M19" s="37" t="n">
        <f>43276780</f>
        <v>4.327678E7</v>
      </c>
      <c r="N19" s="25" t="n">
        <f>4119048940</f>
        <v>4.11904894E9</v>
      </c>
      <c r="O19" s="37" t="n">
        <f>124667540</f>
        <v>1.2466754E8</v>
      </c>
    </row>
    <row r="20" spans="1:15" ht="24.9" customHeight="1">
      <c r="A20" s="38"/>
      <c r="B20" s="61" t="s">
        <v>106</v>
      </c>
      <c r="C20" s="16" t="s">
        <v>15</v>
      </c>
      <c r="D20" s="17" t="n">
        <f>50</f>
        <v>50.0</v>
      </c>
      <c r="E20" s="35" t="n">
        <f>50</f>
        <v>50.0</v>
      </c>
      <c r="F20" s="17" t="n">
        <f>50</f>
        <v>50.0</v>
      </c>
      <c r="G20" s="35" t="n">
        <f>50</f>
        <v>50.0</v>
      </c>
      <c r="H20" s="17" t="n">
        <f>100</f>
        <v>100.0</v>
      </c>
      <c r="I20" s="35" t="n">
        <f>100</f>
        <v>100.0</v>
      </c>
      <c r="J20" s="17" t="n">
        <f>73500000</f>
        <v>7.35E7</v>
      </c>
      <c r="K20" s="35" t="n">
        <f>73500000</f>
        <v>7.35E7</v>
      </c>
      <c r="L20" s="17" t="n">
        <f>73500000</f>
        <v>7.35E7</v>
      </c>
      <c r="M20" s="35" t="n">
        <f>73500000</f>
        <v>7.35E7</v>
      </c>
      <c r="N20" s="17" t="n">
        <f>147000000</f>
        <v>1.47E8</v>
      </c>
      <c r="O20" s="35" t="n">
        <f>147000000</f>
        <v>1.47E8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150</f>
        <v>150.0</v>
      </c>
      <c r="G21" s="36" t="n">
        <f>150</f>
        <v>150.0</v>
      </c>
      <c r="H21" s="21" t="n">
        <f>150</f>
        <v>150.0</v>
      </c>
      <c r="I21" s="36" t="n">
        <f>150</f>
        <v>150.0</v>
      </c>
      <c r="J21" s="21" t="n">
        <f>0</f>
        <v>0.0</v>
      </c>
      <c r="K21" s="36" t="n">
        <f>0</f>
        <v>0.0</v>
      </c>
      <c r="L21" s="21" t="n">
        <f>74700000</f>
        <v>7.47E7</v>
      </c>
      <c r="M21" s="36" t="n">
        <f>74700000</f>
        <v>7.47E7</v>
      </c>
      <c r="N21" s="21" t="n">
        <f>74700000</f>
        <v>7.47E7</v>
      </c>
      <c r="O21" s="36" t="n">
        <f>74700000</f>
        <v>7.47E7</v>
      </c>
    </row>
    <row r="22" spans="1:15" ht="24.9" customHeight="1">
      <c r="A22" s="38"/>
      <c r="B22" s="62"/>
      <c r="C22" s="20" t="s">
        <v>17</v>
      </c>
      <c r="D22" s="21" t="n">
        <f>181</f>
        <v>181.0</v>
      </c>
      <c r="E22" s="36" t="n">
        <f>175</f>
        <v>175.0</v>
      </c>
      <c r="F22" s="21" t="n">
        <f>175</f>
        <v>175.0</v>
      </c>
      <c r="G22" s="36" t="n">
        <f>175</f>
        <v>175.0</v>
      </c>
      <c r="H22" s="21" t="n">
        <f>356</f>
        <v>356.0</v>
      </c>
      <c r="I22" s="36" t="n">
        <f>350</f>
        <v>350.0</v>
      </c>
      <c r="J22" s="21" t="n">
        <f>317635000</f>
        <v>3.17635E8</v>
      </c>
      <c r="K22" s="36" t="n">
        <f>315275000</f>
        <v>3.15275E8</v>
      </c>
      <c r="L22" s="21" t="n">
        <f>278975000</f>
        <v>2.78975E8</v>
      </c>
      <c r="M22" s="36" t="n">
        <f>278975000</f>
        <v>2.78975E8</v>
      </c>
      <c r="N22" s="21" t="n">
        <f>596610000</f>
        <v>5.9661E8</v>
      </c>
      <c r="O22" s="36" t="n">
        <f>594250000</f>
        <v>5.9425E8</v>
      </c>
    </row>
    <row r="23" spans="1:15" ht="24.9" customHeight="1">
      <c r="A23" s="38"/>
      <c r="B23" s="62"/>
      <c r="C23" s="24" t="s">
        <v>18</v>
      </c>
      <c r="D23" s="25" t="n">
        <f>231</f>
        <v>231.0</v>
      </c>
      <c r="E23" s="37" t="n">
        <f>225</f>
        <v>225.0</v>
      </c>
      <c r="F23" s="25" t="n">
        <f>375</f>
        <v>375.0</v>
      </c>
      <c r="G23" s="37" t="n">
        <f>375</f>
        <v>375.0</v>
      </c>
      <c r="H23" s="25" t="n">
        <f>606</f>
        <v>606.0</v>
      </c>
      <c r="I23" s="37" t="n">
        <f>600</f>
        <v>600.0</v>
      </c>
      <c r="J23" s="25" t="n">
        <f>391135000</f>
        <v>3.91135E8</v>
      </c>
      <c r="K23" s="37" t="n">
        <f>388775000</f>
        <v>3.88775E8</v>
      </c>
      <c r="L23" s="25" t="n">
        <f>427175000</f>
        <v>4.27175E8</v>
      </c>
      <c r="M23" s="37" t="n">
        <f>427175000</f>
        <v>4.27175E8</v>
      </c>
      <c r="N23" s="25" t="n">
        <f>818310000</f>
        <v>8.1831E8</v>
      </c>
      <c r="O23" s="37" t="n">
        <f>815950000</f>
        <v>8.1595E8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24</f>
        <v>24.0</v>
      </c>
      <c r="G36" s="18" t="n">
        <f>0</f>
        <v>0.0</v>
      </c>
      <c r="H36" s="17" t="n">
        <f>24</f>
        <v>24.0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2520000</f>
        <v>2520000.0</v>
      </c>
      <c r="M36" s="18" t="n">
        <f>0</f>
        <v>0.0</v>
      </c>
      <c r="N36" s="17" t="n">
        <f>2520000</f>
        <v>2520000.0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28</f>
        <v>28.0</v>
      </c>
      <c r="E37" s="22" t="n">
        <f>20</f>
        <v>20.0</v>
      </c>
      <c r="F37" s="21" t="n">
        <f>40</f>
        <v>40.0</v>
      </c>
      <c r="G37" s="22" t="n">
        <f>15</f>
        <v>15.0</v>
      </c>
      <c r="H37" s="21" t="n">
        <f>68</f>
        <v>68.0</v>
      </c>
      <c r="I37" s="22" t="n">
        <f>35</f>
        <v>35.0</v>
      </c>
      <c r="J37" s="21" t="n">
        <f>5860000</f>
        <v>5860000.0</v>
      </c>
      <c r="K37" s="22" t="n">
        <f>4800000</f>
        <v>4800000.0</v>
      </c>
      <c r="L37" s="21" t="n">
        <f>5350000</f>
        <v>5350000.0</v>
      </c>
      <c r="M37" s="22" t="n">
        <f>2850000</f>
        <v>2850000.0</v>
      </c>
      <c r="N37" s="21" t="n">
        <f>11210000</f>
        <v>1.121E7</v>
      </c>
      <c r="O37" s="22" t="n">
        <f>7650000</f>
        <v>7650000.0</v>
      </c>
    </row>
    <row r="38" spans="1:15" ht="24.9" customHeight="1">
      <c r="A38" s="38"/>
      <c r="B38" s="62"/>
      <c r="C38" s="20" t="s">
        <v>17</v>
      </c>
      <c r="D38" s="21" t="n">
        <f>31</f>
        <v>31.0</v>
      </c>
      <c r="E38" s="36" t="n">
        <f>25</f>
        <v>25.0</v>
      </c>
      <c r="F38" s="21" t="n">
        <f>21</f>
        <v>21.0</v>
      </c>
      <c r="G38" s="36" t="n">
        <f>10</f>
        <v>10.0</v>
      </c>
      <c r="H38" s="21" t="n">
        <f>52</f>
        <v>52.0</v>
      </c>
      <c r="I38" s="36" t="n">
        <f>35</f>
        <v>35.0</v>
      </c>
      <c r="J38" s="21" t="n">
        <f>8810000</f>
        <v>8810000.0</v>
      </c>
      <c r="K38" s="36" t="n">
        <f>8250000</f>
        <v>8250000.0</v>
      </c>
      <c r="L38" s="21" t="n">
        <f>4150000</f>
        <v>4150000.0</v>
      </c>
      <c r="M38" s="36" t="n">
        <f>1500000</f>
        <v>1500000.0</v>
      </c>
      <c r="N38" s="21" t="n">
        <f>12960000</f>
        <v>1.296E7</v>
      </c>
      <c r="O38" s="36" t="n">
        <f>9750000</f>
        <v>9750000.0</v>
      </c>
    </row>
    <row r="39" spans="1:15" ht="24.9" customHeight="1">
      <c r="A39" s="38"/>
      <c r="B39" s="62"/>
      <c r="C39" s="24" t="s">
        <v>18</v>
      </c>
      <c r="D39" s="25" t="n">
        <f>59</f>
        <v>59.0</v>
      </c>
      <c r="E39" s="37" t="n">
        <f>45</f>
        <v>45.0</v>
      </c>
      <c r="F39" s="25" t="n">
        <f>85</f>
        <v>85.0</v>
      </c>
      <c r="G39" s="37" t="n">
        <f>25</f>
        <v>25.0</v>
      </c>
      <c r="H39" s="25" t="n">
        <f>144</f>
        <v>144.0</v>
      </c>
      <c r="I39" s="37" t="n">
        <f>70</f>
        <v>70.0</v>
      </c>
      <c r="J39" s="25" t="n">
        <f>14670000</f>
        <v>1.467E7</v>
      </c>
      <c r="K39" s="37" t="n">
        <f>13050000</f>
        <v>1.305E7</v>
      </c>
      <c r="L39" s="25" t="n">
        <f>12020000</f>
        <v>1.202E7</v>
      </c>
      <c r="M39" s="37" t="n">
        <f>4350000</f>
        <v>4350000.0</v>
      </c>
      <c r="N39" s="25" t="n">
        <f>26690000</f>
        <v>2.669E7</v>
      </c>
      <c r="O39" s="37" t="n">
        <f>17400000</f>
        <v>1.74E7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2604</f>
        <v>2604.0</v>
      </c>
      <c r="E41" s="36" t="n">
        <f>0</f>
        <v>0.0</v>
      </c>
      <c r="F41" s="21" t="n">
        <f>8510</f>
        <v>8510.0</v>
      </c>
      <c r="G41" s="36" t="n">
        <f>0</f>
        <v>0.0</v>
      </c>
      <c r="H41" s="21" t="n">
        <f>11114</f>
        <v>11114.0</v>
      </c>
      <c r="I41" s="36" t="n">
        <f>0</f>
        <v>0.0</v>
      </c>
      <c r="J41" s="21" t="n">
        <f>159357900</f>
        <v>1.593579E8</v>
      </c>
      <c r="K41" s="36" t="n">
        <f>0</f>
        <v>0.0</v>
      </c>
      <c r="L41" s="21" t="n">
        <f>26629340</f>
        <v>2.662934E7</v>
      </c>
      <c r="M41" s="36" t="n">
        <f>0</f>
        <v>0.0</v>
      </c>
      <c r="N41" s="21" t="n">
        <f>185987240</f>
        <v>1.8598724E8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525</f>
        <v>525.0</v>
      </c>
      <c r="E42" s="36" t="n">
        <f>0</f>
        <v>0.0</v>
      </c>
      <c r="F42" s="21" t="n">
        <f>10134</f>
        <v>10134.0</v>
      </c>
      <c r="G42" s="36" t="n">
        <f>1050</f>
        <v>1050.0</v>
      </c>
      <c r="H42" s="21" t="n">
        <f>10659</f>
        <v>10659.0</v>
      </c>
      <c r="I42" s="36" t="n">
        <f>1050</f>
        <v>1050.0</v>
      </c>
      <c r="J42" s="21" t="n">
        <f>22965897</f>
        <v>2.2965897E7</v>
      </c>
      <c r="K42" s="36" t="n">
        <f>0</f>
        <v>0.0</v>
      </c>
      <c r="L42" s="21" t="n">
        <f>22280120</f>
        <v>2.228012E7</v>
      </c>
      <c r="M42" s="36" t="n">
        <f>10850000</f>
        <v>1.085E7</v>
      </c>
      <c r="N42" s="21" t="n">
        <f>45246017</f>
        <v>4.5246017E7</v>
      </c>
      <c r="O42" s="36" t="n">
        <f>10850000</f>
        <v>1.085E7</v>
      </c>
    </row>
    <row r="43" spans="1:15" ht="24.9" customHeight="1">
      <c r="A43" s="38"/>
      <c r="B43" s="62"/>
      <c r="C43" s="24" t="s">
        <v>18</v>
      </c>
      <c r="D43" s="25" t="n">
        <f>3129</f>
        <v>3129.0</v>
      </c>
      <c r="E43" s="37" t="n">
        <f>0</f>
        <v>0.0</v>
      </c>
      <c r="F43" s="25" t="n">
        <f>18644</f>
        <v>18644.0</v>
      </c>
      <c r="G43" s="37" t="n">
        <f>1050</f>
        <v>1050.0</v>
      </c>
      <c r="H43" s="25" t="n">
        <f>21773</f>
        <v>21773.0</v>
      </c>
      <c r="I43" s="37" t="n">
        <f>1050</f>
        <v>1050.0</v>
      </c>
      <c r="J43" s="25" t="n">
        <f>182323797</f>
        <v>1.82323797E8</v>
      </c>
      <c r="K43" s="37" t="n">
        <f>0</f>
        <v>0.0</v>
      </c>
      <c r="L43" s="25" t="n">
        <f>48909460</f>
        <v>4.890946E7</v>
      </c>
      <c r="M43" s="37" t="n">
        <f>10850000</f>
        <v>1.085E7</v>
      </c>
      <c r="N43" s="25" t="n">
        <f>231233257</f>
        <v>2.31233257E8</v>
      </c>
      <c r="O43" s="37" t="n">
        <f>10850000</f>
        <v>1.085E7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