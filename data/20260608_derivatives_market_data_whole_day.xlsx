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<sst xmlns="http://schemas.openxmlformats.org/spreadsheetml/2006/main" count="528" uniqueCount="129">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</sst>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DATE(2026,06,08)</f>
        <v>46181.0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DATE(2026,06,08)</f>
        <v>46181.0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1395221.0</f>
        <v>1395221.0</v>
      </c>
      <c r="E12" s="18" t="n">
        <f>71006.0</f>
        <v>71006.0</v>
      </c>
      <c r="F12" s="19" t="n">
        <f>1.0</f>
        <v>1.0</v>
      </c>
      <c r="G12" s="17" t="n">
        <f>9422646696980.0</f>
        <v>9.42264669698E12</v>
      </c>
      <c r="H12" s="18" t="n">
        <f>569982196430.0</f>
        <v>5.6998219643E11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872568.0</f>
        <v>872568.0</v>
      </c>
      <c r="E13" s="22" t="n">
        <f>64339.0</f>
        <v>64339.0</v>
      </c>
      <c r="F13" s="23" t="n">
        <f>1.0</f>
        <v>1.0</v>
      </c>
      <c r="G13" s="21" t="n">
        <f>11491603809655.0</f>
        <v>1.1491603809655E13</v>
      </c>
      <c r="H13" s="22" t="n">
        <f>1332972463480.0</f>
        <v>1.33297246348E12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1173481.0</f>
        <v>1173481.0</v>
      </c>
      <c r="E14" s="22" t="n">
        <f>366436.0</f>
        <v>366436.0</v>
      </c>
      <c r="F14" s="23" t="n">
        <f>1.0</f>
        <v>1.0</v>
      </c>
      <c r="G14" s="21" t="n">
        <f>23125798982957.0</f>
        <v>2.3125798982957E13</v>
      </c>
      <c r="H14" s="22" t="n">
        <f>11245257599882.0</f>
        <v>1.1245257599882E13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3441270.0</f>
        <v>3441270.0</v>
      </c>
      <c r="E15" s="26" t="n">
        <f>501781.0</f>
        <v>501781.0</v>
      </c>
      <c r="F15" s="27" t="n">
        <f>1.0</f>
        <v>1.0</v>
      </c>
      <c r="G15" s="25" t="n">
        <f>44040049489592.0</f>
        <v>4.4040049489592E13</v>
      </c>
      <c r="H15" s="26" t="n">
        <f>13148212259792.0</f>
        <v>1.3148212259792E13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20901.0</f>
        <v>20901.0</v>
      </c>
      <c r="E16" s="18" t="n">
        <f>128.0</f>
        <v>128.0</v>
      </c>
      <c r="F16" s="19" t="n">
        <f>0.015</f>
        <v>0.015</v>
      </c>
      <c r="G16" s="17" t="n">
        <f>2067353700000.0</f>
        <v>2.0673537E12</v>
      </c>
      <c r="H16" s="18" t="n">
        <f>16493870000.0</f>
        <v>1.649387E10</v>
      </c>
      <c r="I16" s="19" t="n">
        <f>0.219</f>
        <v>0.219</v>
      </c>
    </row>
    <row r="17" spans="1:9" ht="24.9" customHeight="1">
      <c r="A17" s="41"/>
      <c r="B17" s="39"/>
      <c r="C17" s="20" t="s">
        <v>16</v>
      </c>
      <c r="D17" s="21" t="n">
        <f>28277.0</f>
        <v>28277.0</v>
      </c>
      <c r="E17" s="22" t="n">
        <f>13642.0</f>
        <v>13642.0</v>
      </c>
      <c r="F17" s="23" t="n">
        <f>0.032</f>
        <v>0.032</v>
      </c>
      <c r="G17" s="21" t="n">
        <f>2123427498375.0</f>
        <v>2.123427498375E12</v>
      </c>
      <c r="H17" s="22" t="n">
        <f>253522538000.0</f>
        <v>2.53522538E11</v>
      </c>
      <c r="I17" s="23" t="n">
        <f>0.185</f>
        <v>0.185</v>
      </c>
    </row>
    <row r="18" spans="1:9" ht="24.9" customHeight="1">
      <c r="A18" s="41"/>
      <c r="B18" s="39"/>
      <c r="C18" s="20" t="s">
        <v>17</v>
      </c>
      <c r="D18" s="21" t="n">
        <f>27459.0</f>
        <v>27459.0</v>
      </c>
      <c r="E18" s="22" t="n">
        <f>4848.0</f>
        <v>4848.0</v>
      </c>
      <c r="F18" s="23" t="n">
        <f>0.023</f>
        <v>0.023</v>
      </c>
      <c r="G18" s="21" t="n">
        <f>3302401129375.0</f>
        <v>3.302401129375E12</v>
      </c>
      <c r="H18" s="22" t="n">
        <f>534906888500.0</f>
        <v>5.349068885E11</v>
      </c>
      <c r="I18" s="23" t="n">
        <f>0.143</f>
        <v>0.143</v>
      </c>
    </row>
    <row r="19" spans="1:9" ht="24.9" customHeight="1">
      <c r="A19" s="41"/>
      <c r="B19" s="39"/>
      <c r="C19" s="24" t="s">
        <v>18</v>
      </c>
      <c r="D19" s="25" t="n">
        <f>76637.0</f>
        <v>76637.0</v>
      </c>
      <c r="E19" s="26" t="n">
        <f>18618.0</f>
        <v>18618.0</v>
      </c>
      <c r="F19" s="27" t="n">
        <f>0.022</f>
        <v>0.022</v>
      </c>
      <c r="G19" s="25" t="n">
        <f>7493182327750.0</f>
        <v>7.49318232775E12</v>
      </c>
      <c r="H19" s="26" t="n">
        <f>804923296500.0</f>
        <v>8.049232965E11</v>
      </c>
      <c r="I19" s="27" t="n">
        <f>0.17</f>
        <v>0.17</v>
      </c>
    </row>
    <row r="20" spans="1:9" ht="24.9" customHeight="1">
      <c r="A20" s="41"/>
      <c r="B20" s="39" t="s">
        <v>21</v>
      </c>
      <c r="C20" s="16" t="s">
        <v>15</v>
      </c>
      <c r="D20" s="17" t="n">
        <f>1351360.0</f>
        <v>1351360.0</v>
      </c>
      <c r="E20" s="18" t="n">
        <f>70878.0</f>
        <v>70878.0</v>
      </c>
      <c r="F20" s="19" t="n">
        <f>0.969</f>
        <v>0.969</v>
      </c>
      <c r="G20" s="17" t="n">
        <f>7128354730330.0</f>
        <v>7.12835473033E12</v>
      </c>
      <c r="H20" s="18" t="n">
        <f>553488326430.0</f>
        <v>5.5348832643E11</v>
      </c>
      <c r="I20" s="19" t="n">
        <f>0.757</f>
        <v>0.757</v>
      </c>
    </row>
    <row r="21" spans="1:9" ht="24.9" customHeight="1">
      <c r="A21" s="41"/>
      <c r="B21" s="39"/>
      <c r="C21" s="20" t="s">
        <v>16</v>
      </c>
      <c r="D21" s="21" t="n">
        <f>833637.0</f>
        <v>833637.0</v>
      </c>
      <c r="E21" s="22" t="n">
        <f>50687.0</f>
        <v>50687.0</v>
      </c>
      <c r="F21" s="23" t="n">
        <f>0.955</f>
        <v>0.955</v>
      </c>
      <c r="G21" s="21" t="n">
        <f>9255554279530.0</f>
        <v>9.25555427953E12</v>
      </c>
      <c r="H21" s="22" t="n">
        <f>1079416822980.0</f>
        <v>1.07941682298E12</v>
      </c>
      <c r="I21" s="23" t="n">
        <f>0.805</f>
        <v>0.805</v>
      </c>
    </row>
    <row r="22" spans="1:9" ht="24.9" customHeight="1">
      <c r="A22" s="41"/>
      <c r="B22" s="39"/>
      <c r="C22" s="20" t="s">
        <v>17</v>
      </c>
      <c r="D22" s="21" t="n">
        <f>1127746.0</f>
        <v>1127746.0</v>
      </c>
      <c r="E22" s="22" t="n">
        <f>361579.0</f>
        <v>361579.0</v>
      </c>
      <c r="F22" s="23" t="n">
        <f>0.961</f>
        <v>0.961</v>
      </c>
      <c r="G22" s="21" t="n">
        <f>19671920244482.0</f>
        <v>1.9671920244482E13</v>
      </c>
      <c r="H22" s="22" t="n">
        <f>10710312342882.0</f>
        <v>1.0710312342882E13</v>
      </c>
      <c r="I22" s="23" t="n">
        <f>0.851</f>
        <v>0.851</v>
      </c>
    </row>
    <row r="23" spans="1:9" ht="24.9" customHeight="1">
      <c r="A23" s="41"/>
      <c r="B23" s="39"/>
      <c r="C23" s="24" t="s">
        <v>18</v>
      </c>
      <c r="D23" s="25" t="n">
        <f>3312743.0</f>
        <v>3312743.0</v>
      </c>
      <c r="E23" s="26" t="n">
        <f>483144.0</f>
        <v>483144.0</v>
      </c>
      <c r="F23" s="27" t="n">
        <f>0.963</f>
        <v>0.963</v>
      </c>
      <c r="G23" s="25" t="n">
        <f>36055829254342.0</f>
        <v>3.6055829254342E13</v>
      </c>
      <c r="H23" s="26" t="n">
        <f>12343217492292.0</f>
        <v>1.2343217492292E13</v>
      </c>
      <c r="I23" s="27" t="n">
        <f>0.819</f>
        <v>0.819</v>
      </c>
    </row>
    <row r="24" spans="1:9" ht="24.9" customHeight="1">
      <c r="A24" s="41"/>
      <c r="B24" s="39" t="s">
        <v>22</v>
      </c>
      <c r="C24" s="16" t="s">
        <v>15</v>
      </c>
      <c r="D24" s="17" t="n">
        <f>21996.0</f>
        <v>21996.0</v>
      </c>
      <c r="E24" s="18" t="n">
        <f>0.0</f>
        <v>0.0</v>
      </c>
      <c r="F24" s="19" t="n">
        <f>0.016</f>
        <v>0.016</v>
      </c>
      <c r="G24" s="17" t="n">
        <f>223016047150.0</f>
        <v>2.2301604715E11</v>
      </c>
      <c r="H24" s="18" t="n">
        <f>0.0</f>
        <v>0.0</v>
      </c>
      <c r="I24" s="19" t="n">
        <f>0.024</f>
        <v>0.024</v>
      </c>
    </row>
    <row r="25" spans="1:9" ht="24.9" customHeight="1">
      <c r="A25" s="41"/>
      <c r="B25" s="39"/>
      <c r="C25" s="20" t="s">
        <v>16</v>
      </c>
      <c r="D25" s="21" t="n">
        <f>10434.0</f>
        <v>10434.0</v>
      </c>
      <c r="E25" s="22" t="n">
        <f>10.0</f>
        <v>10.0</v>
      </c>
      <c r="F25" s="23" t="n">
        <f>0.012</f>
        <v>0.012</v>
      </c>
      <c r="G25" s="21" t="n">
        <f>111710633250.0</f>
        <v>1.1171063325E11</v>
      </c>
      <c r="H25" s="22" t="n">
        <f>33102500.0</f>
        <v>3.31025E7</v>
      </c>
      <c r="I25" s="23" t="n">
        <f>0.01</f>
        <v>0.01</v>
      </c>
    </row>
    <row r="26" spans="1:9" ht="24.9" customHeight="1">
      <c r="A26" s="41"/>
      <c r="B26" s="39"/>
      <c r="C26" s="20" t="s">
        <v>17</v>
      </c>
      <c r="D26" s="21" t="n">
        <f>14502.0</f>
        <v>14502.0</v>
      </c>
      <c r="E26" s="22" t="n">
        <f>1.0</f>
        <v>1.0</v>
      </c>
      <c r="F26" s="23" t="n">
        <f>0.012</f>
        <v>0.012</v>
      </c>
      <c r="G26" s="21" t="n">
        <f>135585461600.0</f>
        <v>1.355854616E11</v>
      </c>
      <c r="H26" s="22" t="n">
        <f>4472500.0</f>
        <v>4472500.0</v>
      </c>
      <c r="I26" s="23" t="n">
        <f>0.006</f>
        <v>0.006</v>
      </c>
    </row>
    <row r="27" spans="1:9" ht="24.9" customHeight="1">
      <c r="A27" s="42"/>
      <c r="B27" s="39"/>
      <c r="C27" s="24" t="s">
        <v>18</v>
      </c>
      <c r="D27" s="25" t="n">
        <f>46932.0</f>
        <v>46932.0</v>
      </c>
      <c r="E27" s="26" t="n">
        <f>11.0</f>
        <v>11.0</v>
      </c>
      <c r="F27" s="27" t="n">
        <f>0.014</f>
        <v>0.014</v>
      </c>
      <c r="G27" s="25" t="n">
        <f>470312142000.0</f>
        <v>4.70312142E11</v>
      </c>
      <c r="H27" s="26" t="n">
        <f>37575000.0</f>
        <v>3.7575E7</v>
      </c>
      <c r="I27" s="27" t="n">
        <f>0.011</f>
        <v>0.011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964.0</f>
        <v>964.0</v>
      </c>
      <c r="E28" s="18" t="n">
        <f>0.0</f>
        <v>0.0</v>
      </c>
      <c r="F28" s="19" t="n">
        <f>0.001</f>
        <v>0.001</v>
      </c>
      <c r="G28" s="17" t="n">
        <f>3922219500.0</f>
        <v>3.9222195E9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220.0</f>
        <v>220.0</v>
      </c>
      <c r="E29" s="22" t="n">
        <f>0.0</f>
        <v>0.0</v>
      </c>
      <c r="F29" s="23" t="n">
        <f>0.0</f>
        <v>0.0</v>
      </c>
      <c r="G29" s="21" t="n">
        <f>911398500.0</f>
        <v>9.113985E8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3774.0</f>
        <v>3774.0</v>
      </c>
      <c r="E30" s="22" t="n">
        <f>8.0</f>
        <v>8.0</v>
      </c>
      <c r="F30" s="23" t="n">
        <f>0.003</f>
        <v>0.003</v>
      </c>
      <c r="G30" s="21" t="n">
        <f>15892147500.0</f>
        <v>1.58921475E10</v>
      </c>
      <c r="H30" s="22" t="n">
        <f>33896000.0</f>
        <v>3.3896E7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4958.0</f>
        <v>4958.0</v>
      </c>
      <c r="E31" s="26" t="n">
        <f>8.0</f>
        <v>8.0</v>
      </c>
      <c r="F31" s="27" t="n">
        <f>0.001</f>
        <v>0.001</v>
      </c>
      <c r="G31" s="25" t="n">
        <f>20725765500.0</f>
        <v>2.07257655E10</v>
      </c>
      <c r="H31" s="26" t="n">
        <f>33896000.0</f>
        <v>3.3896E7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46181.0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46181.0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41430</f>
        <v>41430.0</v>
      </c>
      <c r="E11" s="18" t="n">
        <f>7274</f>
        <v>7274.0</v>
      </c>
      <c r="F11" s="19" t="n">
        <f>1</f>
        <v>1.0</v>
      </c>
      <c r="G11" s="17" t="n">
        <f>6053202568</f>
        <v>6.053202568E9</v>
      </c>
      <c r="H11" s="18" t="n">
        <f>1744254868</f>
        <v>1.744254868E9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69510</f>
        <v>69510.0</v>
      </c>
      <c r="E12" s="22" t="n">
        <f>11456</f>
        <v>11456.0</v>
      </c>
      <c r="F12" s="23" t="n">
        <f>1</f>
        <v>1.0</v>
      </c>
      <c r="G12" s="21" t="n">
        <f>11048629985</f>
        <v>1.1048629985E10</v>
      </c>
      <c r="H12" s="22" t="n">
        <f>5393919241</f>
        <v>5.393919241E9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68709</f>
        <v>68709.0</v>
      </c>
      <c r="E13" s="22" t="n">
        <f>26934</f>
        <v>26934.0</v>
      </c>
      <c r="F13" s="23" t="n">
        <f>1</f>
        <v>1.0</v>
      </c>
      <c r="G13" s="21" t="n">
        <f>32912649885</f>
        <v>3.2912649885E10</v>
      </c>
      <c r="H13" s="22" t="n">
        <f>28162461006</f>
        <v>2.8162461006E10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179649</f>
        <v>179649.0</v>
      </c>
      <c r="E14" s="26" t="n">
        <f>45664</f>
        <v>45664.0</v>
      </c>
      <c r="F14" s="27" t="n">
        <f>1</f>
        <v>1.0</v>
      </c>
      <c r="G14" s="25" t="n">
        <f>50014482438</f>
        <v>5.0014482438E10</v>
      </c>
      <c r="H14" s="26" t="n">
        <f>35300635115</f>
        <v>3.5300635115E10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</f>
        <v>1.0</v>
      </c>
      <c r="E15" s="18" t="n">
        <f>0</f>
        <v>0.0</v>
      </c>
      <c r="F15" s="19" t="n">
        <f>0</f>
        <v>0.0</v>
      </c>
      <c r="G15" s="17" t="n">
        <f>270000</f>
        <v>270000.0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77</f>
        <v>77.0</v>
      </c>
      <c r="E16" s="22" t="n">
        <f>0</f>
        <v>0.0</v>
      </c>
      <c r="F16" s="23" t="n">
        <f>0.001</f>
        <v>0.001</v>
      </c>
      <c r="G16" s="21" t="n">
        <f>19770000</f>
        <v>1.977E7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211</f>
        <v>211.0</v>
      </c>
      <c r="E17" s="22" t="n">
        <f>200</f>
        <v>200.0</v>
      </c>
      <c r="F17" s="23" t="n">
        <f>0.003</f>
        <v>0.003</v>
      </c>
      <c r="G17" s="21" t="n">
        <f>33000000</f>
        <v>3.3E7</v>
      </c>
      <c r="H17" s="22" t="n">
        <f>30500000</f>
        <v>3.05E7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289</f>
        <v>289.0</v>
      </c>
      <c r="E18" s="26" t="n">
        <f>200</f>
        <v>200.0</v>
      </c>
      <c r="F18" s="27" t="n">
        <f>0.002</f>
        <v>0.002</v>
      </c>
      <c r="G18" s="25" t="n">
        <f>53040000</f>
        <v>5.304E7</v>
      </c>
      <c r="H18" s="26" t="n">
        <f>30500000</f>
        <v>3.05E7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41429</f>
        <v>41429.0</v>
      </c>
      <c r="E19" s="18" t="n">
        <f>7274</f>
        <v>7274.0</v>
      </c>
      <c r="F19" s="19" t="n">
        <f>1</f>
        <v>1.0</v>
      </c>
      <c r="G19" s="17" t="n">
        <f>6052932568</f>
        <v>6.052932568E9</v>
      </c>
      <c r="H19" s="18" t="n">
        <f>1744254868</f>
        <v>1.744254868E9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43756</f>
        <v>43756.0</v>
      </c>
      <c r="E20" s="22" t="n">
        <f>11456</f>
        <v>11456.0</v>
      </c>
      <c r="F20" s="23" t="n">
        <f>0.629</f>
        <v>0.629</v>
      </c>
      <c r="G20" s="21" t="n">
        <f>10999078641</f>
        <v>1.0999078641E10</v>
      </c>
      <c r="H20" s="22" t="n">
        <f>5393919241</f>
        <v>5.393919241E9</v>
      </c>
      <c r="I20" s="23" t="n">
        <f>0.996</f>
        <v>0.996</v>
      </c>
    </row>
    <row r="21" spans="1:9" ht="24.9" customHeight="1">
      <c r="A21" s="41"/>
      <c r="B21" s="39"/>
      <c r="C21" s="20" t="s">
        <v>17</v>
      </c>
      <c r="D21" s="21" t="n">
        <f>61460</f>
        <v>61460.0</v>
      </c>
      <c r="E21" s="22" t="n">
        <f>24814</f>
        <v>24814.0</v>
      </c>
      <c r="F21" s="23" t="n">
        <f>0.894</f>
        <v>0.894</v>
      </c>
      <c r="G21" s="21" t="n">
        <f>32782165706</f>
        <v>3.2782165706E10</v>
      </c>
      <c r="H21" s="22" t="n">
        <f>28058770606</f>
        <v>2.8058770606E10</v>
      </c>
      <c r="I21" s="23" t="n">
        <f>0.996</f>
        <v>0.996</v>
      </c>
    </row>
    <row r="22" spans="1:9" ht="24.9" customHeight="1">
      <c r="A22" s="41"/>
      <c r="B22" s="39"/>
      <c r="C22" s="24" t="s">
        <v>18</v>
      </c>
      <c r="D22" s="25" t="n">
        <f>146645</f>
        <v>146645.0</v>
      </c>
      <c r="E22" s="26" t="n">
        <f>43544</f>
        <v>43544.0</v>
      </c>
      <c r="F22" s="27" t="n">
        <f>0.816</f>
        <v>0.816</v>
      </c>
      <c r="G22" s="25" t="n">
        <f>49834176915</f>
        <v>4.9834176915E10</v>
      </c>
      <c r="H22" s="26" t="n">
        <f>35196944715</f>
        <v>3.5196944715E10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25677</f>
        <v>25677.0</v>
      </c>
      <c r="E24" s="22" t="n">
        <f>0</f>
        <v>0.0</v>
      </c>
      <c r="F24" s="23" t="n">
        <f>0.369</f>
        <v>0.369</v>
      </c>
      <c r="G24" s="21" t="n">
        <f>29781344</f>
        <v>2.9781344E7</v>
      </c>
      <c r="H24" s="22" t="n">
        <f>0</f>
        <v>0.0</v>
      </c>
      <c r="I24" s="23" t="n">
        <f>0.003</f>
        <v>0.003</v>
      </c>
    </row>
    <row r="25" spans="1:9" ht="24.9" customHeight="1">
      <c r="A25" s="41"/>
      <c r="B25" s="39"/>
      <c r="C25" s="20" t="s">
        <v>17</v>
      </c>
      <c r="D25" s="21" t="n">
        <f>7038</f>
        <v>7038.0</v>
      </c>
      <c r="E25" s="22" t="n">
        <f>1920</f>
        <v>1920.0</v>
      </c>
      <c r="F25" s="23" t="n">
        <f>0.102</f>
        <v>0.102</v>
      </c>
      <c r="G25" s="21" t="n">
        <f>97484179</f>
        <v>9.7484179E7</v>
      </c>
      <c r="H25" s="22" t="n">
        <f>73190400</f>
        <v>7.31904E7</v>
      </c>
      <c r="I25" s="23" t="n">
        <f>0.003</f>
        <v>0.003</v>
      </c>
    </row>
    <row r="26" spans="1:9" ht="24.9" customHeight="1">
      <c r="A26" s="41"/>
      <c r="B26" s="39"/>
      <c r="C26" s="24" t="s">
        <v>18</v>
      </c>
      <c r="D26" s="25" t="n">
        <f>32715</f>
        <v>32715.0</v>
      </c>
      <c r="E26" s="26" t="n">
        <f>1920</f>
        <v>1920.0</v>
      </c>
      <c r="F26" s="27" t="n">
        <f>0.182</f>
        <v>0.182</v>
      </c>
      <c r="G26" s="25" t="n">
        <f>127265523</f>
        <v>1.27265523E8</v>
      </c>
      <c r="H26" s="26" t="n">
        <f>73190400</f>
        <v>7.31904E7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46181.0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46181.0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27081.0</v>
      </c>
      <c r="F12" s="18" t="n">
        <f>1521</f>
        <v>1521.0</v>
      </c>
      <c r="G12" s="17" t="n">
        <v>1.7773299818E12</v>
      </c>
      <c r="H12" s="18" t="n">
        <f>100581230800</f>
        <v>1.005812308E11</v>
      </c>
    </row>
    <row r="13" spans="1:8" ht="24.9" customHeight="1">
      <c r="A13" s="51"/>
      <c r="B13" s="57"/>
      <c r="C13" s="39"/>
      <c r="D13" s="20" t="s">
        <v>16</v>
      </c>
      <c r="E13" s="21" t="n">
        <v>50044.0</v>
      </c>
      <c r="F13" s="22" t="n">
        <f>10636</f>
        <v>10636.0</v>
      </c>
      <c r="G13" s="21" t="n">
        <v>3.2079730296E12</v>
      </c>
      <c r="H13" s="22" t="n">
        <f>683404341600</f>
        <v>6.834043416E11</v>
      </c>
    </row>
    <row r="14" spans="1:8" ht="24.9" customHeight="1">
      <c r="A14" s="51"/>
      <c r="B14" s="57"/>
      <c r="C14" s="39"/>
      <c r="D14" s="20" t="s">
        <v>17</v>
      </c>
      <c r="E14" s="21" t="n">
        <v>80023.0</v>
      </c>
      <c r="F14" s="22" t="n">
        <f>34894</f>
        <v>34894.0</v>
      </c>
      <c r="G14" s="21" t="n">
        <v>5.121239715725E12</v>
      </c>
      <c r="H14" s="22" t="n">
        <f>2234421160725</f>
        <v>2.234421160725E12</v>
      </c>
    </row>
    <row r="15" spans="1:8" ht="24.9" customHeight="1">
      <c r="A15" s="51"/>
      <c r="B15" s="57"/>
      <c r="C15" s="39"/>
      <c r="D15" s="24" t="s">
        <v>18</v>
      </c>
      <c r="E15" s="25" t="n">
        <v>157148.0</v>
      </c>
      <c r="F15" s="26" t="n">
        <f>47051</f>
        <v>47051.0</v>
      </c>
      <c r="G15" s="25" t="n">
        <v>1.0106542727125E13</v>
      </c>
      <c r="H15" s="26" t="n">
        <f>3018406733125</f>
        <v>3.018406733125E12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504630.0</v>
      </c>
      <c r="F16" s="18" t="n">
        <f>67856</f>
        <v>67856.0</v>
      </c>
      <c r="G16" s="17" t="n">
        <v>3.31121327218E12</v>
      </c>
      <c r="H16" s="18" t="n">
        <f>445270078980</f>
        <v>4.4527007898E11</v>
      </c>
    </row>
    <row r="17" spans="1:8" ht="24.9" customHeight="1">
      <c r="A17" s="51"/>
      <c r="B17" s="57"/>
      <c r="C17" s="39"/>
      <c r="D17" s="20" t="s">
        <v>16</v>
      </c>
      <c r="E17" s="21" t="n">
        <v>312808.0</v>
      </c>
      <c r="F17" s="22" t="n">
        <f>25734</f>
        <v>25734.0</v>
      </c>
      <c r="G17" s="21" t="n">
        <v>2.00298983193E12</v>
      </c>
      <c r="H17" s="22" t="n">
        <f>164819719530</f>
        <v>1.6481971953E11</v>
      </c>
    </row>
    <row r="18" spans="1:8" ht="24.9" customHeight="1">
      <c r="A18" s="51"/>
      <c r="B18" s="57"/>
      <c r="C18" s="39"/>
      <c r="D18" s="20" t="s">
        <v>17</v>
      </c>
      <c r="E18" s="21" t="n">
        <v>354147.0</v>
      </c>
      <c r="F18" s="22" t="n">
        <f>75171</f>
        <v>75171.0</v>
      </c>
      <c r="G18" s="21" t="n">
        <v>2.265176528653E12</v>
      </c>
      <c r="H18" s="22" t="n">
        <f>481111370953</f>
        <v>4.81111370953E11</v>
      </c>
    </row>
    <row r="19" spans="1:8" ht="24.9" customHeight="1">
      <c r="A19" s="51"/>
      <c r="B19" s="57"/>
      <c r="C19" s="39"/>
      <c r="D19" s="24" t="s">
        <v>18</v>
      </c>
      <c r="E19" s="25" t="n">
        <v>1171585.0</v>
      </c>
      <c r="F19" s="26" t="n">
        <f>168761</f>
        <v>168761.0</v>
      </c>
      <c r="G19" s="25" t="n">
        <v>7.579379632763E12</v>
      </c>
      <c r="H19" s="26" t="n">
        <f>1091201169463</f>
        <v>1.091201169463E12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767049.0</v>
      </c>
      <c r="F20" s="18" t="str">
        <f>"－"</f>
        <v>－</v>
      </c>
      <c r="G20" s="17" t="n">
        <v>5.029732448E11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339556.0</v>
      </c>
      <c r="F21" s="22" t="str">
        <f>"－"</f>
        <v>－</v>
      </c>
      <c r="G21" s="21" t="n">
        <v>2.1745730495E11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301114.0</v>
      </c>
      <c r="F22" s="22" t="str">
        <f>"－"</f>
        <v>－</v>
      </c>
      <c r="G22" s="21" t="n">
        <v>1.9257478905E11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1407719.0</v>
      </c>
      <c r="F23" s="26" t="str">
        <f>"－"</f>
        <v>－</v>
      </c>
      <c r="G23" s="25" t="n">
        <v>9.130053388E11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37878.0</v>
      </c>
      <c r="F24" s="18" t="n">
        <f>109</f>
        <v>109.0</v>
      </c>
      <c r="G24" s="17" t="n">
        <v>1.4884029029E12</v>
      </c>
      <c r="H24" s="18" t="n">
        <f>4291018900</f>
        <v>4.2910189E9</v>
      </c>
    </row>
    <row r="25" spans="1:8" ht="24.9" customHeight="1">
      <c r="A25" s="51"/>
      <c r="B25" s="57"/>
      <c r="C25" s="39"/>
      <c r="D25" s="20" t="s">
        <v>16</v>
      </c>
      <c r="E25" s="21" t="n">
        <v>96122.0</v>
      </c>
      <c r="F25" s="22" t="n">
        <f>4891</f>
        <v>4891.0</v>
      </c>
      <c r="G25" s="21" t="n">
        <v>3.7078873725E12</v>
      </c>
      <c r="H25" s="22" t="n">
        <f>189338459500</f>
        <v>1.893384595E11</v>
      </c>
    </row>
    <row r="26" spans="1:8" ht="24.9" customHeight="1">
      <c r="A26" s="51"/>
      <c r="B26" s="57"/>
      <c r="C26" s="39"/>
      <c r="D26" s="20" t="s">
        <v>17</v>
      </c>
      <c r="E26" s="21" t="n">
        <v>308338.0</v>
      </c>
      <c r="F26" s="22" t="n">
        <f>204422</f>
        <v>204422.0</v>
      </c>
      <c r="G26" s="21" t="n">
        <v>1.1884622637544E13</v>
      </c>
      <c r="H26" s="22" t="n">
        <f>7888844850544</f>
        <v>7.888844850544E12</v>
      </c>
    </row>
    <row r="27" spans="1:8" ht="24.9" customHeight="1">
      <c r="A27" s="51"/>
      <c r="B27" s="57"/>
      <c r="C27" s="39"/>
      <c r="D27" s="24" t="s">
        <v>18</v>
      </c>
      <c r="E27" s="25" t="n">
        <v>442338.0</v>
      </c>
      <c r="F27" s="26" t="n">
        <f>209422</f>
        <v>209422.0</v>
      </c>
      <c r="G27" s="25" t="n">
        <v>1.7080912912944E13</v>
      </c>
      <c r="H27" s="26" t="n">
        <f>8082474328944</f>
        <v>8.082474328944E12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10390.0</v>
      </c>
      <c r="F28" s="18" t="n">
        <f>713</f>
        <v>713.0</v>
      </c>
      <c r="G28" s="17" t="n">
        <v>4.090036815E10</v>
      </c>
      <c r="H28" s="18" t="n">
        <f>2803752850</f>
        <v>2.80375285E9</v>
      </c>
    </row>
    <row r="29" spans="1:8" ht="24.9" customHeight="1">
      <c r="A29" s="51"/>
      <c r="B29" s="57"/>
      <c r="C29" s="39"/>
      <c r="D29" s="20" t="s">
        <v>16</v>
      </c>
      <c r="E29" s="21" t="n">
        <v>17303.0</v>
      </c>
      <c r="F29" s="22" t="n">
        <f>1450</f>
        <v>1450.0</v>
      </c>
      <c r="G29" s="21" t="n">
        <v>6.669815065E10</v>
      </c>
      <c r="H29" s="22" t="n">
        <f>5624750450</f>
        <v>5.62475045E9</v>
      </c>
    </row>
    <row r="30" spans="1:8" ht="24.9" customHeight="1">
      <c r="A30" s="51"/>
      <c r="B30" s="57"/>
      <c r="C30" s="39"/>
      <c r="D30" s="20" t="s">
        <v>17</v>
      </c>
      <c r="E30" s="21" t="n">
        <v>25773.0</v>
      </c>
      <c r="F30" s="22" t="n">
        <f>10361</f>
        <v>10361.0</v>
      </c>
      <c r="G30" s="21" t="n">
        <v>9.938740353E10</v>
      </c>
      <c r="H30" s="22" t="n">
        <f>40131579780</f>
        <v>4.013157978E10</v>
      </c>
    </row>
    <row r="31" spans="1:8" ht="24.9" customHeight="1">
      <c r="A31" s="51"/>
      <c r="B31" s="57"/>
      <c r="C31" s="39"/>
      <c r="D31" s="24" t="s">
        <v>18</v>
      </c>
      <c r="E31" s="25" t="n">
        <v>53466.0</v>
      </c>
      <c r="F31" s="26" t="n">
        <f>12524</f>
        <v>12524.0</v>
      </c>
      <c r="G31" s="25" t="n">
        <v>2.0698592233E11</v>
      </c>
      <c r="H31" s="26" t="n">
        <f>48560083080</f>
        <v>4.856008308E10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644.0</v>
      </c>
      <c r="F36" s="18" t="n">
        <f>1</f>
        <v>1.0</v>
      </c>
      <c r="G36" s="17" t="n">
        <v>2.2818445E9</v>
      </c>
      <c r="H36" s="18" t="n">
        <f>3579000</f>
        <v>3579000.0</v>
      </c>
    </row>
    <row r="37" spans="1:8" ht="24.9" customHeight="1">
      <c r="A37" s="51"/>
      <c r="B37" s="57"/>
      <c r="C37" s="39"/>
      <c r="D37" s="20" t="s">
        <v>16</v>
      </c>
      <c r="E37" s="21" t="n">
        <v>2247.0</v>
      </c>
      <c r="F37" s="22" t="n">
        <f>0</f>
        <v>0.0</v>
      </c>
      <c r="G37" s="21" t="n">
        <v>7.8259744E9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8966.0</v>
      </c>
      <c r="F38" s="22" t="n">
        <f>2481</f>
        <v>2481.0</v>
      </c>
      <c r="G38" s="21" t="n">
        <v>3.089689716E10</v>
      </c>
      <c r="H38" s="22" t="n">
        <f>8646455160</f>
        <v>8.64645516E9</v>
      </c>
    </row>
    <row r="39" spans="1:8" ht="24.9" customHeight="1">
      <c r="A39" s="51"/>
      <c r="B39" s="57"/>
      <c r="C39" s="39"/>
      <c r="D39" s="24" t="s">
        <v>18</v>
      </c>
      <c r="E39" s="25" t="n">
        <v>11857.0</v>
      </c>
      <c r="F39" s="26" t="n">
        <f>2482</f>
        <v>2482.0</v>
      </c>
      <c r="G39" s="25" t="n">
        <v>4.100471606E10</v>
      </c>
      <c r="H39" s="26" t="n">
        <f>8650034160</f>
        <v>8.65003416E9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4636.0</v>
      </c>
      <c r="F45" s="22" t="n">
        <f>4636</f>
        <v>4636.0</v>
      </c>
      <c r="G45" s="21" t="n">
        <v>3.0467792E10</v>
      </c>
      <c r="H45" s="22" t="n">
        <f>30467792000</f>
        <v>3.0467792E10</v>
      </c>
    </row>
    <row r="46" spans="1:8" ht="24.9" customHeight="1">
      <c r="A46" s="51"/>
      <c r="B46" s="57"/>
      <c r="C46" s="39"/>
      <c r="D46" s="20" t="s">
        <v>17</v>
      </c>
      <c r="E46" s="21" t="n">
        <v>56.0</v>
      </c>
      <c r="F46" s="22" t="n">
        <f>56</f>
        <v>56.0</v>
      </c>
      <c r="G46" s="21" t="n">
        <v>3.6867712E8</v>
      </c>
      <c r="H46" s="22" t="n">
        <f>368677120</f>
        <v>3.6867712E8</v>
      </c>
    </row>
    <row r="47" spans="1:8" ht="24.9" customHeight="1">
      <c r="A47" s="51"/>
      <c r="B47" s="57"/>
      <c r="C47" s="39"/>
      <c r="D47" s="24" t="s">
        <v>18</v>
      </c>
      <c r="E47" s="25" t="n">
        <v>4692.0</v>
      </c>
      <c r="F47" s="26" t="n">
        <f>4692</f>
        <v>4692.0</v>
      </c>
      <c r="G47" s="25" t="n">
        <v>3.083646912E10</v>
      </c>
      <c r="H47" s="26" t="n">
        <f>30836469120</f>
        <v>3.083646912E10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40.0</v>
      </c>
      <c r="F48" s="18" t="n">
        <f>22</f>
        <v>22.0</v>
      </c>
      <c r="G48" s="17" t="n">
        <v>6.9867E7</v>
      </c>
      <c r="H48" s="18" t="n">
        <f>38538000</f>
        <v>3.8538E7</v>
      </c>
    </row>
    <row r="49" spans="1:8" ht="24.9" customHeight="1">
      <c r="A49" s="51"/>
      <c r="B49" s="57"/>
      <c r="C49" s="39"/>
      <c r="D49" s="20" t="s">
        <v>16</v>
      </c>
      <c r="E49" s="21" t="n">
        <v>5799.0</v>
      </c>
      <c r="F49" s="22" t="n">
        <f>3242</f>
        <v>3242.0</v>
      </c>
      <c r="G49" s="21" t="n">
        <v>1.01118965E10</v>
      </c>
      <c r="H49" s="22" t="n">
        <f>5649987900</f>
        <v>5.6499879E9</v>
      </c>
    </row>
    <row r="50" spans="1:8" ht="24.9" customHeight="1">
      <c r="A50" s="51"/>
      <c r="B50" s="57"/>
      <c r="C50" s="39"/>
      <c r="D50" s="20" t="s">
        <v>17</v>
      </c>
      <c r="E50" s="21" t="n">
        <v>40250.0</v>
      </c>
      <c r="F50" s="22" t="n">
        <f>31178</f>
        <v>31178.0</v>
      </c>
      <c r="G50" s="21" t="n">
        <v>7.03946217E10</v>
      </c>
      <c r="H50" s="22" t="n">
        <f>54529491400</f>
        <v>5.45294914E10</v>
      </c>
    </row>
    <row r="51" spans="1:8" ht="24.9" customHeight="1">
      <c r="A51" s="51"/>
      <c r="B51" s="57"/>
      <c r="C51" s="39"/>
      <c r="D51" s="24" t="s">
        <v>18</v>
      </c>
      <c r="E51" s="25" t="n">
        <v>46089.0</v>
      </c>
      <c r="F51" s="26" t="n">
        <f>34442</f>
        <v>34442.0</v>
      </c>
      <c r="G51" s="25" t="n">
        <v>8.05763852E10</v>
      </c>
      <c r="H51" s="26" t="n">
        <f>60218017300</f>
        <v>6.02180173E10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2621.0</v>
      </c>
      <c r="F56" s="18" t="n">
        <f>656</f>
        <v>656.0</v>
      </c>
      <c r="G56" s="17" t="n">
        <v>1.9769929E9</v>
      </c>
      <c r="H56" s="18" t="n">
        <f>500127900</f>
        <v>5.001279E8</v>
      </c>
    </row>
    <row r="57" spans="1:8" ht="24.9" customHeight="1">
      <c r="A57" s="51"/>
      <c r="B57" s="57"/>
      <c r="C57" s="39"/>
      <c r="D57" s="20" t="s">
        <v>16</v>
      </c>
      <c r="E57" s="21" t="n">
        <v>4946.0</v>
      </c>
      <c r="F57" s="22" t="n">
        <f>89</f>
        <v>89.0</v>
      </c>
      <c r="G57" s="21" t="n">
        <v>3.6483349E9</v>
      </c>
      <c r="H57" s="22" t="n">
        <f>66025900</f>
        <v>6.60259E7</v>
      </c>
    </row>
    <row r="58" spans="1:8" ht="24.9" customHeight="1">
      <c r="A58" s="51"/>
      <c r="B58" s="57"/>
      <c r="C58" s="39"/>
      <c r="D58" s="20" t="s">
        <v>17</v>
      </c>
      <c r="E58" s="21" t="n">
        <v>8809.0</v>
      </c>
      <c r="F58" s="22" t="n">
        <f>3016</f>
        <v>3016.0</v>
      </c>
      <c r="G58" s="21" t="n">
        <v>6.5269432E9</v>
      </c>
      <c r="H58" s="22" t="n">
        <f>2258757200</f>
        <v>2.2587572E9</v>
      </c>
    </row>
    <row r="59" spans="1:8" ht="24.9" customHeight="1">
      <c r="A59" s="51"/>
      <c r="B59" s="57"/>
      <c r="C59" s="39"/>
      <c r="D59" s="24" t="s">
        <v>18</v>
      </c>
      <c r="E59" s="25" t="n">
        <v>16376.0</v>
      </c>
      <c r="F59" s="26" t="n">
        <f>3761</f>
        <v>3761.0</v>
      </c>
      <c r="G59" s="25" t="n">
        <v>1.2152271E10</v>
      </c>
      <c r="H59" s="26" t="n">
        <f>2824911000</f>
        <v>2.824911E9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423.0</v>
      </c>
      <c r="F60" s="18" t="n">
        <f>0</f>
        <v>0.0</v>
      </c>
      <c r="G60" s="17" t="n">
        <v>2.1699273E9</v>
      </c>
      <c r="H60" s="18" t="n">
        <f>0</f>
        <v>0.0</v>
      </c>
    </row>
    <row r="61" spans="1:8" ht="24.9" customHeight="1">
      <c r="A61" s="51"/>
      <c r="B61" s="57"/>
      <c r="C61" s="39"/>
      <c r="D61" s="20" t="s">
        <v>16</v>
      </c>
      <c r="E61" s="21" t="n">
        <v>57.0</v>
      </c>
      <c r="F61" s="22" t="n">
        <f>9</f>
        <v>9.0</v>
      </c>
      <c r="G61" s="21" t="n">
        <v>2.898792E8</v>
      </c>
      <c r="H61" s="22" t="n">
        <f>45746100</f>
        <v>4.57461E7</v>
      </c>
    </row>
    <row r="62" spans="1:8" ht="24.9" customHeight="1">
      <c r="A62" s="51"/>
      <c r="B62" s="57"/>
      <c r="C62" s="39"/>
      <c r="D62" s="20" t="s">
        <v>17</v>
      </c>
      <c r="E62" s="21" t="n">
        <v>84.0</v>
      </c>
      <c r="F62" s="22" t="n">
        <f>0</f>
        <v>0.0</v>
      </c>
      <c r="G62" s="21" t="n">
        <v>4.266111E8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564.0</v>
      </c>
      <c r="F63" s="26" t="n">
        <f>9</f>
        <v>9.0</v>
      </c>
      <c r="G63" s="25" t="n">
        <v>2.8864176E9</v>
      </c>
      <c r="H63" s="26" t="n">
        <f>45746100</f>
        <v>4.57461E7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11.0</v>
      </c>
      <c r="F77" s="22" t="n">
        <f>0</f>
        <v>0.0</v>
      </c>
      <c r="G77" s="21" t="n">
        <v>4251000.0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23.0</v>
      </c>
      <c r="F78" s="22" t="n">
        <f>0</f>
        <v>0.0</v>
      </c>
      <c r="G78" s="21" t="n">
        <v>8353500.0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34.0</v>
      </c>
      <c r="F79" s="26" t="n">
        <f>0</f>
        <v>0.0</v>
      </c>
      <c r="G79" s="25" t="n">
        <v>1.26045E7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371.0</v>
      </c>
      <c r="F92" s="18" t="n">
        <f>0</f>
        <v>0.0</v>
      </c>
      <c r="G92" s="17" t="n">
        <v>5.927738E8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4.0</v>
      </c>
      <c r="F93" s="22" t="n">
        <f>0</f>
        <v>0.0</v>
      </c>
      <c r="G93" s="21" t="n">
        <v>6408100.0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21.0</v>
      </c>
      <c r="F94" s="22" t="n">
        <f>0</f>
        <v>0.0</v>
      </c>
      <c r="G94" s="21" t="n">
        <v>3.36461E7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396.0</v>
      </c>
      <c r="F95" s="26" t="n">
        <f>0</f>
        <v>0.0</v>
      </c>
      <c r="G95" s="25" t="n">
        <v>6.32828E8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23.0</v>
      </c>
      <c r="F96" s="18" t="n">
        <f>0</f>
        <v>0.0</v>
      </c>
      <c r="G96" s="17" t="n">
        <v>5.4306E7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4.0</v>
      </c>
      <c r="F97" s="22" t="n">
        <f>0</f>
        <v>0.0</v>
      </c>
      <c r="G97" s="21" t="n">
        <v>9448800.0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2.0</v>
      </c>
      <c r="F98" s="22" t="n">
        <f>0</f>
        <v>0.0</v>
      </c>
      <c r="G98" s="21" t="n">
        <v>4725100.0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29.0</v>
      </c>
      <c r="F99" s="26" t="n">
        <f>0</f>
        <v>0.0</v>
      </c>
      <c r="G99" s="25" t="n">
        <v>6.84799E7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210.0</v>
      </c>
      <c r="F100" s="18" t="n">
        <f>0</f>
        <v>0.0</v>
      </c>
      <c r="G100" s="17" t="n">
        <v>3.89249E8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100.0</v>
      </c>
      <c r="F101" s="22" t="n">
        <f>0</f>
        <v>0.0</v>
      </c>
      <c r="G101" s="21" t="n">
        <v>1.84605E8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140.0</v>
      </c>
      <c r="F102" s="22" t="n">
        <f>0</f>
        <v>0.0</v>
      </c>
      <c r="G102" s="21" t="n">
        <v>2.58695E8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450.0</v>
      </c>
      <c r="F103" s="26" t="n">
        <f>0</f>
        <v>0.0</v>
      </c>
      <c r="G103" s="25" t="n">
        <v>8.32549E8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14920.0</v>
      </c>
      <c r="F108" s="18" t="n">
        <f>128</f>
        <v>128.0</v>
      </c>
      <c r="G108" s="17" t="n">
        <v>1.91926988E12</v>
      </c>
      <c r="H108" s="18" t="n">
        <f>16493870000</f>
        <v>1.649387E10</v>
      </c>
    </row>
    <row r="109" spans="1:8" ht="24.9" customHeight="1">
      <c r="A109" s="51"/>
      <c r="B109" s="57"/>
      <c r="C109" s="39"/>
      <c r="D109" s="20" t="s">
        <v>16</v>
      </c>
      <c r="E109" s="21" t="n">
        <v>15602.0</v>
      </c>
      <c r="F109" s="22" t="n">
        <f>1074</f>
        <v>1074.0</v>
      </c>
      <c r="G109" s="21" t="n">
        <v>2.00520392E12</v>
      </c>
      <c r="H109" s="22" t="n">
        <f>137743790000</f>
        <v>1.3774379E11</v>
      </c>
    </row>
    <row r="110" spans="1:8" ht="24.9" customHeight="1">
      <c r="A110" s="51"/>
      <c r="B110" s="57"/>
      <c r="C110" s="39"/>
      <c r="D110" s="20" t="s">
        <v>17</v>
      </c>
      <c r="E110" s="21" t="n">
        <v>25461.0</v>
      </c>
      <c r="F110" s="22" t="n">
        <f>4126</f>
        <v>4126.0</v>
      </c>
      <c r="G110" s="21" t="n">
        <v>3.2641835025E12</v>
      </c>
      <c r="H110" s="22" t="n">
        <f>528259152500</f>
        <v>5.282591525E11</v>
      </c>
    </row>
    <row r="111" spans="1:8" ht="24.9" customHeight="1">
      <c r="A111" s="51"/>
      <c r="B111" s="57"/>
      <c r="C111" s="39"/>
      <c r="D111" s="24" t="s">
        <v>18</v>
      </c>
      <c r="E111" s="25" t="n">
        <v>55983.0</v>
      </c>
      <c r="F111" s="26" t="n">
        <f>5328</f>
        <v>5328.0</v>
      </c>
      <c r="G111" s="25" t="n">
        <v>7.1886573025E12</v>
      </c>
      <c r="H111" s="26" t="n">
        <f>682496812500</f>
        <v>6.824968125E11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17.0</v>
      </c>
      <c r="F113" s="22" t="n">
        <f>0</f>
        <v>0.0</v>
      </c>
      <c r="G113" s="21" t="n">
        <v>2.19761E8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17.0</v>
      </c>
      <c r="F115" s="26" t="n">
        <f>0</f>
        <v>0.0</v>
      </c>
      <c r="G115" s="25" t="n">
        <v>2.19761E8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12568.0</v>
      </c>
      <c r="F117" s="22" t="n">
        <f>12568</f>
        <v>12568.0</v>
      </c>
      <c r="G117" s="21" t="n">
        <v>1.15778748E11</v>
      </c>
      <c r="H117" s="22" t="n">
        <f>115778748000</f>
        <v>1.15778748E11</v>
      </c>
    </row>
    <row r="118" spans="1:8" ht="24.9" customHeight="1">
      <c r="A118" s="51"/>
      <c r="B118" s="57"/>
      <c r="C118" s="39"/>
      <c r="D118" s="20" t="s">
        <v>17</v>
      </c>
      <c r="E118" s="21" t="n">
        <v>724.0</v>
      </c>
      <c r="F118" s="22" t="n">
        <f>722</f>
        <v>722.0</v>
      </c>
      <c r="G118" s="21" t="n">
        <v>6.66614E9</v>
      </c>
      <c r="H118" s="22" t="n">
        <f>6647736000</f>
        <v>6.647736E9</v>
      </c>
    </row>
    <row r="119" spans="1:8" ht="24.9" customHeight="1">
      <c r="A119" s="51"/>
      <c r="B119" s="58"/>
      <c r="C119" s="39"/>
      <c r="D119" s="24" t="s">
        <v>18</v>
      </c>
      <c r="E119" s="25" t="n">
        <v>13292.0</v>
      </c>
      <c r="F119" s="26" t="n">
        <f>13290</f>
        <v>13290.0</v>
      </c>
      <c r="G119" s="25" t="n">
        <v>1.22444888E11</v>
      </c>
      <c r="H119" s="26" t="n">
        <f>122426484000</f>
        <v>1.22426484E11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5981.0</v>
      </c>
      <c r="F120" s="18" t="n">
        <f>0</f>
        <v>0.0</v>
      </c>
      <c r="G120" s="17" t="n">
        <v>1.4808382E11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90.0</v>
      </c>
      <c r="F121" s="22" t="n">
        <f>0</f>
        <v>0.0</v>
      </c>
      <c r="G121" s="21" t="n">
        <v>2.225069375E9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1274.0</v>
      </c>
      <c r="F122" s="22" t="n">
        <f>0</f>
        <v>0.0</v>
      </c>
      <c r="G122" s="21" t="n">
        <v>3.1551486875E10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7345.0</v>
      </c>
      <c r="F123" s="26" t="n">
        <f>0</f>
        <v>0.0</v>
      </c>
      <c r="G123" s="25" t="n">
        <v>1.8186037625E11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8040.0</v>
      </c>
      <c r="F124" s="18" t="n">
        <f>0</f>
        <v>0.0</v>
      </c>
      <c r="G124" s="17" t="n">
        <v>1.8651044E11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4139.0</v>
      </c>
      <c r="F125" s="22" t="n">
        <f>0</f>
        <v>0.0</v>
      </c>
      <c r="G125" s="21" t="n">
        <v>9.4914731E10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4859.0</v>
      </c>
      <c r="F126" s="22" t="n">
        <f>0</f>
        <v>0.0</v>
      </c>
      <c r="G126" s="21" t="n">
        <v>1.10545431E11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17038.0</v>
      </c>
      <c r="F127" s="26" t="n">
        <f>0</f>
        <v>0.0</v>
      </c>
      <c r="G127" s="25" t="n">
        <v>3.91970602E11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140.0</v>
      </c>
      <c r="F128" s="18" t="n">
        <f>0</f>
        <v>0.0</v>
      </c>
      <c r="G128" s="17" t="n">
        <v>3.243696E8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207.0</v>
      </c>
      <c r="F129" s="22" t="n">
        <f>0</f>
        <v>0.0</v>
      </c>
      <c r="G129" s="21" t="n">
        <v>4.759559E8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280.0</v>
      </c>
      <c r="F130" s="22" t="n">
        <f>0</f>
        <v>0.0</v>
      </c>
      <c r="G130" s="21" t="n">
        <v>6.392047E8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627.0</v>
      </c>
      <c r="F131" s="26" t="n">
        <f>0</f>
        <v>0.0</v>
      </c>
      <c r="G131" s="25" t="n">
        <v>1.4395302E9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10480.0</v>
      </c>
      <c r="F132" s="18" t="n">
        <f>0</f>
        <v>0.0</v>
      </c>
      <c r="G132" s="17" t="n">
        <v>2.43711519E10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3298.0</v>
      </c>
      <c r="F133" s="22" t="n">
        <f>0</f>
        <v>0.0</v>
      </c>
      <c r="G133" s="21" t="n">
        <v>7.5784687E9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3422.0</v>
      </c>
      <c r="F134" s="22" t="n">
        <f>0</f>
        <v>0.0</v>
      </c>
      <c r="G134" s="21" t="n">
        <v>7.8037288E9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17200.0</v>
      </c>
      <c r="F135" s="26" t="n">
        <f>0</f>
        <v>0.0</v>
      </c>
      <c r="G135" s="25" t="n">
        <v>3.97533494E10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377.0</v>
      </c>
      <c r="F136" s="18" t="n">
        <f>0</f>
        <v>0.0</v>
      </c>
      <c r="G136" s="17" t="n">
        <v>8.658045E8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106.0</v>
      </c>
      <c r="F137" s="22" t="n">
        <f>0</f>
        <v>0.0</v>
      </c>
      <c r="G137" s="21" t="n">
        <v>2.422828E8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110.0</v>
      </c>
      <c r="F138" s="22" t="n">
        <f>0</f>
        <v>0.0</v>
      </c>
      <c r="G138" s="21" t="n">
        <v>2.488248E8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593.0</v>
      </c>
      <c r="F139" s="26" t="n">
        <f>0</f>
        <v>0.0</v>
      </c>
      <c r="G139" s="25" t="n">
        <v>1.3569121E9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1.05E7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1.0</v>
      </c>
      <c r="F142" s="22" t="n">
        <f>0</f>
        <v>0.0</v>
      </c>
      <c r="G142" s="21" t="n">
        <v>1.065E7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2.0</v>
      </c>
      <c r="F143" s="26" t="n">
        <f>0</f>
        <v>0.0</v>
      </c>
      <c r="G143" s="25" t="n">
        <v>2.115E7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2147.0</v>
      </c>
      <c r="F144" s="18" t="n">
        <f>0</f>
        <v>0.0</v>
      </c>
      <c r="G144" s="17" t="n">
        <v>9.998188E9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1614.0</v>
      </c>
      <c r="F145" s="22" t="n">
        <f>5</f>
        <v>5.0</v>
      </c>
      <c r="G145" s="21" t="n">
        <v>7.275312E9</v>
      </c>
      <c r="H145" s="22" t="n">
        <f>22697500</f>
        <v>2.26975E7</v>
      </c>
    </row>
    <row r="146" spans="1:8" ht="24.9" customHeight="1">
      <c r="A146" s="51"/>
      <c r="B146" s="57"/>
      <c r="C146" s="39"/>
      <c r="D146" s="20" t="s">
        <v>17</v>
      </c>
      <c r="E146" s="21" t="n">
        <v>2935.0</v>
      </c>
      <c r="F146" s="22" t="n">
        <f>1</f>
        <v>1.0</v>
      </c>
      <c r="G146" s="21" t="n">
        <v>1.3040595E10</v>
      </c>
      <c r="H146" s="22" t="n">
        <f>4472500</f>
        <v>4472500.0</v>
      </c>
    </row>
    <row r="147" spans="1:8" ht="24.9" customHeight="1">
      <c r="A147" s="51"/>
      <c r="B147" s="57"/>
      <c r="C147" s="39"/>
      <c r="D147" s="24" t="s">
        <v>18</v>
      </c>
      <c r="E147" s="25" t="n">
        <v>6696.0</v>
      </c>
      <c r="F147" s="26" t="n">
        <f>6</f>
        <v>6.0</v>
      </c>
      <c r="G147" s="25" t="n">
        <v>3.0314095E10</v>
      </c>
      <c r="H147" s="26" t="n">
        <f>27170000</f>
        <v>2.717E7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123.0</v>
      </c>
      <c r="F148" s="18" t="n">
        <f>0</f>
        <v>0.0</v>
      </c>
      <c r="G148" s="17" t="n">
        <v>1.170073E8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239.0</v>
      </c>
      <c r="F149" s="22" t="n">
        <f>0</f>
        <v>0.0</v>
      </c>
      <c r="G149" s="21" t="n">
        <v>2.203752E8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707.0</v>
      </c>
      <c r="F150" s="22" t="n">
        <f>0</f>
        <v>0.0</v>
      </c>
      <c r="G150" s="21" t="n">
        <v>6.40548E8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1069.0</v>
      </c>
      <c r="F151" s="26" t="n">
        <f>0</f>
        <v>0.0</v>
      </c>
      <c r="G151" s="25" t="n">
        <v>9.779305E8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358.0</v>
      </c>
      <c r="F152" s="18" t="n">
        <f>0</f>
        <v>0.0</v>
      </c>
      <c r="G152" s="17" t="n">
        <v>3.3734395E8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243.0</v>
      </c>
      <c r="F153" s="22" t="n">
        <f>0</f>
        <v>0.0</v>
      </c>
      <c r="G153" s="21" t="n">
        <v>2.2008225E8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292.0</v>
      </c>
      <c r="F154" s="22" t="n">
        <f>0</f>
        <v>0.0</v>
      </c>
      <c r="G154" s="21" t="n">
        <v>2.610326E8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893.0</v>
      </c>
      <c r="F155" s="26" t="n">
        <f>0</f>
        <v>0.0</v>
      </c>
      <c r="G155" s="25" t="n">
        <v>8.184588E8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183.0</v>
      </c>
      <c r="F156" s="18" t="n">
        <f>0</f>
        <v>0.0</v>
      </c>
      <c r="G156" s="17" t="n">
        <v>1.749019E8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395.0</v>
      </c>
      <c r="F157" s="22" t="n">
        <f>0</f>
        <v>0.0</v>
      </c>
      <c r="G157" s="21" t="n">
        <v>3.646134E8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1338.0</v>
      </c>
      <c r="F158" s="22" t="n">
        <f>0</f>
        <v>0.0</v>
      </c>
      <c r="G158" s="21" t="n">
        <v>1.2113002E9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1916.0</v>
      </c>
      <c r="F159" s="26" t="n">
        <f>0</f>
        <v>0.0</v>
      </c>
      <c r="G159" s="25" t="n">
        <v>1.7508155E9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148.0</v>
      </c>
      <c r="F168" s="18" t="n">
        <f>0</f>
        <v>0.0</v>
      </c>
      <c r="G168" s="17" t="n">
        <v>3.1684E8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192.0</v>
      </c>
      <c r="F169" s="22" t="n">
        <f>5</f>
        <v>5.0</v>
      </c>
      <c r="G169" s="21" t="n">
        <v>4.08312E8</v>
      </c>
      <c r="H169" s="22" t="n">
        <f>10405000</f>
        <v>1.0405E7</v>
      </c>
    </row>
    <row r="170" spans="1:8" ht="24.9" customHeight="1">
      <c r="A170" s="51"/>
      <c r="B170" s="57"/>
      <c r="C170" s="39"/>
      <c r="D170" s="20" t="s">
        <v>17</v>
      </c>
      <c r="E170" s="21" t="n">
        <v>554.0</v>
      </c>
      <c r="F170" s="22" t="n">
        <f>0</f>
        <v>0.0</v>
      </c>
      <c r="G170" s="21" t="n">
        <v>1.1770785E9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894.0</v>
      </c>
      <c r="F171" s="26" t="n">
        <f>5</f>
        <v>5.0</v>
      </c>
      <c r="G171" s="25" t="n">
        <v>1.9022305E9</v>
      </c>
      <c r="H171" s="26" t="n">
        <f>10405000</f>
        <v>1.0405E7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7068000.0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4.0</v>
      </c>
      <c r="F179" s="26" t="n">
        <f>0</f>
        <v>0.0</v>
      </c>
      <c r="G179" s="25" t="n">
        <v>7068000.0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964.0</v>
      </c>
      <c r="F204" s="18" t="n">
        <f>0</f>
        <v>0.0</v>
      </c>
      <c r="G204" s="17" t="n">
        <v>3.9222195E9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220.0</v>
      </c>
      <c r="F205" s="22" t="n">
        <f>0</f>
        <v>0.0</v>
      </c>
      <c r="G205" s="21" t="n">
        <v>9.113985E8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3774.0</v>
      </c>
      <c r="F206" s="22" t="n">
        <f>8</f>
        <v>8.0</v>
      </c>
      <c r="G206" s="21" t="n">
        <v>1.58921475E10</v>
      </c>
      <c r="H206" s="22" t="n">
        <f>33896000</f>
        <v>3.3896E7</v>
      </c>
    </row>
    <row r="207" spans="1:8" ht="24.9" customHeight="1">
      <c r="A207" s="57"/>
      <c r="B207" s="59"/>
      <c r="C207" s="39"/>
      <c r="D207" s="24" t="s">
        <v>18</v>
      </c>
      <c r="E207" s="25" t="n">
        <v>4958.0</v>
      </c>
      <c r="F207" s="26" t="n">
        <f>8</f>
        <v>8.0</v>
      </c>
      <c r="G207" s="25" t="n">
        <v>2.07257655E10</v>
      </c>
      <c r="H207" s="26" t="n">
        <f>33896000</f>
        <v>3.3896E7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46181.0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46181.0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9449</f>
        <v>9449.0</v>
      </c>
      <c r="E12" s="35" t="n">
        <f>3174</f>
        <v>3174.0</v>
      </c>
      <c r="F12" s="17" t="n">
        <f>6344</f>
        <v>6344.0</v>
      </c>
      <c r="G12" s="35" t="n">
        <f>1994</f>
        <v>1994.0</v>
      </c>
      <c r="H12" s="17" t="n">
        <f>15793</f>
        <v>15793.0</v>
      </c>
      <c r="I12" s="35" t="n">
        <f>5168</f>
        <v>5168.0</v>
      </c>
      <c r="J12" s="17" t="n">
        <f>2881830180</f>
        <v>2.88183018E9</v>
      </c>
      <c r="K12" s="35" t="n">
        <f>835359180</f>
        <v>8.3535918E8</v>
      </c>
      <c r="L12" s="17" t="n">
        <f>1328460480</f>
        <v>1.32846048E9</v>
      </c>
      <c r="M12" s="35" t="n">
        <f>399322480</f>
        <v>3.9932248E8</v>
      </c>
      <c r="N12" s="17" t="n">
        <f>4210290660</f>
        <v>4.21029066E9</v>
      </c>
      <c r="O12" s="35" t="n">
        <f>1234681660</f>
        <v>1.23468166E9</v>
      </c>
    </row>
    <row r="13" spans="1:15" ht="24.9" customHeight="1">
      <c r="A13" s="38"/>
      <c r="B13" s="62"/>
      <c r="C13" s="20" t="s">
        <v>16</v>
      </c>
      <c r="D13" s="21" t="n">
        <f>19577</f>
        <v>19577.0</v>
      </c>
      <c r="E13" s="36" t="n">
        <f>9083</f>
        <v>9083.0</v>
      </c>
      <c r="F13" s="21" t="n">
        <f>7390</f>
        <v>7390.0</v>
      </c>
      <c r="G13" s="36" t="n">
        <f>1883</f>
        <v>1883.0</v>
      </c>
      <c r="H13" s="21" t="n">
        <f>26967</f>
        <v>26967.0</v>
      </c>
      <c r="I13" s="36" t="n">
        <f>10966</f>
        <v>10966.0</v>
      </c>
      <c r="J13" s="21" t="n">
        <f>7625581911</f>
        <v>7.625581911E9</v>
      </c>
      <c r="K13" s="36" t="n">
        <f>4131462911</f>
        <v>4.131462911E9</v>
      </c>
      <c r="L13" s="21" t="n">
        <f>2584967140</f>
        <v>2.58496714E9</v>
      </c>
      <c r="M13" s="36" t="n">
        <f>1226900140</f>
        <v>1.22690014E9</v>
      </c>
      <c r="N13" s="21" t="n">
        <f>10210549051</f>
        <v>1.0210549051E10</v>
      </c>
      <c r="O13" s="36" t="n">
        <f>5358363051</f>
        <v>5.358363051E9</v>
      </c>
    </row>
    <row r="14" spans="1:15" ht="24.9" customHeight="1">
      <c r="A14" s="38"/>
      <c r="B14" s="62"/>
      <c r="C14" s="20" t="s">
        <v>17</v>
      </c>
      <c r="D14" s="21" t="n">
        <f>20175</f>
        <v>20175.0</v>
      </c>
      <c r="E14" s="36" t="n">
        <f>13449</f>
        <v>13449.0</v>
      </c>
      <c r="F14" s="21" t="n">
        <f>10944</f>
        <v>10944.0</v>
      </c>
      <c r="G14" s="36" t="n">
        <f>6890</f>
        <v>6890.0</v>
      </c>
      <c r="H14" s="21" t="n">
        <f>31119</f>
        <v>31119.0</v>
      </c>
      <c r="I14" s="36" t="n">
        <f>20339</f>
        <v>20339.0</v>
      </c>
      <c r="J14" s="21" t="n">
        <f>17830401566</f>
        <v>1.7830401566E10</v>
      </c>
      <c r="K14" s="36" t="n">
        <f>15298896566</f>
        <v>1.5298896566E10</v>
      </c>
      <c r="L14" s="21" t="n">
        <f>12749825420</f>
        <v>1.274982542E10</v>
      </c>
      <c r="M14" s="36" t="n">
        <f>11440354420</f>
        <v>1.144035442E10</v>
      </c>
      <c r="N14" s="21" t="n">
        <f>30580226986</f>
        <v>3.0580226986E10</v>
      </c>
      <c r="O14" s="36" t="n">
        <f>26739250986</f>
        <v>2.6739250986E10</v>
      </c>
    </row>
    <row r="15" spans="1:15" ht="24.9" customHeight="1">
      <c r="A15" s="38"/>
      <c r="B15" s="62"/>
      <c r="C15" s="24" t="s">
        <v>18</v>
      </c>
      <c r="D15" s="25" t="n">
        <f>49201</f>
        <v>49201.0</v>
      </c>
      <c r="E15" s="37" t="n">
        <f>25706</f>
        <v>25706.0</v>
      </c>
      <c r="F15" s="25" t="n">
        <f>24678</f>
        <v>24678.0</v>
      </c>
      <c r="G15" s="37" t="n">
        <f>10767</f>
        <v>10767.0</v>
      </c>
      <c r="H15" s="25" t="n">
        <f>73879</f>
        <v>73879.0</v>
      </c>
      <c r="I15" s="37" t="n">
        <f>36473</f>
        <v>36473.0</v>
      </c>
      <c r="J15" s="25" t="n">
        <f>28337813657</f>
        <v>2.8337813657E10</v>
      </c>
      <c r="K15" s="37" t="n">
        <f>20265718657</f>
        <v>2.0265718657E10</v>
      </c>
      <c r="L15" s="25" t="n">
        <f>16663253040</f>
        <v>1.666325304E10</v>
      </c>
      <c r="M15" s="37" t="n">
        <f>13066577040</f>
        <v>1.306657704E10</v>
      </c>
      <c r="N15" s="25" t="n">
        <f>45001066697</f>
        <v>4.5001066697E10</v>
      </c>
      <c r="O15" s="37" t="n">
        <f>33332295697</f>
        <v>3.3332295697E10</v>
      </c>
    </row>
    <row r="16" spans="1:15" ht="24.9" customHeight="1">
      <c r="A16" s="38"/>
      <c r="B16" s="61" t="s">
        <v>105</v>
      </c>
      <c r="C16" s="16" t="s">
        <v>15</v>
      </c>
      <c r="D16" s="17" t="n">
        <f>13219</f>
        <v>13219.0</v>
      </c>
      <c r="E16" s="35" t="n">
        <f>650</f>
        <v>650.0</v>
      </c>
      <c r="F16" s="17" t="n">
        <f>11471</f>
        <v>11471.0</v>
      </c>
      <c r="G16" s="35" t="n">
        <f>510</f>
        <v>510.0</v>
      </c>
      <c r="H16" s="17" t="n">
        <f>24690</f>
        <v>24690.0</v>
      </c>
      <c r="I16" s="35" t="n">
        <f>1160</f>
        <v>1160.0</v>
      </c>
      <c r="J16" s="17" t="n">
        <f>624981930</f>
        <v>6.2498193E8</v>
      </c>
      <c r="K16" s="35" t="n">
        <f>17943030</f>
        <v>1.794303E7</v>
      </c>
      <c r="L16" s="17" t="n">
        <f>740058550</f>
        <v>7.4005855E8</v>
      </c>
      <c r="M16" s="35" t="n">
        <f>14028750</f>
        <v>1.402875E7</v>
      </c>
      <c r="N16" s="17" t="n">
        <f>1365040480</f>
        <v>1.36504048E9</v>
      </c>
      <c r="O16" s="35" t="n">
        <f>31971780</f>
        <v>3.197178E7</v>
      </c>
    </row>
    <row r="17" spans="1:15" ht="24.9" customHeight="1">
      <c r="A17" s="38"/>
      <c r="B17" s="62"/>
      <c r="C17" s="20" t="s">
        <v>16</v>
      </c>
      <c r="D17" s="21" t="n">
        <f>9305</f>
        <v>9305.0</v>
      </c>
      <c r="E17" s="36" t="n">
        <f>290</f>
        <v>290.0</v>
      </c>
      <c r="F17" s="21" t="n">
        <f>7464</f>
        <v>7464.0</v>
      </c>
      <c r="G17" s="36" t="n">
        <f>180</f>
        <v>180.0</v>
      </c>
      <c r="H17" s="21" t="n">
        <f>16769</f>
        <v>16769.0</v>
      </c>
      <c r="I17" s="36" t="n">
        <f>470</f>
        <v>470.0</v>
      </c>
      <c r="J17" s="21" t="n">
        <f>469149570</f>
        <v>4.6914957E8</v>
      </c>
      <c r="K17" s="36" t="n">
        <f>7561370</f>
        <v>7561370.0</v>
      </c>
      <c r="L17" s="21" t="n">
        <f>296983780</f>
        <v>2.9698378E8</v>
      </c>
      <c r="M17" s="36" t="n">
        <f>5598580</f>
        <v>5598580.0</v>
      </c>
      <c r="N17" s="21" t="n">
        <f>766133350</f>
        <v>7.6613335E8</v>
      </c>
      <c r="O17" s="36" t="n">
        <f>13159950</f>
        <v>1.315995E7</v>
      </c>
    </row>
    <row r="18" spans="1:15" ht="24.9" customHeight="1">
      <c r="A18" s="38"/>
      <c r="B18" s="62"/>
      <c r="C18" s="20" t="s">
        <v>17</v>
      </c>
      <c r="D18" s="21" t="n">
        <f>22655</f>
        <v>22655.0</v>
      </c>
      <c r="E18" s="36" t="n">
        <f>2300</f>
        <v>2300.0</v>
      </c>
      <c r="F18" s="21" t="n">
        <f>5639</f>
        <v>5639.0</v>
      </c>
      <c r="G18" s="36" t="n">
        <f>130</f>
        <v>130.0</v>
      </c>
      <c r="H18" s="21" t="n">
        <f>28294</f>
        <v>28294.0</v>
      </c>
      <c r="I18" s="36" t="n">
        <f>2430</f>
        <v>2430.0</v>
      </c>
      <c r="J18" s="21" t="n">
        <f>675314220</f>
        <v>6.7531422E8</v>
      </c>
      <c r="K18" s="36" t="n">
        <f>54457520</f>
        <v>5.445752E7</v>
      </c>
      <c r="L18" s="21" t="n">
        <f>262969600</f>
        <v>2.629696E8</v>
      </c>
      <c r="M18" s="36" t="n">
        <f>1967200</f>
        <v>1967200.0</v>
      </c>
      <c r="N18" s="21" t="n">
        <f>938283820</f>
        <v>9.3828382E8</v>
      </c>
      <c r="O18" s="36" t="n">
        <f>56424720</f>
        <v>5.642472E7</v>
      </c>
    </row>
    <row r="19" spans="1:15" ht="24.9" customHeight="1">
      <c r="A19" s="38"/>
      <c r="B19" s="62"/>
      <c r="C19" s="24" t="s">
        <v>18</v>
      </c>
      <c r="D19" s="25" t="n">
        <f>45179</f>
        <v>45179.0</v>
      </c>
      <c r="E19" s="37" t="n">
        <f>3240</f>
        <v>3240.0</v>
      </c>
      <c r="F19" s="25" t="n">
        <f>24574</f>
        <v>24574.0</v>
      </c>
      <c r="G19" s="37" t="n">
        <f>820</f>
        <v>820.0</v>
      </c>
      <c r="H19" s="25" t="n">
        <f>69753</f>
        <v>69753.0</v>
      </c>
      <c r="I19" s="37" t="n">
        <f>4060</f>
        <v>4060.0</v>
      </c>
      <c r="J19" s="25" t="n">
        <f>1769445720</f>
        <v>1.76944572E9</v>
      </c>
      <c r="K19" s="37" t="n">
        <f>79961920</f>
        <v>7.996192E7</v>
      </c>
      <c r="L19" s="25" t="n">
        <f>1300011930</f>
        <v>1.30001193E9</v>
      </c>
      <c r="M19" s="37" t="n">
        <f>21594530</f>
        <v>2.159453E7</v>
      </c>
      <c r="N19" s="25" t="n">
        <f>3069457650</f>
        <v>3.06945765E9</v>
      </c>
      <c r="O19" s="37" t="n">
        <f>101556450</f>
        <v>1.0155645E8</v>
      </c>
    </row>
    <row r="20" spans="1:15" ht="24.9" customHeight="1">
      <c r="A20" s="38"/>
      <c r="B20" s="61" t="s">
        <v>106</v>
      </c>
      <c r="C20" s="16" t="s">
        <v>15</v>
      </c>
      <c r="D20" s="17" t="n">
        <f>946</f>
        <v>946.0</v>
      </c>
      <c r="E20" s="35" t="n">
        <f>946</f>
        <v>946.0</v>
      </c>
      <c r="F20" s="17" t="n">
        <f>0</f>
        <v>0.0</v>
      </c>
      <c r="G20" s="35" t="n">
        <f>0</f>
        <v>0.0</v>
      </c>
      <c r="H20" s="17" t="n">
        <f>946</f>
        <v>946.0</v>
      </c>
      <c r="I20" s="35" t="n">
        <f>946</f>
        <v>946.0</v>
      </c>
      <c r="J20" s="17" t="n">
        <f>477601428</f>
        <v>4.77601428E8</v>
      </c>
      <c r="K20" s="35" t="n">
        <f>477601428</f>
        <v>4.77601428E8</v>
      </c>
      <c r="L20" s="17" t="n">
        <f>0</f>
        <v>0.0</v>
      </c>
      <c r="M20" s="35" t="n">
        <f>0</f>
        <v>0.0</v>
      </c>
      <c r="N20" s="17" t="n">
        <f>477601428</f>
        <v>4.77601428E8</v>
      </c>
      <c r="O20" s="35" t="n">
        <f>477601428</f>
        <v>4.77601428E8</v>
      </c>
    </row>
    <row r="21" spans="1:15" ht="24.9" customHeight="1">
      <c r="A21" s="38"/>
      <c r="B21" s="62"/>
      <c r="C21" s="20" t="s">
        <v>16</v>
      </c>
      <c r="D21" s="21" t="n">
        <f>20</f>
        <v>20.0</v>
      </c>
      <c r="E21" s="36" t="n">
        <f>20</f>
        <v>20.0</v>
      </c>
      <c r="F21" s="21" t="n">
        <f>0</f>
        <v>0.0</v>
      </c>
      <c r="G21" s="36" t="n">
        <f>0</f>
        <v>0.0</v>
      </c>
      <c r="H21" s="21" t="n">
        <f>20</f>
        <v>20.0</v>
      </c>
      <c r="I21" s="36" t="n">
        <f>20</f>
        <v>20.0</v>
      </c>
      <c r="J21" s="21" t="n">
        <f>22396240</f>
        <v>2.239624E7</v>
      </c>
      <c r="K21" s="36" t="n">
        <f>22396240</f>
        <v>2.239624E7</v>
      </c>
      <c r="L21" s="21" t="n">
        <f>0</f>
        <v>0.0</v>
      </c>
      <c r="M21" s="36" t="n">
        <f>0</f>
        <v>0.0</v>
      </c>
      <c r="N21" s="21" t="n">
        <f>22396240</f>
        <v>2.239624E7</v>
      </c>
      <c r="O21" s="36" t="n">
        <f>22396240</f>
        <v>2.239624E7</v>
      </c>
    </row>
    <row r="22" spans="1:15" ht="24.9" customHeight="1">
      <c r="A22" s="38"/>
      <c r="B22" s="62"/>
      <c r="C22" s="20" t="s">
        <v>17</v>
      </c>
      <c r="D22" s="21" t="n">
        <f>1647</f>
        <v>1647.0</v>
      </c>
      <c r="E22" s="36" t="n">
        <f>1645</f>
        <v>1645.0</v>
      </c>
      <c r="F22" s="21" t="n">
        <f>400</f>
        <v>400.0</v>
      </c>
      <c r="G22" s="36" t="n">
        <f>400</f>
        <v>400.0</v>
      </c>
      <c r="H22" s="21" t="n">
        <f>2047</f>
        <v>2047.0</v>
      </c>
      <c r="I22" s="36" t="n">
        <f>2045</f>
        <v>2045.0</v>
      </c>
      <c r="J22" s="21" t="n">
        <f>691404900</f>
        <v>6.914049E8</v>
      </c>
      <c r="K22" s="36" t="n">
        <f>690844900</f>
        <v>6.908449E8</v>
      </c>
      <c r="L22" s="21" t="n">
        <f>572250000</f>
        <v>5.7225E8</v>
      </c>
      <c r="M22" s="36" t="n">
        <f>572250000</f>
        <v>5.7225E8</v>
      </c>
      <c r="N22" s="21" t="n">
        <f>1263654900</f>
        <v>1.2636549E9</v>
      </c>
      <c r="O22" s="36" t="n">
        <f>1263094900</f>
        <v>1.2630949E9</v>
      </c>
    </row>
    <row r="23" spans="1:15" ht="24.9" customHeight="1">
      <c r="A23" s="38"/>
      <c r="B23" s="62"/>
      <c r="C23" s="24" t="s">
        <v>18</v>
      </c>
      <c r="D23" s="25" t="n">
        <f>2613</f>
        <v>2613.0</v>
      </c>
      <c r="E23" s="37" t="n">
        <f>2611</f>
        <v>2611.0</v>
      </c>
      <c r="F23" s="25" t="n">
        <f>400</f>
        <v>400.0</v>
      </c>
      <c r="G23" s="37" t="n">
        <f>400</f>
        <v>400.0</v>
      </c>
      <c r="H23" s="25" t="n">
        <f>3013</f>
        <v>3013.0</v>
      </c>
      <c r="I23" s="37" t="n">
        <f>3011</f>
        <v>3011.0</v>
      </c>
      <c r="J23" s="25" t="n">
        <f>1191402568</f>
        <v>1.191402568E9</v>
      </c>
      <c r="K23" s="37" t="n">
        <f>1190842568</f>
        <v>1.190842568E9</v>
      </c>
      <c r="L23" s="25" t="n">
        <f>572250000</f>
        <v>5.7225E8</v>
      </c>
      <c r="M23" s="37" t="n">
        <f>572250000</f>
        <v>5.7225E8</v>
      </c>
      <c r="N23" s="25" t="n">
        <f>1763652568</f>
        <v>1.763652568E9</v>
      </c>
      <c r="O23" s="37" t="n">
        <f>1763092568</f>
        <v>1.763092568E9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</f>
        <v>1.0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1</f>
        <v>1.0</v>
      </c>
      <c r="I36" s="18" t="n">
        <f>0</f>
        <v>0.0</v>
      </c>
      <c r="J36" s="17" t="n">
        <f>270000</f>
        <v>270000.0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270000</f>
        <v>270000.0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17</f>
        <v>17.0</v>
      </c>
      <c r="E37" s="22" t="n">
        <f>0</f>
        <v>0.0</v>
      </c>
      <c r="F37" s="21" t="n">
        <f>60</f>
        <v>60.0</v>
      </c>
      <c r="G37" s="22" t="n">
        <f>0</f>
        <v>0.0</v>
      </c>
      <c r="H37" s="21" t="n">
        <f>77</f>
        <v>77.0</v>
      </c>
      <c r="I37" s="22" t="n">
        <f>0</f>
        <v>0.0</v>
      </c>
      <c r="J37" s="21" t="n">
        <f>2870000</f>
        <v>2870000.0</v>
      </c>
      <c r="K37" s="22" t="n">
        <f>0</f>
        <v>0.0</v>
      </c>
      <c r="L37" s="21" t="n">
        <f>16900000</f>
        <v>1.69E7</v>
      </c>
      <c r="M37" s="22" t="n">
        <f>0</f>
        <v>0.0</v>
      </c>
      <c r="N37" s="21" t="n">
        <f>19770000</f>
        <v>1.977E7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211</f>
        <v>211.0</v>
      </c>
      <c r="E38" s="36" t="n">
        <f>200</f>
        <v>200.0</v>
      </c>
      <c r="F38" s="21" t="n">
        <f>0</f>
        <v>0.0</v>
      </c>
      <c r="G38" s="36" t="n">
        <f>0</f>
        <v>0.0</v>
      </c>
      <c r="H38" s="21" t="n">
        <f>211</f>
        <v>211.0</v>
      </c>
      <c r="I38" s="36" t="n">
        <f>200</f>
        <v>200.0</v>
      </c>
      <c r="J38" s="21" t="n">
        <f>33000000</f>
        <v>3.3E7</v>
      </c>
      <c r="K38" s="36" t="n">
        <f>30500000</f>
        <v>3.05E7</v>
      </c>
      <c r="L38" s="21" t="n">
        <f>0</f>
        <v>0.0</v>
      </c>
      <c r="M38" s="36" t="n">
        <f>0</f>
        <v>0.0</v>
      </c>
      <c r="N38" s="21" t="n">
        <f>33000000</f>
        <v>3.3E7</v>
      </c>
      <c r="O38" s="36" t="n">
        <f>30500000</f>
        <v>3.05E7</v>
      </c>
    </row>
    <row r="39" spans="1:15" ht="24.9" customHeight="1">
      <c r="A39" s="38"/>
      <c r="B39" s="62"/>
      <c r="C39" s="24" t="s">
        <v>18</v>
      </c>
      <c r="D39" s="25" t="n">
        <f>229</f>
        <v>229.0</v>
      </c>
      <c r="E39" s="37" t="n">
        <f>200</f>
        <v>200.0</v>
      </c>
      <c r="F39" s="25" t="n">
        <f>60</f>
        <v>60.0</v>
      </c>
      <c r="G39" s="37" t="n">
        <f>0</f>
        <v>0.0</v>
      </c>
      <c r="H39" s="25" t="n">
        <f>289</f>
        <v>289.0</v>
      </c>
      <c r="I39" s="37" t="n">
        <f>200</f>
        <v>200.0</v>
      </c>
      <c r="J39" s="25" t="n">
        <f>36140000</f>
        <v>3.614E7</v>
      </c>
      <c r="K39" s="37" t="n">
        <f>30500000</f>
        <v>3.05E7</v>
      </c>
      <c r="L39" s="25" t="n">
        <f>16900000</f>
        <v>1.69E7</v>
      </c>
      <c r="M39" s="37" t="n">
        <f>0</f>
        <v>0.0</v>
      </c>
      <c r="N39" s="25" t="n">
        <f>53040000</f>
        <v>5.304E7</v>
      </c>
      <c r="O39" s="37" t="n">
        <f>30500000</f>
        <v>3.05E7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6421</f>
        <v>6421.0</v>
      </c>
      <c r="E41" s="36" t="n">
        <f>0</f>
        <v>0.0</v>
      </c>
      <c r="F41" s="21" t="n">
        <f>19256</f>
        <v>19256.0</v>
      </c>
      <c r="G41" s="36" t="n">
        <f>0</f>
        <v>0.0</v>
      </c>
      <c r="H41" s="21" t="n">
        <f>25677</f>
        <v>25677.0</v>
      </c>
      <c r="I41" s="36" t="n">
        <f>0</f>
        <v>0.0</v>
      </c>
      <c r="J41" s="21" t="n">
        <f>7160020</f>
        <v>7160020.0</v>
      </c>
      <c r="K41" s="36" t="n">
        <f>0</f>
        <v>0.0</v>
      </c>
      <c r="L41" s="21" t="n">
        <f>22621324</f>
        <v>2.2621324E7</v>
      </c>
      <c r="M41" s="36" t="n">
        <f>0</f>
        <v>0.0</v>
      </c>
      <c r="N41" s="21" t="n">
        <f>29781344</f>
        <v>2.9781344E7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5054</f>
        <v>5054.0</v>
      </c>
      <c r="E42" s="36" t="n">
        <f>0</f>
        <v>0.0</v>
      </c>
      <c r="F42" s="21" t="n">
        <f>1984</f>
        <v>1984.0</v>
      </c>
      <c r="G42" s="36" t="n">
        <f>1920</f>
        <v>1920.0</v>
      </c>
      <c r="H42" s="21" t="n">
        <f>7038</f>
        <v>7038.0</v>
      </c>
      <c r="I42" s="36" t="n">
        <f>1920</f>
        <v>1920.0</v>
      </c>
      <c r="J42" s="21" t="n">
        <f>857888</f>
        <v>857888.0</v>
      </c>
      <c r="K42" s="36" t="n">
        <f>0</f>
        <v>0.0</v>
      </c>
      <c r="L42" s="21" t="n">
        <f>96626291</f>
        <v>9.6626291E7</v>
      </c>
      <c r="M42" s="36" t="n">
        <f>73190400</f>
        <v>7.31904E7</v>
      </c>
      <c r="N42" s="21" t="n">
        <f>97484179</f>
        <v>9.7484179E7</v>
      </c>
      <c r="O42" s="36" t="n">
        <f>73190400</f>
        <v>7.31904E7</v>
      </c>
    </row>
    <row r="43" spans="1:15" ht="24.9" customHeight="1">
      <c r="A43" s="38"/>
      <c r="B43" s="62"/>
      <c r="C43" s="24" t="s">
        <v>18</v>
      </c>
      <c r="D43" s="25" t="n">
        <f>11475</f>
        <v>11475.0</v>
      </c>
      <c r="E43" s="37" t="n">
        <f>0</f>
        <v>0.0</v>
      </c>
      <c r="F43" s="25" t="n">
        <f>21240</f>
        <v>21240.0</v>
      </c>
      <c r="G43" s="37" t="n">
        <f>1920</f>
        <v>1920.0</v>
      </c>
      <c r="H43" s="25" t="n">
        <f>32715</f>
        <v>32715.0</v>
      </c>
      <c r="I43" s="37" t="n">
        <f>1920</f>
        <v>1920.0</v>
      </c>
      <c r="J43" s="25" t="n">
        <f>8017908</f>
        <v>8017908.0</v>
      </c>
      <c r="K43" s="37" t="n">
        <f>0</f>
        <v>0.0</v>
      </c>
      <c r="L43" s="25" t="n">
        <f>119247615</f>
        <v>1.19247615E8</v>
      </c>
      <c r="M43" s="37" t="n">
        <f>73190400</f>
        <v>7.31904E7</v>
      </c>
      <c r="N43" s="25" t="n">
        <f>127265523</f>
        <v>1.27265523E8</v>
      </c>
      <c r="O43" s="37" t="n">
        <f>73190400</f>
        <v>7.31904E7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