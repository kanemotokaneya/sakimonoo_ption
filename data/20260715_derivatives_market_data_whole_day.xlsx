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<sst xmlns="http://schemas.openxmlformats.org/spreadsheetml/2006/main" count="528" uniqueCount="129">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</sst>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DATE(2026,07,15)</f>
        <v>46218.0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DATE(2026,07,15)</f>
        <v>46218.0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791118.0</f>
        <v>791118.0</v>
      </c>
      <c r="E12" s="18" t="n">
        <f>31226.0</f>
        <v>31226.0</v>
      </c>
      <c r="F12" s="19" t="n">
        <f>1.0</f>
        <v>1.0</v>
      </c>
      <c r="G12" s="17" t="n">
        <f>6323656986055.0</f>
        <v>6.323656986055E12</v>
      </c>
      <c r="H12" s="18" t="n">
        <f>336166561030.0</f>
        <v>3.3616656103E11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438989.0</f>
        <v>438989.0</v>
      </c>
      <c r="E13" s="22" t="n">
        <f>17371.0</f>
        <v>17371.0</v>
      </c>
      <c r="F13" s="23" t="n">
        <f>1.0</f>
        <v>1.0</v>
      </c>
      <c r="G13" s="21" t="n">
        <f>5011696347225.0</f>
        <v>5.011696347225E12</v>
      </c>
      <c r="H13" s="22" t="n">
        <f>248095060950.0</f>
        <v>2.4809506095E11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414939.0</f>
        <v>414939.0</v>
      </c>
      <c r="E14" s="22" t="n">
        <f>21562.0</f>
        <v>21562.0</v>
      </c>
      <c r="F14" s="23" t="n">
        <f>1.0</f>
        <v>1.0</v>
      </c>
      <c r="G14" s="21" t="n">
        <f>5370249410770.0</f>
        <v>5.37024941077E12</v>
      </c>
      <c r="H14" s="22" t="n">
        <f>632097438845.0</f>
        <v>6.32097438845E11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1645046.0</f>
        <v>1645046.0</v>
      </c>
      <c r="E15" s="26" t="n">
        <f>70159.0</f>
        <v>70159.0</v>
      </c>
      <c r="F15" s="27" t="n">
        <f>1.0</f>
        <v>1.0</v>
      </c>
      <c r="G15" s="25" t="n">
        <f>16705602744050.0</f>
        <v>1.670560274405E13</v>
      </c>
      <c r="H15" s="26" t="n">
        <f>1216359060825.0</f>
        <v>1.216359060825E12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21465.0</f>
        <v>21465.0</v>
      </c>
      <c r="E16" s="18" t="n">
        <f>568.0</f>
        <v>568.0</v>
      </c>
      <c r="F16" s="19" t="n">
        <f>0.027</f>
        <v>0.027</v>
      </c>
      <c r="G16" s="17" t="n">
        <f>2370485136875.0</f>
        <v>2.370485136875E12</v>
      </c>
      <c r="H16" s="18" t="n">
        <f>72506650000.0</f>
        <v>7.250665E10</v>
      </c>
      <c r="I16" s="19" t="n">
        <f>0.375</f>
        <v>0.375</v>
      </c>
    </row>
    <row r="17" spans="1:9" ht="24.9" customHeight="1">
      <c r="A17" s="41"/>
      <c r="B17" s="39"/>
      <c r="C17" s="20" t="s">
        <v>16</v>
      </c>
      <c r="D17" s="21" t="n">
        <f>19488.0</f>
        <v>19488.0</v>
      </c>
      <c r="E17" s="22" t="n">
        <f>608.0</f>
        <v>608.0</v>
      </c>
      <c r="F17" s="23" t="n">
        <f>0.044</f>
        <v>0.044</v>
      </c>
      <c r="G17" s="21" t="n">
        <f>2474007597125.0</f>
        <v>2.474007597125E12</v>
      </c>
      <c r="H17" s="22" t="n">
        <f>77735365000.0</f>
        <v>7.7735365E10</v>
      </c>
      <c r="I17" s="23" t="n">
        <f>0.494</f>
        <v>0.494</v>
      </c>
    </row>
    <row r="18" spans="1:9" ht="24.9" customHeight="1">
      <c r="A18" s="41"/>
      <c r="B18" s="39"/>
      <c r="C18" s="20" t="s">
        <v>17</v>
      </c>
      <c r="D18" s="21" t="n">
        <f>21441.0</f>
        <v>21441.0</v>
      </c>
      <c r="E18" s="22" t="n">
        <f>2022.0</f>
        <v>2022.0</v>
      </c>
      <c r="F18" s="23" t="n">
        <f>0.052</f>
        <v>0.052</v>
      </c>
      <c r="G18" s="21" t="n">
        <f>2351132932375.0</f>
        <v>2.351132932375E12</v>
      </c>
      <c r="H18" s="22" t="n">
        <f>258647350000.0</f>
        <v>2.5864735E11</v>
      </c>
      <c r="I18" s="23" t="n">
        <f>0.438</f>
        <v>0.438</v>
      </c>
    </row>
    <row r="19" spans="1:9" ht="24.9" customHeight="1">
      <c r="A19" s="41"/>
      <c r="B19" s="39"/>
      <c r="C19" s="24" t="s">
        <v>18</v>
      </c>
      <c r="D19" s="25" t="n">
        <f>62394.0</f>
        <v>62394.0</v>
      </c>
      <c r="E19" s="26" t="n">
        <f>3198.0</f>
        <v>3198.0</v>
      </c>
      <c r="F19" s="27" t="n">
        <f>0.038</f>
        <v>0.038</v>
      </c>
      <c r="G19" s="25" t="n">
        <f>7195625666375.0</f>
        <v>7.195625666375E12</v>
      </c>
      <c r="H19" s="26" t="n">
        <f>408889365000.0</f>
        <v>4.08889365E11</v>
      </c>
      <c r="I19" s="27" t="n">
        <f>0.431</f>
        <v>0.431</v>
      </c>
    </row>
    <row r="20" spans="1:9" ht="24.9" customHeight="1">
      <c r="A20" s="41"/>
      <c r="B20" s="39" t="s">
        <v>21</v>
      </c>
      <c r="C20" s="16" t="s">
        <v>15</v>
      </c>
      <c r="D20" s="17" t="n">
        <f>753465.0</f>
        <v>753465.0</v>
      </c>
      <c r="E20" s="18" t="n">
        <f>30658.0</f>
        <v>30658.0</v>
      </c>
      <c r="F20" s="19" t="n">
        <f>0.952</f>
        <v>0.952</v>
      </c>
      <c r="G20" s="17" t="n">
        <f>3812521434280.0</f>
        <v>3.81252143428E12</v>
      </c>
      <c r="H20" s="18" t="n">
        <f>263659911030.0</f>
        <v>2.6365991103E11</v>
      </c>
      <c r="I20" s="19" t="n">
        <f>0.603</f>
        <v>0.603</v>
      </c>
    </row>
    <row r="21" spans="1:9" ht="24.9" customHeight="1">
      <c r="A21" s="41"/>
      <c r="B21" s="39"/>
      <c r="C21" s="20" t="s">
        <v>16</v>
      </c>
      <c r="D21" s="21" t="n">
        <f>415083.0</f>
        <v>415083.0</v>
      </c>
      <c r="E21" s="22" t="n">
        <f>16661.0</f>
        <v>16661.0</v>
      </c>
      <c r="F21" s="23" t="n">
        <f>0.946</f>
        <v>0.946</v>
      </c>
      <c r="G21" s="21" t="n">
        <f>2495575314700.0</f>
        <v>2.4955753147E12</v>
      </c>
      <c r="H21" s="22" t="n">
        <f>170132276300.0</f>
        <v>1.701322763E11</v>
      </c>
      <c r="I21" s="23" t="n">
        <f>0.498</f>
        <v>0.498</v>
      </c>
    </row>
    <row r="22" spans="1:9" ht="24.9" customHeight="1">
      <c r="A22" s="41"/>
      <c r="B22" s="39"/>
      <c r="C22" s="20" t="s">
        <v>17</v>
      </c>
      <c r="D22" s="21" t="n">
        <f>386953.0</f>
        <v>386953.0</v>
      </c>
      <c r="E22" s="22" t="n">
        <f>19538.0</f>
        <v>19538.0</v>
      </c>
      <c r="F22" s="23" t="n">
        <f>0.933</f>
        <v>0.933</v>
      </c>
      <c r="G22" s="21" t="n">
        <f>2967826901295.0</f>
        <v>2.967826901295E12</v>
      </c>
      <c r="H22" s="22" t="n">
        <f>373442318845.0</f>
        <v>3.73442318845E11</v>
      </c>
      <c r="I22" s="23" t="n">
        <f>0.553</f>
        <v>0.553</v>
      </c>
    </row>
    <row r="23" spans="1:9" ht="24.9" customHeight="1">
      <c r="A23" s="41"/>
      <c r="B23" s="39"/>
      <c r="C23" s="24" t="s">
        <v>18</v>
      </c>
      <c r="D23" s="25" t="n">
        <f>1555501.0</f>
        <v>1555501.0</v>
      </c>
      <c r="E23" s="26" t="n">
        <f>66857.0</f>
        <v>66857.0</v>
      </c>
      <c r="F23" s="27" t="n">
        <f>0.946</f>
        <v>0.946</v>
      </c>
      <c r="G23" s="25" t="n">
        <f>9275923650275.0</f>
        <v>9.275923650275E12</v>
      </c>
      <c r="H23" s="26" t="n">
        <f>807234506175.0</f>
        <v>8.07234506175E11</v>
      </c>
      <c r="I23" s="27" t="n">
        <f>0.555</f>
        <v>0.555</v>
      </c>
    </row>
    <row r="24" spans="1:9" ht="24.9" customHeight="1">
      <c r="A24" s="41"/>
      <c r="B24" s="39" t="s">
        <v>22</v>
      </c>
      <c r="C24" s="16" t="s">
        <v>15</v>
      </c>
      <c r="D24" s="17" t="n">
        <f>15357.0</f>
        <v>15357.0</v>
      </c>
      <c r="E24" s="18" t="n">
        <f>0.0</f>
        <v>0.0</v>
      </c>
      <c r="F24" s="19" t="n">
        <f>0.019</f>
        <v>0.019</v>
      </c>
      <c r="G24" s="17" t="n">
        <f>137447602900.0</f>
        <v>1.374476029E11</v>
      </c>
      <c r="H24" s="18" t="n">
        <f>0.0</f>
        <v>0.0</v>
      </c>
      <c r="I24" s="19" t="n">
        <f>0.022</f>
        <v>0.022</v>
      </c>
    </row>
    <row r="25" spans="1:9" ht="24.9" customHeight="1">
      <c r="A25" s="41"/>
      <c r="B25" s="39"/>
      <c r="C25" s="20" t="s">
        <v>16</v>
      </c>
      <c r="D25" s="21" t="n">
        <f>4237.0</f>
        <v>4237.0</v>
      </c>
      <c r="E25" s="22" t="n">
        <f>102.0</f>
        <v>102.0</v>
      </c>
      <c r="F25" s="23" t="n">
        <f>0.01</f>
        <v>0.01</v>
      </c>
      <c r="G25" s="21" t="n">
        <f>41411703900.0</f>
        <v>4.14117039E10</v>
      </c>
      <c r="H25" s="22" t="n">
        <f>227419650.0</f>
        <v>2.2741965E8</v>
      </c>
      <c r="I25" s="23" t="n">
        <f>0.008</f>
        <v>0.008</v>
      </c>
    </row>
    <row r="26" spans="1:9" ht="24.9" customHeight="1">
      <c r="A26" s="41"/>
      <c r="B26" s="39"/>
      <c r="C26" s="20" t="s">
        <v>17</v>
      </c>
      <c r="D26" s="21" t="n">
        <f>5954.0</f>
        <v>5954.0</v>
      </c>
      <c r="E26" s="22" t="n">
        <f>0.0</f>
        <v>0.0</v>
      </c>
      <c r="F26" s="23" t="n">
        <f>0.014</f>
        <v>0.014</v>
      </c>
      <c r="G26" s="21" t="n">
        <f>49000814600.0</f>
        <v>4.90008146E10</v>
      </c>
      <c r="H26" s="22" t="n">
        <f>0.0</f>
        <v>0.0</v>
      </c>
      <c r="I26" s="23" t="n">
        <f>0.009</f>
        <v>0.009</v>
      </c>
    </row>
    <row r="27" spans="1:9" ht="24.9" customHeight="1">
      <c r="A27" s="42"/>
      <c r="B27" s="39"/>
      <c r="C27" s="24" t="s">
        <v>18</v>
      </c>
      <c r="D27" s="25" t="n">
        <f>25548.0</f>
        <v>25548.0</v>
      </c>
      <c r="E27" s="26" t="n">
        <f>102.0</f>
        <v>102.0</v>
      </c>
      <c r="F27" s="27" t="n">
        <f>0.016</f>
        <v>0.016</v>
      </c>
      <c r="G27" s="25" t="n">
        <f>227860121400.0</f>
        <v>2.278601214E11</v>
      </c>
      <c r="H27" s="26" t="n">
        <f>227419650.0</f>
        <v>2.2741965E8</v>
      </c>
      <c r="I27" s="27" t="n">
        <f>0.014</f>
        <v>0.014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831.0</f>
        <v>831.0</v>
      </c>
      <c r="E28" s="18" t="n">
        <f>0.0</f>
        <v>0.0</v>
      </c>
      <c r="F28" s="19" t="n">
        <f>0.001</f>
        <v>0.001</v>
      </c>
      <c r="G28" s="17" t="n">
        <f>3202812000.0</f>
        <v>3.202812E9</v>
      </c>
      <c r="H28" s="18" t="n">
        <f>0.0</f>
        <v>0.0</v>
      </c>
      <c r="I28" s="19" t="n">
        <f>0.001</f>
        <v>0.001</v>
      </c>
    </row>
    <row r="29" spans="1:9" ht="24.9" customHeight="1">
      <c r="A29" s="38"/>
      <c r="B29" s="39"/>
      <c r="C29" s="20" t="s">
        <v>16</v>
      </c>
      <c r="D29" s="21" t="n">
        <f>181.0</f>
        <v>181.0</v>
      </c>
      <c r="E29" s="22" t="n">
        <f>0.0</f>
        <v>0.0</v>
      </c>
      <c r="F29" s="23" t="n">
        <f>0.0</f>
        <v>0.0</v>
      </c>
      <c r="G29" s="21" t="n">
        <f>701731500.0</f>
        <v>7.017315E8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591.0</f>
        <v>591.0</v>
      </c>
      <c r="E30" s="22" t="n">
        <f>2.0</f>
        <v>2.0</v>
      </c>
      <c r="F30" s="23" t="n">
        <f>0.001</f>
        <v>0.001</v>
      </c>
      <c r="G30" s="21" t="n">
        <f>2288762500.0</f>
        <v>2.2887625E9</v>
      </c>
      <c r="H30" s="22" t="n">
        <f>7770000.0</f>
        <v>7770000.0</v>
      </c>
      <c r="I30" s="23" t="n">
        <f>0.0</f>
        <v>0.0</v>
      </c>
    </row>
    <row r="31" spans="1:9" ht="24.9" customHeight="1">
      <c r="A31" s="38"/>
      <c r="B31" s="39"/>
      <c r="C31" s="24" t="s">
        <v>18</v>
      </c>
      <c r="D31" s="25" t="n">
        <f>1603.0</f>
        <v>1603.0</v>
      </c>
      <c r="E31" s="26" t="n">
        <f>2.0</f>
        <v>2.0</v>
      </c>
      <c r="F31" s="27" t="n">
        <f>0.001</f>
        <v>0.001</v>
      </c>
      <c r="G31" s="25" t="n">
        <f>6193306000.0</f>
        <v>6.193306E9</v>
      </c>
      <c r="H31" s="26" t="n">
        <f>7770000.0</f>
        <v>7770000.0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22247</f>
        <v>22247.0</v>
      </c>
      <c r="E11" s="18" t="n">
        <f>5469</f>
        <v>5469.0</v>
      </c>
      <c r="F11" s="19" t="n">
        <f>1</f>
        <v>1.0</v>
      </c>
      <c r="G11" s="17" t="n">
        <f>5742901796</f>
        <v>5.742901796E9</v>
      </c>
      <c r="H11" s="18" t="n">
        <f>4075333696</f>
        <v>4.075333696E9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38943</f>
        <v>38943.0</v>
      </c>
      <c r="E12" s="22" t="n">
        <f>6557</f>
        <v>6557.0</v>
      </c>
      <c r="F12" s="23" t="n">
        <f>1</f>
        <v>1.0</v>
      </c>
      <c r="G12" s="21" t="n">
        <f>10969861306</f>
        <v>1.0969861306E10</v>
      </c>
      <c r="H12" s="22" t="n">
        <f>9778788520</f>
        <v>9.77878852E9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49634</f>
        <v>49634.0</v>
      </c>
      <c r="E13" s="22" t="n">
        <f>16765</f>
        <v>16765.0</v>
      </c>
      <c r="F13" s="23" t="n">
        <f>1</f>
        <v>1.0</v>
      </c>
      <c r="G13" s="21" t="n">
        <f>30863535491</f>
        <v>3.0863535491E10</v>
      </c>
      <c r="H13" s="22" t="n">
        <f>27759662936</f>
        <v>2.7759662936E10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110824</f>
        <v>110824.0</v>
      </c>
      <c r="E14" s="26" t="n">
        <f>28791</f>
        <v>28791.0</v>
      </c>
      <c r="F14" s="27" t="n">
        <f>1</f>
        <v>1.0</v>
      </c>
      <c r="G14" s="25" t="n">
        <f>47576298593</f>
        <v>4.7576298593E10</v>
      </c>
      <c r="H14" s="26" t="n">
        <f>41613785152</f>
        <v>4.1613785152E10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1</f>
        <v>1.0</v>
      </c>
      <c r="E15" s="18" t="n">
        <f>0</f>
        <v>0.0</v>
      </c>
      <c r="F15" s="19" t="n">
        <f>0</f>
        <v>0.0</v>
      </c>
      <c r="G15" s="17" t="n">
        <f>380000</f>
        <v>380000.0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55</f>
        <v>55.0</v>
      </c>
      <c r="E16" s="22" t="n">
        <f>50</f>
        <v>50.0</v>
      </c>
      <c r="F16" s="23" t="n">
        <f>0.001</f>
        <v>0.001</v>
      </c>
      <c r="G16" s="21" t="n">
        <f>20440000</f>
        <v>2.044E7</v>
      </c>
      <c r="H16" s="22" t="n">
        <f>20000000</f>
        <v>2.0E7</v>
      </c>
      <c r="I16" s="23" t="n">
        <f>0.002</f>
        <v>0.002</v>
      </c>
    </row>
    <row r="17" spans="1:9" ht="24.9" customHeight="1">
      <c r="A17" s="41"/>
      <c r="B17" s="39"/>
      <c r="C17" s="20" t="s">
        <v>17</v>
      </c>
      <c r="D17" s="21" t="n">
        <f>284</f>
        <v>284.0</v>
      </c>
      <c r="E17" s="22" t="n">
        <f>150</f>
        <v>150.0</v>
      </c>
      <c r="F17" s="23" t="n">
        <f>0.006</f>
        <v>0.006</v>
      </c>
      <c r="G17" s="21" t="n">
        <f>40250000</f>
        <v>4.025E7</v>
      </c>
      <c r="H17" s="22" t="n">
        <f>23750000</f>
        <v>2.375E7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340</f>
        <v>340.0</v>
      </c>
      <c r="E18" s="26" t="n">
        <f>200</f>
        <v>200.0</v>
      </c>
      <c r="F18" s="27" t="n">
        <f>0.003</f>
        <v>0.003</v>
      </c>
      <c r="G18" s="25" t="n">
        <f>61070000</f>
        <v>6.107E7</v>
      </c>
      <c r="H18" s="26" t="n">
        <f>43750000</f>
        <v>4.375E7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22246</f>
        <v>22246.0</v>
      </c>
      <c r="E19" s="18" t="n">
        <f>5469</f>
        <v>5469.0</v>
      </c>
      <c r="F19" s="19" t="n">
        <f>1</f>
        <v>1.0</v>
      </c>
      <c r="G19" s="17" t="n">
        <f>5742521796</f>
        <v>5.742521796E9</v>
      </c>
      <c r="H19" s="18" t="n">
        <f>4075333696</f>
        <v>4.075333696E9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30158</f>
        <v>30158.0</v>
      </c>
      <c r="E20" s="22" t="n">
        <f>6507</f>
        <v>6507.0</v>
      </c>
      <c r="F20" s="23" t="n">
        <f>0.774</f>
        <v>0.774</v>
      </c>
      <c r="G20" s="21" t="n">
        <f>10918805320</f>
        <v>1.091880532E10</v>
      </c>
      <c r="H20" s="22" t="n">
        <f>9758788520</f>
        <v>9.75878852E9</v>
      </c>
      <c r="I20" s="23" t="n">
        <f>0.995</f>
        <v>0.995</v>
      </c>
    </row>
    <row r="21" spans="1:9" ht="24.9" customHeight="1">
      <c r="A21" s="41"/>
      <c r="B21" s="39"/>
      <c r="C21" s="20" t="s">
        <v>17</v>
      </c>
      <c r="D21" s="21" t="n">
        <f>39398</f>
        <v>39398.0</v>
      </c>
      <c r="E21" s="22" t="n">
        <f>16615</f>
        <v>16615.0</v>
      </c>
      <c r="F21" s="23" t="n">
        <f>0.794</f>
        <v>0.794</v>
      </c>
      <c r="G21" s="21" t="n">
        <f>30795218436</f>
        <v>3.0795218436E10</v>
      </c>
      <c r="H21" s="22" t="n">
        <f>27735912936</f>
        <v>2.7735912936E10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91802</f>
        <v>91802.0</v>
      </c>
      <c r="E22" s="26" t="n">
        <f>28591</f>
        <v>28591.0</v>
      </c>
      <c r="F22" s="27" t="n">
        <f>0.828</f>
        <v>0.828</v>
      </c>
      <c r="G22" s="25" t="n">
        <f>47456545552</f>
        <v>4.7456545552E10</v>
      </c>
      <c r="H22" s="26" t="n">
        <f>41570035152</f>
        <v>4.1570035152E10</v>
      </c>
      <c r="I22" s="27" t="n">
        <f>0.997</f>
        <v>0.997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8730</f>
        <v>8730.0</v>
      </c>
      <c r="E24" s="22" t="n">
        <f>0</f>
        <v>0.0</v>
      </c>
      <c r="F24" s="23" t="n">
        <f>0.224</f>
        <v>0.224</v>
      </c>
      <c r="G24" s="21" t="n">
        <f>30615986</f>
        <v>3.0615986E7</v>
      </c>
      <c r="H24" s="22" t="n">
        <f>0</f>
        <v>0.0</v>
      </c>
      <c r="I24" s="23" t="n">
        <f>0.003</f>
        <v>0.003</v>
      </c>
    </row>
    <row r="25" spans="1:9" ht="24.9" customHeight="1">
      <c r="A25" s="41"/>
      <c r="B25" s="39"/>
      <c r="C25" s="20" t="s">
        <v>17</v>
      </c>
      <c r="D25" s="21" t="n">
        <f>9952</f>
        <v>9952.0</v>
      </c>
      <c r="E25" s="22" t="n">
        <f>0</f>
        <v>0.0</v>
      </c>
      <c r="F25" s="23" t="n">
        <f>0.201</f>
        <v>0.201</v>
      </c>
      <c r="G25" s="21" t="n">
        <f>28067055</f>
        <v>2.8067055E7</v>
      </c>
      <c r="H25" s="22" t="n">
        <f>0</f>
        <v>0.0</v>
      </c>
      <c r="I25" s="23" t="n">
        <f>0.001</f>
        <v>0.001</v>
      </c>
    </row>
    <row r="26" spans="1:9" ht="24.9" customHeight="1">
      <c r="A26" s="41"/>
      <c r="B26" s="39"/>
      <c r="C26" s="24" t="s">
        <v>18</v>
      </c>
      <c r="D26" s="25" t="n">
        <f>18682</f>
        <v>18682.0</v>
      </c>
      <c r="E26" s="26" t="n">
        <f>0</f>
        <v>0.0</v>
      </c>
      <c r="F26" s="27" t="n">
        <f>0.169</f>
        <v>0.169</v>
      </c>
      <c r="G26" s="25" t="n">
        <f>58683041</f>
        <v>5.8683041E7</v>
      </c>
      <c r="H26" s="26" t="n">
        <f>0</f>
        <v>0.0</v>
      </c>
      <c r="I26" s="27" t="n">
        <f>0.001</f>
        <v>0.001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12948.0</v>
      </c>
      <c r="F12" s="18" t="n">
        <f>836</f>
        <v>836.0</v>
      </c>
      <c r="G12" s="17" t="n">
        <v>8.833939378E11</v>
      </c>
      <c r="H12" s="18" t="n">
        <f>56834709800</f>
        <v>5.68347098E10</v>
      </c>
    </row>
    <row r="13" spans="1:8" ht="24.9" customHeight="1">
      <c r="A13" s="51"/>
      <c r="B13" s="57"/>
      <c r="C13" s="39"/>
      <c r="D13" s="20" t="s">
        <v>16</v>
      </c>
      <c r="E13" s="21" t="n">
        <v>7928.0</v>
      </c>
      <c r="F13" s="22" t="n">
        <f>804</f>
        <v>804.0</v>
      </c>
      <c r="G13" s="21" t="n">
        <v>5.420013906E11</v>
      </c>
      <c r="H13" s="22" t="n">
        <f>54813176600</f>
        <v>5.48131766E10</v>
      </c>
    </row>
    <row r="14" spans="1:8" ht="24.9" customHeight="1">
      <c r="A14" s="51"/>
      <c r="B14" s="57"/>
      <c r="C14" s="39"/>
      <c r="D14" s="20" t="s">
        <v>17</v>
      </c>
      <c r="E14" s="21" t="n">
        <v>13698.0</v>
      </c>
      <c r="F14" s="22" t="n">
        <f>2539</f>
        <v>2539.0</v>
      </c>
      <c r="G14" s="21" t="n">
        <v>9.4101289486E11</v>
      </c>
      <c r="H14" s="22" t="n">
        <f>174402024860</f>
        <v>1.7440202486E11</v>
      </c>
    </row>
    <row r="15" spans="1:8" ht="24.9" customHeight="1">
      <c r="A15" s="51"/>
      <c r="B15" s="57"/>
      <c r="C15" s="39"/>
      <c r="D15" s="24" t="s">
        <v>18</v>
      </c>
      <c r="E15" s="25" t="n">
        <v>34574.0</v>
      </c>
      <c r="F15" s="26" t="n">
        <f>4179</f>
        <v>4179.0</v>
      </c>
      <c r="G15" s="25" t="n">
        <v>2.36640822326E12</v>
      </c>
      <c r="H15" s="26" t="n">
        <f>286049911260</f>
        <v>2.8604991126E11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276143.0</v>
      </c>
      <c r="F16" s="18" t="n">
        <f>29397</f>
        <v>29397.0</v>
      </c>
      <c r="G16" s="17" t="n">
        <v>1.88394758904E12</v>
      </c>
      <c r="H16" s="18" t="n">
        <f>200307246040</f>
        <v>2.0030724604E11</v>
      </c>
    </row>
    <row r="17" spans="1:8" ht="24.9" customHeight="1">
      <c r="A17" s="51"/>
      <c r="B17" s="57"/>
      <c r="C17" s="39"/>
      <c r="D17" s="20" t="s">
        <v>16</v>
      </c>
      <c r="E17" s="21" t="n">
        <v>169977.0</v>
      </c>
      <c r="F17" s="22" t="n">
        <f>15247</f>
        <v>15247.0</v>
      </c>
      <c r="G17" s="21" t="n">
        <v>1.16190579887E12</v>
      </c>
      <c r="H17" s="22" t="n">
        <f>104270040370</f>
        <v>1.0427004037E11</v>
      </c>
    </row>
    <row r="18" spans="1:8" ht="24.9" customHeight="1">
      <c r="A18" s="51"/>
      <c r="B18" s="57"/>
      <c r="C18" s="39"/>
      <c r="D18" s="20" t="s">
        <v>17</v>
      </c>
      <c r="E18" s="21" t="n">
        <v>152124.0</v>
      </c>
      <c r="F18" s="22" t="n">
        <f>12282</f>
        <v>12282.0</v>
      </c>
      <c r="G18" s="21" t="n">
        <v>1.044347636325E12</v>
      </c>
      <c r="H18" s="22" t="n">
        <f>84283728825</f>
        <v>8.4283728825E10</v>
      </c>
    </row>
    <row r="19" spans="1:8" ht="24.9" customHeight="1">
      <c r="A19" s="51"/>
      <c r="B19" s="57"/>
      <c r="C19" s="39"/>
      <c r="D19" s="24" t="s">
        <v>18</v>
      </c>
      <c r="E19" s="25" t="n">
        <v>598244.0</v>
      </c>
      <c r="F19" s="26" t="n">
        <f>56926</f>
        <v>56926.0</v>
      </c>
      <c r="G19" s="25" t="n">
        <v>4.090201024235E12</v>
      </c>
      <c r="H19" s="26" t="n">
        <f>388861015235</f>
        <v>3.88861015235E11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439448.0</v>
      </c>
      <c r="F20" s="18" t="str">
        <f>"－"</f>
        <v>－</v>
      </c>
      <c r="G20" s="17" t="n">
        <v>2.9983261565E11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212970.0</v>
      </c>
      <c r="F21" s="22" t="str">
        <f>"－"</f>
        <v>－</v>
      </c>
      <c r="G21" s="21" t="n">
        <v>1.45559613E11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191507.0</v>
      </c>
      <c r="F22" s="22" t="str">
        <f>"－"</f>
        <v>－</v>
      </c>
      <c r="G22" s="21" t="n">
        <v>1.314475528E11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843925.0</v>
      </c>
      <c r="F23" s="26" t="str">
        <f>"－"</f>
        <v>－</v>
      </c>
      <c r="G23" s="25" t="n">
        <v>5.7683978145E11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17641.0</v>
      </c>
      <c r="F24" s="18" t="n">
        <f>131</f>
        <v>131.0</v>
      </c>
      <c r="G24" s="17" t="n">
        <v>7.19073196E11</v>
      </c>
      <c r="H24" s="18" t="n">
        <f>5338306000</f>
        <v>5.338306E9</v>
      </c>
    </row>
    <row r="25" spans="1:8" ht="24.9" customHeight="1">
      <c r="A25" s="51"/>
      <c r="B25" s="57"/>
      <c r="C25" s="39"/>
      <c r="D25" s="20" t="s">
        <v>16</v>
      </c>
      <c r="E25" s="21" t="n">
        <v>15075.0</v>
      </c>
      <c r="F25" s="22" t="n">
        <f>247</f>
        <v>247.0</v>
      </c>
      <c r="G25" s="21" t="n">
        <v>6.13547746E11</v>
      </c>
      <c r="H25" s="22" t="n">
        <f>10062231000</f>
        <v>1.0062231E10</v>
      </c>
    </row>
    <row r="26" spans="1:8" ht="24.9" customHeight="1">
      <c r="A26" s="51"/>
      <c r="B26" s="57"/>
      <c r="C26" s="39"/>
      <c r="D26" s="20" t="s">
        <v>17</v>
      </c>
      <c r="E26" s="21" t="n">
        <v>20090.0</v>
      </c>
      <c r="F26" s="22" t="n">
        <f>2686</f>
        <v>2686.0</v>
      </c>
      <c r="G26" s="21" t="n">
        <v>8.207408985E11</v>
      </c>
      <c r="H26" s="22" t="n">
        <f>109979323500</f>
        <v>1.099793235E11</v>
      </c>
    </row>
    <row r="27" spans="1:8" ht="24.9" customHeight="1">
      <c r="A27" s="51"/>
      <c r="B27" s="57"/>
      <c r="C27" s="39"/>
      <c r="D27" s="24" t="s">
        <v>18</v>
      </c>
      <c r="E27" s="25" t="n">
        <v>52806.0</v>
      </c>
      <c r="F27" s="26" t="n">
        <f>3064</f>
        <v>3064.0</v>
      </c>
      <c r="G27" s="25" t="n">
        <v>2.1533618405E12</v>
      </c>
      <c r="H27" s="26" t="n">
        <f>125379860500</f>
        <v>1.253798605E11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5147.0</v>
      </c>
      <c r="F28" s="18" t="n">
        <f>279</f>
        <v>279.0</v>
      </c>
      <c r="G28" s="17" t="n">
        <v>2.09720912E10</v>
      </c>
      <c r="H28" s="18" t="n">
        <f>1137161700</f>
        <v>1.1371617E9</v>
      </c>
    </row>
    <row r="29" spans="1:8" ht="24.9" customHeight="1">
      <c r="A29" s="51"/>
      <c r="B29" s="57"/>
      <c r="C29" s="39"/>
      <c r="D29" s="20" t="s">
        <v>16</v>
      </c>
      <c r="E29" s="21" t="n">
        <v>6897.0</v>
      </c>
      <c r="F29" s="22" t="n">
        <f>179</f>
        <v>179.0</v>
      </c>
      <c r="G29" s="21" t="n">
        <v>2.808559165E10</v>
      </c>
      <c r="H29" s="22" t="n">
        <f>728411150</f>
        <v>7.2841115E8</v>
      </c>
    </row>
    <row r="30" spans="1:8" ht="24.9" customHeight="1">
      <c r="A30" s="51"/>
      <c r="B30" s="57"/>
      <c r="C30" s="39"/>
      <c r="D30" s="20" t="s">
        <v>17</v>
      </c>
      <c r="E30" s="21" t="n">
        <v>5394.0</v>
      </c>
      <c r="F30" s="22" t="n">
        <f>132</f>
        <v>132.0</v>
      </c>
      <c r="G30" s="21" t="n">
        <v>2.2029273E10</v>
      </c>
      <c r="H30" s="22" t="n">
        <f>538041250</f>
        <v>5.3804125E8</v>
      </c>
    </row>
    <row r="31" spans="1:8" ht="24.9" customHeight="1">
      <c r="A31" s="51"/>
      <c r="B31" s="57"/>
      <c r="C31" s="39"/>
      <c r="D31" s="24" t="s">
        <v>18</v>
      </c>
      <c r="E31" s="25" t="n">
        <v>17438.0</v>
      </c>
      <c r="F31" s="26" t="n">
        <f>590</f>
        <v>590.0</v>
      </c>
      <c r="G31" s="25" t="n">
        <v>7.108695585E10</v>
      </c>
      <c r="H31" s="26" t="n">
        <f>2403614100</f>
        <v>2.4036141E9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494.0</v>
      </c>
      <c r="F36" s="18" t="n">
        <f>0</f>
        <v>0.0</v>
      </c>
      <c r="G36" s="17" t="n">
        <v>1.824655E9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859.0</v>
      </c>
      <c r="F37" s="22" t="n">
        <f>0</f>
        <v>0.0</v>
      </c>
      <c r="G37" s="21" t="n">
        <v>3.168716E9</v>
      </c>
      <c r="H37" s="22" t="n">
        <f>0</f>
        <v>0.0</v>
      </c>
    </row>
    <row r="38" spans="1:8" ht="24.9" customHeight="1">
      <c r="A38" s="51"/>
      <c r="B38" s="57"/>
      <c r="C38" s="39"/>
      <c r="D38" s="20" t="s">
        <v>17</v>
      </c>
      <c r="E38" s="21" t="n">
        <v>780.0</v>
      </c>
      <c r="F38" s="22" t="n">
        <f>7</f>
        <v>7.0</v>
      </c>
      <c r="G38" s="21" t="n">
        <v>2.88208699E9</v>
      </c>
      <c r="H38" s="22" t="n">
        <f>25859990</f>
        <v>2.585999E7</v>
      </c>
    </row>
    <row r="39" spans="1:8" ht="24.9" customHeight="1">
      <c r="A39" s="51"/>
      <c r="B39" s="57"/>
      <c r="C39" s="39"/>
      <c r="D39" s="24" t="s">
        <v>18</v>
      </c>
      <c r="E39" s="25" t="n">
        <v>2133.0</v>
      </c>
      <c r="F39" s="26" t="n">
        <f>7</f>
        <v>7.0</v>
      </c>
      <c r="G39" s="25" t="n">
        <v>7.87545799E9</v>
      </c>
      <c r="H39" s="26" t="n">
        <f>25859990</f>
        <v>2.585999E7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174.0</v>
      </c>
      <c r="F42" s="22" t="n">
        <f>174</f>
        <v>174.0</v>
      </c>
      <c r="G42" s="21" t="n">
        <v>3.6766548E8</v>
      </c>
      <c r="H42" s="22" t="n">
        <f>367665480</f>
        <v>3.6766548E8</v>
      </c>
    </row>
    <row r="43" spans="1:8" ht="24.9" customHeight="1">
      <c r="A43" s="51"/>
      <c r="B43" s="57"/>
      <c r="C43" s="39"/>
      <c r="D43" s="24" t="s">
        <v>18</v>
      </c>
      <c r="E43" s="25" t="n">
        <v>174.0</v>
      </c>
      <c r="F43" s="26" t="n">
        <f>174</f>
        <v>174.0</v>
      </c>
      <c r="G43" s="25" t="n">
        <v>3.6766548E8</v>
      </c>
      <c r="H43" s="26" t="n">
        <f>367665480</f>
        <v>3.6766548E8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129.0</v>
      </c>
      <c r="F46" s="22" t="n">
        <f>129</f>
        <v>129.0</v>
      </c>
      <c r="G46" s="21" t="n">
        <v>9.71757E8</v>
      </c>
      <c r="H46" s="22" t="n">
        <f>971757000</f>
        <v>9.71757E8</v>
      </c>
    </row>
    <row r="47" spans="1:8" ht="24.9" customHeight="1">
      <c r="A47" s="51"/>
      <c r="B47" s="57"/>
      <c r="C47" s="39"/>
      <c r="D47" s="24" t="s">
        <v>18</v>
      </c>
      <c r="E47" s="25" t="n">
        <v>129.0</v>
      </c>
      <c r="F47" s="26" t="n">
        <f>129</f>
        <v>129.0</v>
      </c>
      <c r="G47" s="25" t="n">
        <v>9.71757E8</v>
      </c>
      <c r="H47" s="26" t="n">
        <f>971757000</f>
        <v>9.71757E8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167.0</v>
      </c>
      <c r="F49" s="22" t="n">
        <f>114</f>
        <v>114.0</v>
      </c>
      <c r="G49" s="21" t="n">
        <v>3.0592318E8</v>
      </c>
      <c r="H49" s="22" t="n">
        <f>208662180</f>
        <v>2.0866218E8</v>
      </c>
    </row>
    <row r="50" spans="1:8" ht="24.9" customHeight="1">
      <c r="A50" s="51"/>
      <c r="B50" s="57"/>
      <c r="C50" s="39"/>
      <c r="D50" s="20" t="s">
        <v>17</v>
      </c>
      <c r="E50" s="21" t="n">
        <v>1571.0</v>
      </c>
      <c r="F50" s="22" t="n">
        <f>1558</f>
        <v>1558.0</v>
      </c>
      <c r="G50" s="21" t="n">
        <v>2.87496442E9</v>
      </c>
      <c r="H50" s="22" t="n">
        <f>2851138420</f>
        <v>2.85113842E9</v>
      </c>
    </row>
    <row r="51" spans="1:8" ht="24.9" customHeight="1">
      <c r="A51" s="51"/>
      <c r="B51" s="57"/>
      <c r="C51" s="39"/>
      <c r="D51" s="24" t="s">
        <v>18</v>
      </c>
      <c r="E51" s="25" t="n">
        <v>1738.0</v>
      </c>
      <c r="F51" s="26" t="n">
        <f>1672</f>
        <v>1672.0</v>
      </c>
      <c r="G51" s="25" t="n">
        <v>3.1808876E9</v>
      </c>
      <c r="H51" s="26" t="n">
        <f>3059800600</f>
        <v>3.0598006E9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863.0</v>
      </c>
      <c r="F56" s="18" t="n">
        <f>8</f>
        <v>8.0</v>
      </c>
      <c r="G56" s="17" t="n">
        <v>6.165731E8</v>
      </c>
      <c r="H56" s="18" t="n">
        <f>5700100</f>
        <v>5700100.0</v>
      </c>
    </row>
    <row r="57" spans="1:8" ht="24.9" customHeight="1">
      <c r="A57" s="51"/>
      <c r="B57" s="57"/>
      <c r="C57" s="39"/>
      <c r="D57" s="20" t="s">
        <v>16</v>
      </c>
      <c r="E57" s="21" t="n">
        <v>1056.0</v>
      </c>
      <c r="F57" s="22" t="n">
        <f>70</f>
        <v>70.0</v>
      </c>
      <c r="G57" s="21" t="n">
        <v>7.50905E8</v>
      </c>
      <c r="H57" s="22" t="n">
        <f>49755000</f>
        <v>4.9755E7</v>
      </c>
    </row>
    <row r="58" spans="1:8" ht="24.9" customHeight="1">
      <c r="A58" s="51"/>
      <c r="B58" s="57"/>
      <c r="C58" s="39"/>
      <c r="D58" s="20" t="s">
        <v>17</v>
      </c>
      <c r="E58" s="21" t="n">
        <v>1425.0</v>
      </c>
      <c r="F58" s="22" t="n">
        <f>31</f>
        <v>31.0</v>
      </c>
      <c r="G58" s="21" t="n">
        <v>1.02734652E9</v>
      </c>
      <c r="H58" s="22" t="n">
        <f>22779520</f>
        <v>2.277952E7</v>
      </c>
    </row>
    <row r="59" spans="1:8" ht="24.9" customHeight="1">
      <c r="A59" s="51"/>
      <c r="B59" s="57"/>
      <c r="C59" s="39"/>
      <c r="D59" s="24" t="s">
        <v>18</v>
      </c>
      <c r="E59" s="25" t="n">
        <v>3344.0</v>
      </c>
      <c r="F59" s="26" t="n">
        <f>109</f>
        <v>109.0</v>
      </c>
      <c r="G59" s="25" t="n">
        <v>2.39482462E9</v>
      </c>
      <c r="H59" s="26" t="n">
        <f>78234620</f>
        <v>7.823462E7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382.0</v>
      </c>
      <c r="F60" s="18" t="n">
        <f>7</f>
        <v>7.0</v>
      </c>
      <c r="G60" s="17" t="n">
        <v>2.01345979E9</v>
      </c>
      <c r="H60" s="18" t="n">
        <f>36787390</f>
        <v>3.678739E7</v>
      </c>
    </row>
    <row r="61" spans="1:8" ht="24.9" customHeight="1">
      <c r="A61" s="51"/>
      <c r="B61" s="57"/>
      <c r="C61" s="39"/>
      <c r="D61" s="20" t="s">
        <v>16</v>
      </c>
      <c r="E61" s="21" t="n">
        <v>8.0</v>
      </c>
      <c r="F61" s="22" t="n">
        <f>0</f>
        <v>0.0</v>
      </c>
      <c r="G61" s="21" t="n">
        <v>4.22514E7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10.0</v>
      </c>
      <c r="F62" s="22" t="n">
        <f>0</f>
        <v>0.0</v>
      </c>
      <c r="G62" s="21" t="n">
        <v>5.28471E7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400.0</v>
      </c>
      <c r="F63" s="26" t="n">
        <f>7</f>
        <v>7.0</v>
      </c>
      <c r="G63" s="25" t="n">
        <v>2.10855829E9</v>
      </c>
      <c r="H63" s="26" t="n">
        <f>36787390</f>
        <v>3.678739E7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23.0</v>
      </c>
      <c r="F77" s="22" t="n">
        <f>0</f>
        <v>0.0</v>
      </c>
      <c r="G77" s="21" t="n">
        <v>8426000.0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15.0</v>
      </c>
      <c r="F78" s="22" t="n">
        <f>0</f>
        <v>0.0</v>
      </c>
      <c r="G78" s="21" t="n">
        <v>5313500.0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38.0</v>
      </c>
      <c r="F79" s="26" t="n">
        <f>0</f>
        <v>0.0</v>
      </c>
      <c r="G79" s="25" t="n">
        <v>1.37395E7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89.0</v>
      </c>
      <c r="F92" s="18" t="n">
        <f>0</f>
        <v>0.0</v>
      </c>
      <c r="G92" s="17" t="n">
        <v>1.433721E8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121.0</v>
      </c>
      <c r="F93" s="22" t="n">
        <f>0</f>
        <v>0.0</v>
      </c>
      <c r="G93" s="21" t="n">
        <v>1.95256E8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0.0</v>
      </c>
      <c r="F94" s="22" t="n">
        <f>0</f>
        <v>0.0</v>
      </c>
      <c r="G94" s="21" t="n">
        <v>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210.0</v>
      </c>
      <c r="F95" s="26" t="n">
        <f>0</f>
        <v>0.0</v>
      </c>
      <c r="G95" s="25" t="n">
        <v>3.386281E8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242.0</v>
      </c>
      <c r="F96" s="18" t="n">
        <f>0</f>
        <v>0.0</v>
      </c>
      <c r="G96" s="17" t="n">
        <v>5.78221E8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242.0</v>
      </c>
      <c r="F99" s="26" t="n">
        <f>0</f>
        <v>0.0</v>
      </c>
      <c r="G99" s="25" t="n">
        <v>5.78221E8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68.0</v>
      </c>
      <c r="F100" s="18" t="n">
        <f>0</f>
        <v>0.0</v>
      </c>
      <c r="G100" s="17" t="n">
        <v>1.257236E8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2.0</v>
      </c>
      <c r="F101" s="22" t="n">
        <f>0</f>
        <v>0.0</v>
      </c>
      <c r="G101" s="21" t="n">
        <v>3697000.0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36.0</v>
      </c>
      <c r="F102" s="22" t="n">
        <f>0</f>
        <v>0.0</v>
      </c>
      <c r="G102" s="21" t="n">
        <v>6.66648E7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106.0</v>
      </c>
      <c r="F103" s="26" t="n">
        <f>0</f>
        <v>0.0</v>
      </c>
      <c r="G103" s="25" t="n">
        <v>1.960854E8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17848.0</v>
      </c>
      <c r="F108" s="18" t="n">
        <f>568</f>
        <v>568.0</v>
      </c>
      <c r="G108" s="17" t="n">
        <v>2.28118796E12</v>
      </c>
      <c r="H108" s="18" t="n">
        <f>72506650000</f>
        <v>7.250665E10</v>
      </c>
    </row>
    <row r="109" spans="1:8" ht="24.9" customHeight="1">
      <c r="A109" s="51"/>
      <c r="B109" s="57"/>
      <c r="C109" s="39"/>
      <c r="D109" s="20" t="s">
        <v>16</v>
      </c>
      <c r="E109" s="21" t="n">
        <v>19305.0</v>
      </c>
      <c r="F109" s="22" t="n">
        <f>608</f>
        <v>608.0</v>
      </c>
      <c r="G109" s="21" t="n">
        <v>2.469508425E12</v>
      </c>
      <c r="H109" s="22" t="n">
        <f>77735365000</f>
        <v>7.7735365E10</v>
      </c>
    </row>
    <row r="110" spans="1:8" ht="24.9" customHeight="1">
      <c r="A110" s="51"/>
      <c r="B110" s="57"/>
      <c r="C110" s="39"/>
      <c r="D110" s="20" t="s">
        <v>17</v>
      </c>
      <c r="E110" s="21" t="n">
        <v>17692.0</v>
      </c>
      <c r="F110" s="22" t="n">
        <f>2022</f>
        <v>2022.0</v>
      </c>
      <c r="G110" s="21" t="n">
        <v>2.26309305E12</v>
      </c>
      <c r="H110" s="22" t="n">
        <f>258647350000</f>
        <v>2.5864735E11</v>
      </c>
    </row>
    <row r="111" spans="1:8" ht="24.9" customHeight="1">
      <c r="A111" s="51"/>
      <c r="B111" s="57"/>
      <c r="C111" s="39"/>
      <c r="D111" s="24" t="s">
        <v>18</v>
      </c>
      <c r="E111" s="25" t="n">
        <v>54845.0</v>
      </c>
      <c r="F111" s="26" t="n">
        <f>3198</f>
        <v>3198.0</v>
      </c>
      <c r="G111" s="25" t="n">
        <v>7.013789435E12</v>
      </c>
      <c r="H111" s="26" t="n">
        <f>408889365000</f>
        <v>4.08889365E11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2.0</v>
      </c>
      <c r="F113" s="22" t="n">
        <f>0</f>
        <v>0.0</v>
      </c>
      <c r="G113" s="21" t="n">
        <v>2.5609E7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2.5609E7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289.0</v>
      </c>
      <c r="F118" s="22" t="n">
        <f>0</f>
        <v>0.0</v>
      </c>
      <c r="G118" s="21" t="n">
        <v>2.651888E9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289.0</v>
      </c>
      <c r="F119" s="26" t="n">
        <f>0</f>
        <v>0.0</v>
      </c>
      <c r="G119" s="25" t="n">
        <v>2.651888E9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3617.0</v>
      </c>
      <c r="F120" s="18" t="n">
        <f>0</f>
        <v>0.0</v>
      </c>
      <c r="G120" s="17" t="n">
        <v>8.9297176875E10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181.0</v>
      </c>
      <c r="F121" s="22" t="n">
        <f>0</f>
        <v>0.0</v>
      </c>
      <c r="G121" s="21" t="n">
        <v>4.473563125E9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3460.0</v>
      </c>
      <c r="F122" s="22" t="n">
        <f>0</f>
        <v>0.0</v>
      </c>
      <c r="G122" s="21" t="n">
        <v>8.5387994375E10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7258.0</v>
      </c>
      <c r="F123" s="26" t="n">
        <f>0</f>
        <v>0.0</v>
      </c>
      <c r="G123" s="25" t="n">
        <v>1.79158734375E11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5299.0</v>
      </c>
      <c r="F124" s="18" t="n">
        <f>0</f>
        <v>0.0</v>
      </c>
      <c r="G124" s="17" t="n">
        <v>1.14696593E11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1598.0</v>
      </c>
      <c r="F125" s="22" t="n">
        <f>0</f>
        <v>0.0</v>
      </c>
      <c r="G125" s="21" t="n">
        <v>3.449792E10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1857.0</v>
      </c>
      <c r="F126" s="22" t="n">
        <f>0</f>
        <v>0.0</v>
      </c>
      <c r="G126" s="21" t="n">
        <v>3.9882269E10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8754.0</v>
      </c>
      <c r="F127" s="26" t="n">
        <f>0</f>
        <v>0.0</v>
      </c>
      <c r="G127" s="25" t="n">
        <v>1.89076782E11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88.0</v>
      </c>
      <c r="F128" s="18" t="n">
        <f>0</f>
        <v>0.0</v>
      </c>
      <c r="G128" s="17" t="n">
        <v>1.894915E8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18.0</v>
      </c>
      <c r="F129" s="22" t="n">
        <f>0</f>
        <v>0.0</v>
      </c>
      <c r="G129" s="21" t="n">
        <v>3.87228E7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106.0</v>
      </c>
      <c r="F130" s="22" t="n">
        <f>0</f>
        <v>0.0</v>
      </c>
      <c r="G130" s="21" t="n">
        <v>2.267553E8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212.0</v>
      </c>
      <c r="F131" s="26" t="n">
        <f>0</f>
        <v>0.0</v>
      </c>
      <c r="G131" s="25" t="n">
        <v>4.549696E8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8381.0</v>
      </c>
      <c r="F132" s="18" t="n">
        <f>0</f>
        <v>0.0</v>
      </c>
      <c r="G132" s="17" t="n">
        <v>1.81319941E10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1524.0</v>
      </c>
      <c r="F133" s="22" t="n">
        <f>1</f>
        <v>1.0</v>
      </c>
      <c r="G133" s="21" t="n">
        <v>3.29118705E9</v>
      </c>
      <c r="H133" s="22" t="n">
        <f>2177350</f>
        <v>2177350.0</v>
      </c>
    </row>
    <row r="134" spans="1:8" ht="24.9" customHeight="1">
      <c r="A134" s="51"/>
      <c r="B134" s="57"/>
      <c r="C134" s="39"/>
      <c r="D134" s="20" t="s">
        <v>17</v>
      </c>
      <c r="E134" s="21" t="n">
        <v>1769.0</v>
      </c>
      <c r="F134" s="22" t="n">
        <f>0</f>
        <v>0.0</v>
      </c>
      <c r="G134" s="21" t="n">
        <v>3.8015214E9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11674.0</v>
      </c>
      <c r="F135" s="26" t="n">
        <f>1</f>
        <v>1.0</v>
      </c>
      <c r="G135" s="25" t="n">
        <v>2.522470255E10</v>
      </c>
      <c r="H135" s="26" t="n">
        <f>2177350</f>
        <v>2177350.0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40.0</v>
      </c>
      <c r="F136" s="18" t="n">
        <f>0</f>
        <v>0.0</v>
      </c>
      <c r="G136" s="17" t="n">
        <v>8.57415E7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49.0</v>
      </c>
      <c r="F137" s="22" t="n">
        <f>0</f>
        <v>0.0</v>
      </c>
      <c r="G137" s="21" t="n">
        <v>1.049027E8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22.0</v>
      </c>
      <c r="F138" s="22" t="n">
        <f>0</f>
        <v>0.0</v>
      </c>
      <c r="G138" s="21" t="n">
        <v>4.68596E7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111.0</v>
      </c>
      <c r="F139" s="26" t="n">
        <f>0</f>
        <v>0.0</v>
      </c>
      <c r="G139" s="25" t="n">
        <v>2.375038E8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793.0</v>
      </c>
      <c r="F144" s="18" t="n">
        <f>0</f>
        <v>0.0</v>
      </c>
      <c r="G144" s="17" t="n">
        <v>3.2670065E9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694.0</v>
      </c>
      <c r="F145" s="22" t="n">
        <f>0</f>
        <v>0.0</v>
      </c>
      <c r="G145" s="21" t="n">
        <v>2.8757E9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822.0</v>
      </c>
      <c r="F146" s="22" t="n">
        <f>0</f>
        <v>0.0</v>
      </c>
      <c r="G146" s="21" t="n">
        <v>3.4122425E9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2309.0</v>
      </c>
      <c r="F147" s="26" t="n">
        <f>0</f>
        <v>0.0</v>
      </c>
      <c r="G147" s="25" t="n">
        <v>9.554949E9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6.0</v>
      </c>
      <c r="F148" s="18" t="n">
        <f>0</f>
        <v>0.0</v>
      </c>
      <c r="G148" s="17" t="n">
        <v>5026800.0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13.0</v>
      </c>
      <c r="F149" s="22" t="n">
        <f>0</f>
        <v>0.0</v>
      </c>
      <c r="G149" s="21" t="n">
        <v>1.10579E7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108.0</v>
      </c>
      <c r="F150" s="22" t="n">
        <f>0</f>
        <v>0.0</v>
      </c>
      <c r="G150" s="21" t="n">
        <v>9.17904E7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127.0</v>
      </c>
      <c r="F151" s="26" t="n">
        <f>0</f>
        <v>0.0</v>
      </c>
      <c r="G151" s="25" t="n">
        <v>1.078751E8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359.0</v>
      </c>
      <c r="F152" s="18" t="n">
        <f>0</f>
        <v>0.0</v>
      </c>
      <c r="G152" s="17" t="n">
        <v>2.964926E8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80.0</v>
      </c>
      <c r="F153" s="22" t="n">
        <f>1</f>
        <v>1.0</v>
      </c>
      <c r="G153" s="21" t="n">
        <v>6.629835E7</v>
      </c>
      <c r="H153" s="22" t="n">
        <f>842300</f>
        <v>842300.0</v>
      </c>
    </row>
    <row r="154" spans="1:8" ht="24.9" customHeight="1">
      <c r="A154" s="51"/>
      <c r="B154" s="57"/>
      <c r="C154" s="39"/>
      <c r="D154" s="20" t="s">
        <v>17</v>
      </c>
      <c r="E154" s="21" t="n">
        <v>196.0</v>
      </c>
      <c r="F154" s="22" t="n">
        <f>0</f>
        <v>0.0</v>
      </c>
      <c r="G154" s="21" t="n">
        <v>1.628431E8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635.0</v>
      </c>
      <c r="F155" s="26" t="n">
        <f>1</f>
        <v>1.0</v>
      </c>
      <c r="G155" s="25" t="n">
        <v>5.2563405E8</v>
      </c>
      <c r="H155" s="26" t="n">
        <f>842300</f>
        <v>842300.0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43.0</v>
      </c>
      <c r="F156" s="18" t="n">
        <f>0</f>
        <v>0.0</v>
      </c>
      <c r="G156" s="17" t="n">
        <v>3.52229E7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32.0</v>
      </c>
      <c r="F157" s="22" t="n">
        <f>0</f>
        <v>0.0</v>
      </c>
      <c r="G157" s="21" t="n">
        <v>2.65926E7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706.0</v>
      </c>
      <c r="F158" s="22" t="n">
        <f>0</f>
        <v>0.0</v>
      </c>
      <c r="G158" s="21" t="n">
        <v>5.872343E8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781.0</v>
      </c>
      <c r="F159" s="26" t="n">
        <f>0</f>
        <v>0.0</v>
      </c>
      <c r="G159" s="25" t="n">
        <v>6.490498E8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348.0</v>
      </c>
      <c r="F168" s="18" t="n">
        <f>0</f>
        <v>0.0</v>
      </c>
      <c r="G168" s="17" t="n">
        <v>7.40034E8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229.0</v>
      </c>
      <c r="F169" s="22" t="n">
        <f>100</f>
        <v>100.0</v>
      </c>
      <c r="G169" s="21" t="n">
        <v>4.993225E8</v>
      </c>
      <c r="H169" s="22" t="n">
        <f>224400000</f>
        <v>2.244E8</v>
      </c>
    </row>
    <row r="170" spans="1:8" ht="24.9" customHeight="1">
      <c r="A170" s="51"/>
      <c r="B170" s="57"/>
      <c r="C170" s="39"/>
      <c r="D170" s="20" t="s">
        <v>17</v>
      </c>
      <c r="E170" s="21" t="n">
        <v>368.0</v>
      </c>
      <c r="F170" s="22" t="n">
        <f>0</f>
        <v>0.0</v>
      </c>
      <c r="G170" s="21" t="n">
        <v>7.89299E8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945.0</v>
      </c>
      <c r="F171" s="26" t="n">
        <f>100</f>
        <v>100.0</v>
      </c>
      <c r="G171" s="25" t="n">
        <v>2.0286555E9</v>
      </c>
      <c r="H171" s="26" t="n">
        <f>224400000</f>
        <v>2.244E8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831.0</v>
      </c>
      <c r="F204" s="18" t="n">
        <f>0</f>
        <v>0.0</v>
      </c>
      <c r="G204" s="17" t="n">
        <v>3.202812E9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181.0</v>
      </c>
      <c r="F205" s="22" t="n">
        <f>0</f>
        <v>0.0</v>
      </c>
      <c r="G205" s="21" t="n">
        <v>7.017315E8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591.0</v>
      </c>
      <c r="F206" s="22" t="n">
        <f>2</f>
        <v>2.0</v>
      </c>
      <c r="G206" s="21" t="n">
        <v>2.2887625E9</v>
      </c>
      <c r="H206" s="22" t="n">
        <f>7770000</f>
        <v>7770000.0</v>
      </c>
    </row>
    <row r="207" spans="1:8" ht="24.9" customHeight="1">
      <c r="A207" s="57"/>
      <c r="B207" s="59"/>
      <c r="C207" s="39"/>
      <c r="D207" s="24" t="s">
        <v>18</v>
      </c>
      <c r="E207" s="25" t="n">
        <v>1603.0</v>
      </c>
      <c r="F207" s="26" t="n">
        <f>2</f>
        <v>2.0</v>
      </c>
      <c r="G207" s="25" t="n">
        <v>6.193306E9</v>
      </c>
      <c r="H207" s="26" t="n">
        <f>7770000</f>
        <v>7770000.0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4002</f>
        <v>4002.0</v>
      </c>
      <c r="E12" s="35" t="n">
        <f>2619</f>
        <v>2619.0</v>
      </c>
      <c r="F12" s="17" t="n">
        <f>973</f>
        <v>973.0</v>
      </c>
      <c r="G12" s="35" t="n">
        <f>92</f>
        <v>92.0</v>
      </c>
      <c r="H12" s="17" t="n">
        <f>4975</f>
        <v>4975.0</v>
      </c>
      <c r="I12" s="35" t="n">
        <f>2711</f>
        <v>2711.0</v>
      </c>
      <c r="J12" s="17" t="n">
        <f>4389279630</f>
        <v>4.38927963E9</v>
      </c>
      <c r="K12" s="35" t="n">
        <f>3680329630</f>
        <v>3.68032963E9</v>
      </c>
      <c r="L12" s="17" t="n">
        <f>514738260</f>
        <v>5.1473826E8</v>
      </c>
      <c r="M12" s="35" t="n">
        <f>25169260</f>
        <v>2.516926E7</v>
      </c>
      <c r="N12" s="17" t="n">
        <f>4904017890</f>
        <v>4.90401789E9</v>
      </c>
      <c r="O12" s="35" t="n">
        <f>3705498890</f>
        <v>3.70549889E9</v>
      </c>
    </row>
    <row r="13" spans="1:15" ht="24.9" customHeight="1">
      <c r="A13" s="38"/>
      <c r="B13" s="62"/>
      <c r="C13" s="20" t="s">
        <v>16</v>
      </c>
      <c r="D13" s="21" t="n">
        <f>4238</f>
        <v>4238.0</v>
      </c>
      <c r="E13" s="36" t="n">
        <f>2673</f>
        <v>2673.0</v>
      </c>
      <c r="F13" s="21" t="n">
        <f>2702</f>
        <v>2702.0</v>
      </c>
      <c r="G13" s="36" t="n">
        <f>1685</f>
        <v>1685.0</v>
      </c>
      <c r="H13" s="21" t="n">
        <f>6940</f>
        <v>6940.0</v>
      </c>
      <c r="I13" s="36" t="n">
        <f>4358</f>
        <v>4358.0</v>
      </c>
      <c r="J13" s="21" t="n">
        <f>4437650480</f>
        <v>4.43765048E9</v>
      </c>
      <c r="K13" s="36" t="n">
        <f>3921241480</f>
        <v>3.92124148E9</v>
      </c>
      <c r="L13" s="21" t="n">
        <f>5767738550</f>
        <v>5.76773855E9</v>
      </c>
      <c r="M13" s="36" t="n">
        <f>5449535550</f>
        <v>5.44953555E9</v>
      </c>
      <c r="N13" s="21" t="n">
        <f>10205389030</f>
        <v>1.020538903E10</v>
      </c>
      <c r="O13" s="36" t="n">
        <f>9370777030</f>
        <v>9.37077703E9</v>
      </c>
    </row>
    <row r="14" spans="1:15" ht="24.9" customHeight="1">
      <c r="A14" s="38"/>
      <c r="B14" s="62"/>
      <c r="C14" s="20" t="s">
        <v>17</v>
      </c>
      <c r="D14" s="21" t="n">
        <f>15430</f>
        <v>15430.0</v>
      </c>
      <c r="E14" s="36" t="n">
        <f>9993</f>
        <v>9993.0</v>
      </c>
      <c r="F14" s="21" t="n">
        <f>5400</f>
        <v>5400.0</v>
      </c>
      <c r="G14" s="36" t="n">
        <f>3852</f>
        <v>3852.0</v>
      </c>
      <c r="H14" s="21" t="n">
        <f>20830</f>
        <v>20830.0</v>
      </c>
      <c r="I14" s="36" t="n">
        <f>13845</f>
        <v>13845.0</v>
      </c>
      <c r="J14" s="21" t="n">
        <f>23617793116</f>
        <v>2.3617793116E10</v>
      </c>
      <c r="K14" s="36" t="n">
        <f>21598980116</f>
        <v>2.1598980116E10</v>
      </c>
      <c r="L14" s="21" t="n">
        <f>6451883950</f>
        <v>6.45188395E9</v>
      </c>
      <c r="M14" s="36" t="n">
        <f>5781566950</f>
        <v>5.78156695E9</v>
      </c>
      <c r="N14" s="21" t="n">
        <f>30069677066</f>
        <v>3.0069677066E10</v>
      </c>
      <c r="O14" s="36" t="n">
        <f>27380547066</f>
        <v>2.7380547066E10</v>
      </c>
    </row>
    <row r="15" spans="1:15" ht="24.9" customHeight="1">
      <c r="A15" s="38"/>
      <c r="B15" s="62"/>
      <c r="C15" s="24" t="s">
        <v>18</v>
      </c>
      <c r="D15" s="25" t="n">
        <f>23670</f>
        <v>23670.0</v>
      </c>
      <c r="E15" s="37" t="n">
        <f>15285</f>
        <v>15285.0</v>
      </c>
      <c r="F15" s="25" t="n">
        <f>9075</f>
        <v>9075.0</v>
      </c>
      <c r="G15" s="37" t="n">
        <f>5629</f>
        <v>5629.0</v>
      </c>
      <c r="H15" s="25" t="n">
        <f>32745</f>
        <v>32745.0</v>
      </c>
      <c r="I15" s="37" t="n">
        <f>20914</f>
        <v>20914.0</v>
      </c>
      <c r="J15" s="25" t="n">
        <f>32444723226</f>
        <v>3.2444723226E10</v>
      </c>
      <c r="K15" s="37" t="n">
        <f>29200551226</f>
        <v>2.9200551226E10</v>
      </c>
      <c r="L15" s="25" t="n">
        <f>12734360760</f>
        <v>1.273436076E10</v>
      </c>
      <c r="M15" s="37" t="n">
        <f>11256271760</f>
        <v>1.125627176E10</v>
      </c>
      <c r="N15" s="25" t="n">
        <f>45179083986</f>
        <v>4.5179083986E10</v>
      </c>
      <c r="O15" s="37" t="n">
        <f>40456822986</f>
        <v>4.0456822986E10</v>
      </c>
    </row>
    <row r="16" spans="1:15" ht="24.9" customHeight="1">
      <c r="A16" s="38"/>
      <c r="B16" s="61" t="s">
        <v>105</v>
      </c>
      <c r="C16" s="16" t="s">
        <v>15</v>
      </c>
      <c r="D16" s="17" t="n">
        <f>9962</f>
        <v>9962.0</v>
      </c>
      <c r="E16" s="35" t="n">
        <f>1600</f>
        <v>1600.0</v>
      </c>
      <c r="F16" s="17" t="n">
        <f>6741</f>
        <v>6741.0</v>
      </c>
      <c r="G16" s="35" t="n">
        <f>590</f>
        <v>590.0</v>
      </c>
      <c r="H16" s="17" t="n">
        <f>16703</f>
        <v>16703.0</v>
      </c>
      <c r="I16" s="35" t="n">
        <f>2190</f>
        <v>2190.0</v>
      </c>
      <c r="J16" s="17" t="n">
        <f>251483120</f>
        <v>2.5148312E8</v>
      </c>
      <c r="K16" s="35" t="n">
        <f>11836320</f>
        <v>1.183632E7</v>
      </c>
      <c r="L16" s="17" t="n">
        <f>238351430</f>
        <v>2.3835143E8</v>
      </c>
      <c r="M16" s="35" t="n">
        <f>9329130</f>
        <v>9329130.0</v>
      </c>
      <c r="N16" s="17" t="n">
        <f>489834550</f>
        <v>4.8983455E8</v>
      </c>
      <c r="O16" s="35" t="n">
        <f>21165450</f>
        <v>2.116545E7</v>
      </c>
    </row>
    <row r="17" spans="1:15" ht="24.9" customHeight="1">
      <c r="A17" s="38"/>
      <c r="B17" s="62"/>
      <c r="C17" s="20" t="s">
        <v>16</v>
      </c>
      <c r="D17" s="21" t="n">
        <f>14878</f>
        <v>14878.0</v>
      </c>
      <c r="E17" s="36" t="n">
        <f>890</f>
        <v>890.0</v>
      </c>
      <c r="F17" s="21" t="n">
        <f>7821</f>
        <v>7821.0</v>
      </c>
      <c r="G17" s="36" t="n">
        <f>740</f>
        <v>740.0</v>
      </c>
      <c r="H17" s="21" t="n">
        <f>22699</f>
        <v>22699.0</v>
      </c>
      <c r="I17" s="36" t="n">
        <f>1630</f>
        <v>1630.0</v>
      </c>
      <c r="J17" s="21" t="n">
        <f>159461770</f>
        <v>1.5946177E8</v>
      </c>
      <c r="K17" s="36" t="n">
        <f>3848070</f>
        <v>3848070.0</v>
      </c>
      <c r="L17" s="21" t="n">
        <f>183335320</f>
        <v>1.8333532E8</v>
      </c>
      <c r="M17" s="36" t="n">
        <f>13544220</f>
        <v>1.354422E7</v>
      </c>
      <c r="N17" s="21" t="n">
        <f>342797090</f>
        <v>3.4279709E8</v>
      </c>
      <c r="O17" s="36" t="n">
        <f>17392290</f>
        <v>1.739229E7</v>
      </c>
    </row>
    <row r="18" spans="1:15" ht="24.9" customHeight="1">
      <c r="A18" s="38"/>
      <c r="B18" s="62"/>
      <c r="C18" s="20" t="s">
        <v>17</v>
      </c>
      <c r="D18" s="21" t="n">
        <f>13301</f>
        <v>13301.0</v>
      </c>
      <c r="E18" s="36" t="n">
        <f>1810</f>
        <v>1810.0</v>
      </c>
      <c r="F18" s="21" t="n">
        <f>4557</f>
        <v>4557.0</v>
      </c>
      <c r="G18" s="36" t="n">
        <f>280</f>
        <v>280.0</v>
      </c>
      <c r="H18" s="21" t="n">
        <f>17858</f>
        <v>17858.0</v>
      </c>
      <c r="I18" s="36" t="n">
        <f>2090</f>
        <v>2090.0</v>
      </c>
      <c r="J18" s="21" t="n">
        <f>207247580</f>
        <v>2.0724758E8</v>
      </c>
      <c r="K18" s="36" t="n">
        <f>5886980</f>
        <v>5886980.0</v>
      </c>
      <c r="L18" s="21" t="n">
        <f>158768790</f>
        <v>1.5876879E8</v>
      </c>
      <c r="M18" s="36" t="n">
        <f>3978890</f>
        <v>3978890.0</v>
      </c>
      <c r="N18" s="21" t="n">
        <f>366016370</f>
        <v>3.6601637E8</v>
      </c>
      <c r="O18" s="36" t="n">
        <f>9865870</f>
        <v>9865870.0</v>
      </c>
    </row>
    <row r="19" spans="1:15" ht="24.9" customHeight="1">
      <c r="A19" s="38"/>
      <c r="B19" s="62"/>
      <c r="C19" s="24" t="s">
        <v>18</v>
      </c>
      <c r="D19" s="25" t="n">
        <f>38141</f>
        <v>38141.0</v>
      </c>
      <c r="E19" s="37" t="n">
        <f>4300</f>
        <v>4300.0</v>
      </c>
      <c r="F19" s="25" t="n">
        <f>19119</f>
        <v>19119.0</v>
      </c>
      <c r="G19" s="37" t="n">
        <f>1610</f>
        <v>1610.0</v>
      </c>
      <c r="H19" s="25" t="n">
        <f>57260</f>
        <v>57260.0</v>
      </c>
      <c r="I19" s="37" t="n">
        <f>5910</f>
        <v>5910.0</v>
      </c>
      <c r="J19" s="25" t="n">
        <f>618192470</f>
        <v>6.1819247E8</v>
      </c>
      <c r="K19" s="37" t="n">
        <f>21571370</f>
        <v>2.157137E7</v>
      </c>
      <c r="L19" s="25" t="n">
        <f>580455540</f>
        <v>5.8045554E8</v>
      </c>
      <c r="M19" s="37" t="n">
        <f>26852240</f>
        <v>2.685224E7</v>
      </c>
      <c r="N19" s="25" t="n">
        <f>1198648010</f>
        <v>1.19864801E9</v>
      </c>
      <c r="O19" s="37" t="n">
        <f>48423610</f>
        <v>4.842361E7</v>
      </c>
    </row>
    <row r="20" spans="1:15" ht="24.9" customHeight="1">
      <c r="A20" s="38"/>
      <c r="B20" s="61" t="s">
        <v>106</v>
      </c>
      <c r="C20" s="16" t="s">
        <v>15</v>
      </c>
      <c r="D20" s="17" t="n">
        <f>568</f>
        <v>568.0</v>
      </c>
      <c r="E20" s="35" t="n">
        <f>568</f>
        <v>568.0</v>
      </c>
      <c r="F20" s="17" t="n">
        <f>0</f>
        <v>0.0</v>
      </c>
      <c r="G20" s="35" t="n">
        <f>0</f>
        <v>0.0</v>
      </c>
      <c r="H20" s="17" t="n">
        <f>568</f>
        <v>568.0</v>
      </c>
      <c r="I20" s="35" t="n">
        <f>568</f>
        <v>568.0</v>
      </c>
      <c r="J20" s="17" t="n">
        <f>348669356</f>
        <v>3.48669356E8</v>
      </c>
      <c r="K20" s="35" t="n">
        <f>348669356</f>
        <v>3.48669356E8</v>
      </c>
      <c r="L20" s="17" t="n">
        <f>0</f>
        <v>0.0</v>
      </c>
      <c r="M20" s="35" t="n">
        <f>0</f>
        <v>0.0</v>
      </c>
      <c r="N20" s="17" t="n">
        <f>348669356</f>
        <v>3.48669356E8</v>
      </c>
      <c r="O20" s="35" t="n">
        <f>348669356</f>
        <v>3.48669356E8</v>
      </c>
    </row>
    <row r="21" spans="1:15" ht="24.9" customHeight="1">
      <c r="A21" s="38"/>
      <c r="B21" s="62"/>
      <c r="C21" s="20" t="s">
        <v>16</v>
      </c>
      <c r="D21" s="21" t="n">
        <f>519</f>
        <v>519.0</v>
      </c>
      <c r="E21" s="36" t="n">
        <f>519</f>
        <v>519.0</v>
      </c>
      <c r="F21" s="21" t="n">
        <f>0</f>
        <v>0.0</v>
      </c>
      <c r="G21" s="36" t="n">
        <f>0</f>
        <v>0.0</v>
      </c>
      <c r="H21" s="21" t="n">
        <f>519</f>
        <v>519.0</v>
      </c>
      <c r="I21" s="36" t="n">
        <f>519</f>
        <v>519.0</v>
      </c>
      <c r="J21" s="21" t="n">
        <f>370619200</f>
        <v>3.706192E8</v>
      </c>
      <c r="K21" s="36" t="n">
        <f>370619200</f>
        <v>3.706192E8</v>
      </c>
      <c r="L21" s="21" t="n">
        <f>0</f>
        <v>0.0</v>
      </c>
      <c r="M21" s="36" t="n">
        <f>0</f>
        <v>0.0</v>
      </c>
      <c r="N21" s="21" t="n">
        <f>370619200</f>
        <v>3.706192E8</v>
      </c>
      <c r="O21" s="36" t="n">
        <f>370619200</f>
        <v>3.706192E8</v>
      </c>
    </row>
    <row r="22" spans="1:15" ht="24.9" customHeight="1">
      <c r="A22" s="38"/>
      <c r="B22" s="62"/>
      <c r="C22" s="20" t="s">
        <v>17</v>
      </c>
      <c r="D22" s="21" t="n">
        <f>70</f>
        <v>70.0</v>
      </c>
      <c r="E22" s="36" t="n">
        <f>40</f>
        <v>40.0</v>
      </c>
      <c r="F22" s="21" t="n">
        <f>640</f>
        <v>640.0</v>
      </c>
      <c r="G22" s="36" t="n">
        <f>640</f>
        <v>640.0</v>
      </c>
      <c r="H22" s="21" t="n">
        <f>710</f>
        <v>710.0</v>
      </c>
      <c r="I22" s="36" t="n">
        <f>680</f>
        <v>680.0</v>
      </c>
      <c r="J22" s="21" t="n">
        <f>71505000</f>
        <v>7.1505E7</v>
      </c>
      <c r="K22" s="36" t="n">
        <f>57480000</f>
        <v>5.748E7</v>
      </c>
      <c r="L22" s="21" t="n">
        <f>288020000</f>
        <v>2.8802E8</v>
      </c>
      <c r="M22" s="36" t="n">
        <f>288020000</f>
        <v>2.8802E8</v>
      </c>
      <c r="N22" s="21" t="n">
        <f>359525000</f>
        <v>3.59525E8</v>
      </c>
      <c r="O22" s="36" t="n">
        <f>345500000</f>
        <v>3.455E8</v>
      </c>
    </row>
    <row r="23" spans="1:15" ht="24.9" customHeight="1">
      <c r="A23" s="38"/>
      <c r="B23" s="62"/>
      <c r="C23" s="24" t="s">
        <v>18</v>
      </c>
      <c r="D23" s="25" t="n">
        <f>1157</f>
        <v>1157.0</v>
      </c>
      <c r="E23" s="37" t="n">
        <f>1127</f>
        <v>1127.0</v>
      </c>
      <c r="F23" s="25" t="n">
        <f>640</f>
        <v>640.0</v>
      </c>
      <c r="G23" s="37" t="n">
        <f>640</f>
        <v>640.0</v>
      </c>
      <c r="H23" s="25" t="n">
        <f>1797</f>
        <v>1797.0</v>
      </c>
      <c r="I23" s="37" t="n">
        <f>1767</f>
        <v>1767.0</v>
      </c>
      <c r="J23" s="25" t="n">
        <f>790793556</f>
        <v>7.90793556E8</v>
      </c>
      <c r="K23" s="37" t="n">
        <f>776768556</f>
        <v>7.76768556E8</v>
      </c>
      <c r="L23" s="25" t="n">
        <f>288020000</f>
        <v>2.8802E8</v>
      </c>
      <c r="M23" s="37" t="n">
        <f>288020000</f>
        <v>2.8802E8</v>
      </c>
      <c r="N23" s="25" t="n">
        <f>1078813556</f>
        <v>1.078813556E9</v>
      </c>
      <c r="O23" s="37" t="n">
        <f>1064788556</f>
        <v>1.064788556E9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1</f>
        <v>1.0</v>
      </c>
      <c r="G36" s="18" t="n">
        <f>0</f>
        <v>0.0</v>
      </c>
      <c r="H36" s="17" t="n">
        <f>1</f>
        <v>1.0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380000</f>
        <v>380000.0</v>
      </c>
      <c r="M36" s="18" t="n">
        <f>0</f>
        <v>0.0</v>
      </c>
      <c r="N36" s="17" t="n">
        <f>380000</f>
        <v>380000.0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</f>
        <v>1.0</v>
      </c>
      <c r="E37" s="22" t="n">
        <f>0</f>
        <v>0.0</v>
      </c>
      <c r="F37" s="21" t="n">
        <f>54</f>
        <v>54.0</v>
      </c>
      <c r="G37" s="22" t="n">
        <f>50</f>
        <v>50.0</v>
      </c>
      <c r="H37" s="21" t="n">
        <f>55</f>
        <v>55.0</v>
      </c>
      <c r="I37" s="22" t="n">
        <f>50</f>
        <v>50.0</v>
      </c>
      <c r="J37" s="21" t="n">
        <f>50000</f>
        <v>50000.0</v>
      </c>
      <c r="K37" s="22" t="n">
        <f>0</f>
        <v>0.0</v>
      </c>
      <c r="L37" s="21" t="n">
        <f>20390000</f>
        <v>2.039E7</v>
      </c>
      <c r="M37" s="22" t="n">
        <f>20000000</f>
        <v>2.0E7</v>
      </c>
      <c r="N37" s="21" t="n">
        <f>20440000</f>
        <v>2.044E7</v>
      </c>
      <c r="O37" s="22" t="n">
        <f>20000000</f>
        <v>2.0E7</v>
      </c>
    </row>
    <row r="38" spans="1:15" ht="24.9" customHeight="1">
      <c r="A38" s="38"/>
      <c r="B38" s="62"/>
      <c r="C38" s="20" t="s">
        <v>17</v>
      </c>
      <c r="D38" s="21" t="n">
        <f>227</f>
        <v>227.0</v>
      </c>
      <c r="E38" s="36" t="n">
        <f>150</f>
        <v>150.0</v>
      </c>
      <c r="F38" s="21" t="n">
        <f>57</f>
        <v>57.0</v>
      </c>
      <c r="G38" s="36" t="n">
        <f>0</f>
        <v>0.0</v>
      </c>
      <c r="H38" s="21" t="n">
        <f>284</f>
        <v>284.0</v>
      </c>
      <c r="I38" s="36" t="n">
        <f>150</f>
        <v>150.0</v>
      </c>
      <c r="J38" s="21" t="n">
        <f>25400000</f>
        <v>2.54E7</v>
      </c>
      <c r="K38" s="36" t="n">
        <f>23750000</f>
        <v>2.375E7</v>
      </c>
      <c r="L38" s="21" t="n">
        <f>14850000</f>
        <v>1.485E7</v>
      </c>
      <c r="M38" s="36" t="n">
        <f>0</f>
        <v>0.0</v>
      </c>
      <c r="N38" s="21" t="n">
        <f>40250000</f>
        <v>4.025E7</v>
      </c>
      <c r="O38" s="36" t="n">
        <f>23750000</f>
        <v>2.375E7</v>
      </c>
    </row>
    <row r="39" spans="1:15" ht="24.9" customHeight="1">
      <c r="A39" s="38"/>
      <c r="B39" s="62"/>
      <c r="C39" s="24" t="s">
        <v>18</v>
      </c>
      <c r="D39" s="25" t="n">
        <f>228</f>
        <v>228.0</v>
      </c>
      <c r="E39" s="37" t="n">
        <f>150</f>
        <v>150.0</v>
      </c>
      <c r="F39" s="25" t="n">
        <f>112</f>
        <v>112.0</v>
      </c>
      <c r="G39" s="37" t="n">
        <f>50</f>
        <v>50.0</v>
      </c>
      <c r="H39" s="25" t="n">
        <f>340</f>
        <v>340.0</v>
      </c>
      <c r="I39" s="37" t="n">
        <f>200</f>
        <v>200.0</v>
      </c>
      <c r="J39" s="25" t="n">
        <f>25450000</f>
        <v>2.545E7</v>
      </c>
      <c r="K39" s="37" t="n">
        <f>23750000</f>
        <v>2.375E7</v>
      </c>
      <c r="L39" s="25" t="n">
        <f>35620000</f>
        <v>3.562E7</v>
      </c>
      <c r="M39" s="37" t="n">
        <f>20000000</f>
        <v>2.0E7</v>
      </c>
      <c r="N39" s="25" t="n">
        <f>61070000</f>
        <v>6.107E7</v>
      </c>
      <c r="O39" s="37" t="n">
        <f>43750000</f>
        <v>4.375E7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5351</f>
        <v>5351.0</v>
      </c>
      <c r="E41" s="36" t="n">
        <f>0</f>
        <v>0.0</v>
      </c>
      <c r="F41" s="21" t="n">
        <f>3379</f>
        <v>3379.0</v>
      </c>
      <c r="G41" s="36" t="n">
        <f>0</f>
        <v>0.0</v>
      </c>
      <c r="H41" s="21" t="n">
        <f>8730</f>
        <v>8730.0</v>
      </c>
      <c r="I41" s="36" t="n">
        <f>0</f>
        <v>0.0</v>
      </c>
      <c r="J41" s="21" t="n">
        <f>18002738</f>
        <v>1.8002738E7</v>
      </c>
      <c r="K41" s="36" t="n">
        <f>0</f>
        <v>0.0</v>
      </c>
      <c r="L41" s="21" t="n">
        <f>12613248</f>
        <v>1.2613248E7</v>
      </c>
      <c r="M41" s="36" t="n">
        <f>0</f>
        <v>0.0</v>
      </c>
      <c r="N41" s="21" t="n">
        <f>30615986</f>
        <v>3.0615986E7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5414</f>
        <v>5414.0</v>
      </c>
      <c r="E42" s="36" t="n">
        <f>0</f>
        <v>0.0</v>
      </c>
      <c r="F42" s="21" t="n">
        <f>4538</f>
        <v>4538.0</v>
      </c>
      <c r="G42" s="36" t="n">
        <f>0</f>
        <v>0.0</v>
      </c>
      <c r="H42" s="21" t="n">
        <f>9952</f>
        <v>9952.0</v>
      </c>
      <c r="I42" s="36" t="n">
        <f>0</f>
        <v>0.0</v>
      </c>
      <c r="J42" s="21" t="n">
        <f>8630875</f>
        <v>8630875.0</v>
      </c>
      <c r="K42" s="36" t="n">
        <f>0</f>
        <v>0.0</v>
      </c>
      <c r="L42" s="21" t="n">
        <f>19436180</f>
        <v>1.943618E7</v>
      </c>
      <c r="M42" s="36" t="n">
        <f>0</f>
        <v>0.0</v>
      </c>
      <c r="N42" s="21" t="n">
        <f>28067055</f>
        <v>2.8067055E7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10765</f>
        <v>10765.0</v>
      </c>
      <c r="E43" s="37" t="n">
        <f>0</f>
        <v>0.0</v>
      </c>
      <c r="F43" s="25" t="n">
        <f>7917</f>
        <v>7917.0</v>
      </c>
      <c r="G43" s="37" t="n">
        <f>0</f>
        <v>0.0</v>
      </c>
      <c r="H43" s="25" t="n">
        <f>18682</f>
        <v>18682.0</v>
      </c>
      <c r="I43" s="37" t="n">
        <f>0</f>
        <v>0.0</v>
      </c>
      <c r="J43" s="25" t="n">
        <f>26633613</f>
        <v>2.6633613E7</v>
      </c>
      <c r="K43" s="37" t="n">
        <f>0</f>
        <v>0.0</v>
      </c>
      <c r="L43" s="25" t="n">
        <f>32049428</f>
        <v>3.2049428E7</v>
      </c>
      <c r="M43" s="37" t="n">
        <f>0</f>
        <v>0.0</v>
      </c>
      <c r="N43" s="25" t="n">
        <f>58683041</f>
        <v>5.8683041E7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