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<sst xmlns="http://schemas.openxmlformats.org/spreadsheetml/2006/main" count="528" uniqueCount="129">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</sst>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DATE(2026,05,08)</f>
        <v>46150.0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DATE(2026,05,08)</f>
        <v>46150.0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866603.0</f>
        <v>866603.0</v>
      </c>
      <c r="E12" s="18" t="n">
        <f>38525.0</f>
        <v>38525.0</v>
      </c>
      <c r="F12" s="19" t="n">
        <f>1.0</f>
        <v>1.0</v>
      </c>
      <c r="G12" s="17" t="n">
        <f>5905632056923.0</f>
        <v>5.905632056923E12</v>
      </c>
      <c r="H12" s="18" t="n">
        <f>492856616573.0</f>
        <v>4.92856616573E11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360633.0</f>
        <v>360633.0</v>
      </c>
      <c r="E13" s="22" t="n">
        <f>20317.0</f>
        <v>20317.0</v>
      </c>
      <c r="F13" s="23" t="n">
        <f>1.0</f>
        <v>1.0</v>
      </c>
      <c r="G13" s="21" t="n">
        <f>4224920053570.0</f>
        <v>4.22492005357E12</v>
      </c>
      <c r="H13" s="22" t="n">
        <f>422220508970.0</f>
        <v>4.2222050897E11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418247.0</f>
        <v>418247.0</v>
      </c>
      <c r="E14" s="22" t="n">
        <f>34312.0</f>
        <v>34312.0</v>
      </c>
      <c r="F14" s="23" t="n">
        <f>1.0</f>
        <v>1.0</v>
      </c>
      <c r="G14" s="21" t="n">
        <f>5447548009300.0</f>
        <v>5.4475480093E12</v>
      </c>
      <c r="H14" s="22" t="n">
        <f>1038047111500.0</f>
        <v>1.0380471115E12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1645483.0</f>
        <v>1645483.0</v>
      </c>
      <c r="E15" s="26" t="n">
        <f>93154.0</f>
        <v>93154.0</v>
      </c>
      <c r="F15" s="27" t="n">
        <f>1.0</f>
        <v>1.0</v>
      </c>
      <c r="G15" s="25" t="n">
        <f>15578100119793.0</f>
        <v>1.5578100119793E13</v>
      </c>
      <c r="H15" s="26" t="n">
        <f>1953124237043.0</f>
        <v>1.953124237043E12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14051.0</f>
        <v>14051.0</v>
      </c>
      <c r="E16" s="18" t="n">
        <f>758.0</f>
        <v>758.0</v>
      </c>
      <c r="F16" s="19" t="n">
        <f>0.016</f>
        <v>0.016</v>
      </c>
      <c r="G16" s="17" t="n">
        <f>1575209368750.0</f>
        <v>1.57520936875E12</v>
      </c>
      <c r="H16" s="18" t="n">
        <f>98392370000.0</f>
        <v>9.839237E10</v>
      </c>
      <c r="I16" s="19" t="n">
        <f>0.267</f>
        <v>0.267</v>
      </c>
    </row>
    <row r="17" spans="1:9" ht="24.9" customHeight="1">
      <c r="A17" s="41"/>
      <c r="B17" s="39"/>
      <c r="C17" s="20" t="s">
        <v>16</v>
      </c>
      <c r="D17" s="21" t="n">
        <f>10576.0</f>
        <v>10576.0</v>
      </c>
      <c r="E17" s="22" t="n">
        <f>224.0</f>
        <v>224.0</v>
      </c>
      <c r="F17" s="23" t="n">
        <f>0.029</f>
        <v>0.029</v>
      </c>
      <c r="G17" s="21" t="n">
        <f>1327313262750.0</f>
        <v>1.32731326275E12</v>
      </c>
      <c r="H17" s="22" t="n">
        <f>29047610000.0</f>
        <v>2.904761E10</v>
      </c>
      <c r="I17" s="23" t="n">
        <f>0.314</f>
        <v>0.314</v>
      </c>
    </row>
    <row r="18" spans="1:9" ht="24.9" customHeight="1">
      <c r="A18" s="41"/>
      <c r="B18" s="39"/>
      <c r="C18" s="20" t="s">
        <v>17</v>
      </c>
      <c r="D18" s="21" t="n">
        <f>12092.0</f>
        <v>12092.0</v>
      </c>
      <c r="E18" s="22" t="n">
        <f>595.0</f>
        <v>595.0</v>
      </c>
      <c r="F18" s="23" t="n">
        <f>0.029</f>
        <v>0.029</v>
      </c>
      <c r="G18" s="21" t="n">
        <f>1288771464750.0</f>
        <v>1.28877146475E12</v>
      </c>
      <c r="H18" s="22" t="n">
        <f>77175275000.0</f>
        <v>7.7175275E10</v>
      </c>
      <c r="I18" s="23" t="n">
        <f>0.237</f>
        <v>0.237</v>
      </c>
    </row>
    <row r="19" spans="1:9" ht="24.9" customHeight="1">
      <c r="A19" s="41"/>
      <c r="B19" s="39"/>
      <c r="C19" s="24" t="s">
        <v>18</v>
      </c>
      <c r="D19" s="25" t="n">
        <f>36719.0</f>
        <v>36719.0</v>
      </c>
      <c r="E19" s="26" t="n">
        <f>1577.0</f>
        <v>1577.0</v>
      </c>
      <c r="F19" s="27" t="n">
        <f>0.022</f>
        <v>0.022</v>
      </c>
      <c r="G19" s="25" t="n">
        <f>4191294096250.0</f>
        <v>4.19129409625E12</v>
      </c>
      <c r="H19" s="26" t="n">
        <f>204615255000.0</f>
        <v>2.04615255E11</v>
      </c>
      <c r="I19" s="27" t="n">
        <f>0.269</f>
        <v>0.269</v>
      </c>
    </row>
    <row r="20" spans="1:9" ht="24.9" customHeight="1">
      <c r="A20" s="41"/>
      <c r="B20" s="39" t="s">
        <v>21</v>
      </c>
      <c r="C20" s="16" t="s">
        <v>15</v>
      </c>
      <c r="D20" s="17" t="n">
        <f>832186.0</f>
        <v>832186.0</v>
      </c>
      <c r="E20" s="18" t="n">
        <f>37767.0</f>
        <v>37767.0</v>
      </c>
      <c r="F20" s="19" t="n">
        <f>0.96</f>
        <v>0.96</v>
      </c>
      <c r="G20" s="17" t="n">
        <f>4127064853473.0</f>
        <v>4.127064853473E12</v>
      </c>
      <c r="H20" s="18" t="n">
        <f>394464246573.0</f>
        <v>3.94464246573E11</v>
      </c>
      <c r="I20" s="19" t="n">
        <f>0.699</f>
        <v>0.699</v>
      </c>
    </row>
    <row r="21" spans="1:9" ht="24.9" customHeight="1">
      <c r="A21" s="41"/>
      <c r="B21" s="39"/>
      <c r="C21" s="20" t="s">
        <v>16</v>
      </c>
      <c r="D21" s="21" t="n">
        <f>342072.0</f>
        <v>342072.0</v>
      </c>
      <c r="E21" s="22" t="n">
        <f>20093.0</f>
        <v>20093.0</v>
      </c>
      <c r="F21" s="23" t="n">
        <f>0.949</f>
        <v>0.949</v>
      </c>
      <c r="G21" s="21" t="n">
        <f>2816795407120.0</f>
        <v>2.81679540712E12</v>
      </c>
      <c r="H21" s="22" t="n">
        <f>393172898970.0</f>
        <v>3.9317289897E11</v>
      </c>
      <c r="I21" s="23" t="n">
        <f>0.667</f>
        <v>0.667</v>
      </c>
    </row>
    <row r="22" spans="1:9" ht="24.9" customHeight="1">
      <c r="A22" s="41"/>
      <c r="B22" s="39"/>
      <c r="C22" s="20" t="s">
        <v>17</v>
      </c>
      <c r="D22" s="21" t="n">
        <f>395478.0</f>
        <v>395478.0</v>
      </c>
      <c r="E22" s="22" t="n">
        <f>33436.0</f>
        <v>33436.0</v>
      </c>
      <c r="F22" s="23" t="n">
        <f>0.946</f>
        <v>0.946</v>
      </c>
      <c r="G22" s="21" t="n">
        <f>4072680693850.0</f>
        <v>4.07268069385E12</v>
      </c>
      <c r="H22" s="22" t="n">
        <f>959608682500.0</f>
        <v>9.596086825E11</v>
      </c>
      <c r="I22" s="23" t="n">
        <f>0.748</f>
        <v>0.748</v>
      </c>
    </row>
    <row r="23" spans="1:9" ht="24.9" customHeight="1">
      <c r="A23" s="41"/>
      <c r="B23" s="39"/>
      <c r="C23" s="24" t="s">
        <v>18</v>
      </c>
      <c r="D23" s="25" t="n">
        <f>1569736.0</f>
        <v>1569736.0</v>
      </c>
      <c r="E23" s="26" t="n">
        <f>91296.0</f>
        <v>91296.0</v>
      </c>
      <c r="F23" s="27" t="n">
        <f>0.954</f>
        <v>0.954</v>
      </c>
      <c r="G23" s="25" t="n">
        <f>11016540954443.0</f>
        <v>1.1016540954443E13</v>
      </c>
      <c r="H23" s="26" t="n">
        <f>1747245828043.0</f>
        <v>1.747245828043E12</v>
      </c>
      <c r="I23" s="27" t="n">
        <f>0.707</f>
        <v>0.707</v>
      </c>
    </row>
    <row r="24" spans="1:9" ht="24.9" customHeight="1">
      <c r="A24" s="41"/>
      <c r="B24" s="39" t="s">
        <v>22</v>
      </c>
      <c r="C24" s="16" t="s">
        <v>15</v>
      </c>
      <c r="D24" s="17" t="n">
        <f>18573.0</f>
        <v>18573.0</v>
      </c>
      <c r="E24" s="18" t="n">
        <f>0.0</f>
        <v>0.0</v>
      </c>
      <c r="F24" s="19" t="n">
        <f>0.021</f>
        <v>0.021</v>
      </c>
      <c r="G24" s="17" t="n">
        <f>196037818200.0</f>
        <v>1.960378182E11</v>
      </c>
      <c r="H24" s="18" t="n">
        <f>0.0</f>
        <v>0.0</v>
      </c>
      <c r="I24" s="19" t="n">
        <f>0.033</f>
        <v>0.033</v>
      </c>
    </row>
    <row r="25" spans="1:9" ht="24.9" customHeight="1">
      <c r="A25" s="41"/>
      <c r="B25" s="39"/>
      <c r="C25" s="20" t="s">
        <v>16</v>
      </c>
      <c r="D25" s="21" t="n">
        <f>7789.0</f>
        <v>7789.0</v>
      </c>
      <c r="E25" s="22" t="n">
        <f>0.0</f>
        <v>0.0</v>
      </c>
      <c r="F25" s="23" t="n">
        <f>0.022</f>
        <v>0.022</v>
      </c>
      <c r="G25" s="21" t="n">
        <f>79989721700.0</f>
        <v>7.99897217E10</v>
      </c>
      <c r="H25" s="22" t="n">
        <f>0.0</f>
        <v>0.0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9262.0</f>
        <v>9262.0</v>
      </c>
      <c r="E26" s="22" t="n">
        <f>281.0</f>
        <v>281.0</v>
      </c>
      <c r="F26" s="23" t="n">
        <f>0.022</f>
        <v>0.022</v>
      </c>
      <c r="G26" s="21" t="n">
        <f>80160120700.0</f>
        <v>8.01601207E10</v>
      </c>
      <c r="H26" s="22" t="n">
        <f>1263154000.0</f>
        <v>1.263154E9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35624.0</f>
        <v>35624.0</v>
      </c>
      <c r="E27" s="26" t="n">
        <f>281.0</f>
        <v>281.0</v>
      </c>
      <c r="F27" s="27" t="n">
        <f>0.022</f>
        <v>0.022</v>
      </c>
      <c r="G27" s="25" t="n">
        <f>356187660600.0</f>
        <v>3.561876606E11</v>
      </c>
      <c r="H27" s="26" t="n">
        <f>1263154000.0</f>
        <v>1.263154E9</v>
      </c>
      <c r="I27" s="27" t="n">
        <f>0.023</f>
        <v>0.023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1793.0</f>
        <v>1793.0</v>
      </c>
      <c r="E28" s="18" t="n">
        <f>0.0</f>
        <v>0.0</v>
      </c>
      <c r="F28" s="19" t="n">
        <f>0.002</f>
        <v>0.002</v>
      </c>
      <c r="G28" s="17" t="n">
        <f>7320016500.0</f>
        <v>7.3200165E9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196.0</f>
        <v>196.0</v>
      </c>
      <c r="E29" s="22" t="n">
        <f>0.0</f>
        <v>0.0</v>
      </c>
      <c r="F29" s="23" t="n">
        <f>0.001</f>
        <v>0.001</v>
      </c>
      <c r="G29" s="21" t="n">
        <f>821662000.0</f>
        <v>8.21662E8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1415.0</f>
        <v>1415.0</v>
      </c>
      <c r="E30" s="22" t="n">
        <f>0.0</f>
        <v>0.0</v>
      </c>
      <c r="F30" s="23" t="n">
        <f>0.003</f>
        <v>0.003</v>
      </c>
      <c r="G30" s="21" t="n">
        <f>5935730000.0</f>
        <v>5.93573E9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3404.0</f>
        <v>3404.0</v>
      </c>
      <c r="E31" s="26" t="n">
        <f>0.0</f>
        <v>0.0</v>
      </c>
      <c r="F31" s="27" t="n">
        <f>0.002</f>
        <v>0.002</v>
      </c>
      <c r="G31" s="25" t="n">
        <f>14077408500.0</f>
        <v>1.40774085E10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46150.0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46150.0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12672</f>
        <v>12672.0</v>
      </c>
      <c r="E11" s="18" t="n">
        <f>3911</f>
        <v>3911.0</v>
      </c>
      <c r="F11" s="19" t="n">
        <f>1</f>
        <v>1.0</v>
      </c>
      <c r="G11" s="17" t="n">
        <f>5649058970</f>
        <v>5.64905897E9</v>
      </c>
      <c r="H11" s="18" t="n">
        <f>4144779570</f>
        <v>4.14477957E9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43983</f>
        <v>43983.0</v>
      </c>
      <c r="E12" s="22" t="n">
        <f>11623</f>
        <v>11623.0</v>
      </c>
      <c r="F12" s="23" t="n">
        <f>1</f>
        <v>1.0</v>
      </c>
      <c r="G12" s="21" t="n">
        <f>14819653334</f>
        <v>1.4819653334E10</v>
      </c>
      <c r="H12" s="22" t="n">
        <f>11629148310</f>
        <v>1.162914831E10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46189</f>
        <v>46189.0</v>
      </c>
      <c r="E13" s="22" t="n">
        <f>19296</f>
        <v>19296.0</v>
      </c>
      <c r="F13" s="23" t="n">
        <f>1</f>
        <v>1.0</v>
      </c>
      <c r="G13" s="21" t="n">
        <f>22171460253</f>
        <v>2.2171460253E10</v>
      </c>
      <c r="H13" s="22" t="n">
        <f>19403010530</f>
        <v>1.940301053E10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102844</f>
        <v>102844.0</v>
      </c>
      <c r="E14" s="26" t="n">
        <f>34830</f>
        <v>34830.0</v>
      </c>
      <c r="F14" s="27" t="n">
        <f>1</f>
        <v>1.0</v>
      </c>
      <c r="G14" s="25" t="n">
        <f>42640172557</f>
        <v>4.2640172557E10</v>
      </c>
      <c r="H14" s="26" t="n">
        <f>35176938410</f>
        <v>3.517693841E10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3</f>
        <v>3.0</v>
      </c>
      <c r="E15" s="18" t="n">
        <f>0</f>
        <v>0.0</v>
      </c>
      <c r="F15" s="19" t="n">
        <f>0</f>
        <v>0.0</v>
      </c>
      <c r="G15" s="17" t="n">
        <f>1020000</f>
        <v>1020000.0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</f>
        <v>1.0</v>
      </c>
      <c r="E16" s="22" t="n">
        <f>0</f>
        <v>0.0</v>
      </c>
      <c r="F16" s="23" t="n">
        <f>0</f>
        <v>0.0</v>
      </c>
      <c r="G16" s="21" t="n">
        <f>150000</f>
        <v>150000.0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183</f>
        <v>183.0</v>
      </c>
      <c r="E17" s="22" t="n">
        <f>40</f>
        <v>40.0</v>
      </c>
      <c r="F17" s="23" t="n">
        <f>0.004</f>
        <v>0.004</v>
      </c>
      <c r="G17" s="21" t="n">
        <f>36300000</f>
        <v>3.63E7</v>
      </c>
      <c r="H17" s="22" t="n">
        <f>3250000</f>
        <v>3250000.0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187</f>
        <v>187.0</v>
      </c>
      <c r="E18" s="26" t="n">
        <f>40</f>
        <v>40.0</v>
      </c>
      <c r="F18" s="27" t="n">
        <f>0.002</f>
        <v>0.002</v>
      </c>
      <c r="G18" s="25" t="n">
        <f>37470000</f>
        <v>3.747E7</v>
      </c>
      <c r="H18" s="26" t="n">
        <f>3250000</f>
        <v>3250000.0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12669</f>
        <v>12669.0</v>
      </c>
      <c r="E19" s="18" t="n">
        <f>3911</f>
        <v>3911.0</v>
      </c>
      <c r="F19" s="19" t="n">
        <f>1</f>
        <v>1.0</v>
      </c>
      <c r="G19" s="17" t="n">
        <f>5648038970</f>
        <v>5.64803897E9</v>
      </c>
      <c r="H19" s="18" t="n">
        <f>4144779570</f>
        <v>4.14477957E9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20479</f>
        <v>20479.0</v>
      </c>
      <c r="E20" s="22" t="n">
        <f>7623</f>
        <v>7623.0</v>
      </c>
      <c r="F20" s="23" t="n">
        <f>0.466</f>
        <v>0.466</v>
      </c>
      <c r="G20" s="21" t="n">
        <f>14611963110</f>
        <v>1.461196311E10</v>
      </c>
      <c r="H20" s="22" t="n">
        <f>11531648310</f>
        <v>1.153164831E10</v>
      </c>
      <c r="I20" s="23" t="n">
        <f>0.986</f>
        <v>0.986</v>
      </c>
    </row>
    <row r="21" spans="1:9" ht="24.9" customHeight="1">
      <c r="A21" s="41"/>
      <c r="B21" s="39"/>
      <c r="C21" s="20" t="s">
        <v>17</v>
      </c>
      <c r="D21" s="21" t="n">
        <f>35232</f>
        <v>35232.0</v>
      </c>
      <c r="E21" s="22" t="n">
        <f>19256</f>
        <v>19256.0</v>
      </c>
      <c r="F21" s="23" t="n">
        <f>0.763</f>
        <v>0.763</v>
      </c>
      <c r="G21" s="21" t="n">
        <f>22002892130</f>
        <v>2.200289213E10</v>
      </c>
      <c r="H21" s="22" t="n">
        <f>19399760530</f>
        <v>1.939976053E10</v>
      </c>
      <c r="I21" s="23" t="n">
        <f>0.992</f>
        <v>0.992</v>
      </c>
    </row>
    <row r="22" spans="1:9" ht="24.9" customHeight="1">
      <c r="A22" s="41"/>
      <c r="B22" s="39"/>
      <c r="C22" s="24" t="s">
        <v>18</v>
      </c>
      <c r="D22" s="25" t="n">
        <f>68380</f>
        <v>68380.0</v>
      </c>
      <c r="E22" s="26" t="n">
        <f>30790</f>
        <v>30790.0</v>
      </c>
      <c r="F22" s="27" t="n">
        <f>0.665</f>
        <v>0.665</v>
      </c>
      <c r="G22" s="25" t="n">
        <f>42262894210</f>
        <v>4.226289421E10</v>
      </c>
      <c r="H22" s="26" t="n">
        <f>35076188410</f>
        <v>3.507618841E10</v>
      </c>
      <c r="I22" s="27" t="n">
        <f>0.991</f>
        <v>0.991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23503</f>
        <v>23503.0</v>
      </c>
      <c r="E24" s="22" t="n">
        <f>4000</f>
        <v>4000.0</v>
      </c>
      <c r="F24" s="23" t="n">
        <f>0.534</f>
        <v>0.534</v>
      </c>
      <c r="G24" s="21" t="n">
        <f>207540224</f>
        <v>2.07540224E8</v>
      </c>
      <c r="H24" s="22" t="n">
        <f>97500000</f>
        <v>9.75E7</v>
      </c>
      <c r="I24" s="23" t="n">
        <f>0.014</f>
        <v>0.014</v>
      </c>
    </row>
    <row r="25" spans="1:9" ht="24.9" customHeight="1">
      <c r="A25" s="41"/>
      <c r="B25" s="39"/>
      <c r="C25" s="20" t="s">
        <v>17</v>
      </c>
      <c r="D25" s="21" t="n">
        <f>10774</f>
        <v>10774.0</v>
      </c>
      <c r="E25" s="22" t="n">
        <f>0</f>
        <v>0.0</v>
      </c>
      <c r="F25" s="23" t="n">
        <f>0.233</f>
        <v>0.233</v>
      </c>
      <c r="G25" s="21" t="n">
        <f>132268123</f>
        <v>1.32268123E8</v>
      </c>
      <c r="H25" s="22" t="n">
        <f>0</f>
        <v>0.0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34277</f>
        <v>34277.0</v>
      </c>
      <c r="E26" s="26" t="n">
        <f>4000</f>
        <v>4000.0</v>
      </c>
      <c r="F26" s="27" t="n">
        <f>0.333</f>
        <v>0.333</v>
      </c>
      <c r="G26" s="25" t="n">
        <f>339808347</f>
        <v>3.39808347E8</v>
      </c>
      <c r="H26" s="26" t="n">
        <f>97500000</f>
        <v>9.75E7</v>
      </c>
      <c r="I26" s="27" t="n">
        <f>0.008</f>
        <v>0.008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46150.0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46150.0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16015.0</v>
      </c>
      <c r="F12" s="18" t="n">
        <f>2700</f>
        <v>2700.0</v>
      </c>
      <c r="G12" s="17" t="n">
        <v>1.004055208499E12</v>
      </c>
      <c r="H12" s="18" t="n">
        <f>169554602499</f>
        <v>1.69554602499E11</v>
      </c>
    </row>
    <row r="13" spans="1:8" ht="24.9" customHeight="1">
      <c r="A13" s="51"/>
      <c r="B13" s="57"/>
      <c r="C13" s="39"/>
      <c r="D13" s="20" t="s">
        <v>16</v>
      </c>
      <c r="E13" s="21" t="n">
        <v>15222.0</v>
      </c>
      <c r="F13" s="22" t="n">
        <f>4517</f>
        <v>4517.0</v>
      </c>
      <c r="G13" s="21" t="n">
        <v>9.5187421418E11</v>
      </c>
      <c r="H13" s="22" t="n">
        <f>283032812180</f>
        <v>2.8303281218E11</v>
      </c>
    </row>
    <row r="14" spans="1:8" ht="24.9" customHeight="1">
      <c r="A14" s="51"/>
      <c r="B14" s="57"/>
      <c r="C14" s="39"/>
      <c r="D14" s="20" t="s">
        <v>17</v>
      </c>
      <c r="E14" s="21" t="n">
        <v>22050.0</v>
      </c>
      <c r="F14" s="22" t="n">
        <f>8075</f>
        <v>8075.0</v>
      </c>
      <c r="G14" s="21" t="n">
        <v>1.37983559403E12</v>
      </c>
      <c r="H14" s="22" t="n">
        <f>505623084030</f>
        <v>5.0562308403E11</v>
      </c>
    </row>
    <row r="15" spans="1:8" ht="24.9" customHeight="1">
      <c r="A15" s="51"/>
      <c r="B15" s="57"/>
      <c r="C15" s="39"/>
      <c r="D15" s="24" t="s">
        <v>18</v>
      </c>
      <c r="E15" s="25" t="n">
        <v>53287.0</v>
      </c>
      <c r="F15" s="26" t="n">
        <f>15292</f>
        <v>15292.0</v>
      </c>
      <c r="G15" s="25" t="n">
        <v>3.335765016709E12</v>
      </c>
      <c r="H15" s="26" t="n">
        <f>958210498709</f>
        <v>9.58210498709E11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292680.0</v>
      </c>
      <c r="F16" s="18" t="n">
        <f>34359</f>
        <v>34359.0</v>
      </c>
      <c r="G16" s="17" t="n">
        <v>1.834324706576E12</v>
      </c>
      <c r="H16" s="18" t="n">
        <f>215512184576</f>
        <v>2.15512184576E11</v>
      </c>
    </row>
    <row r="17" spans="1:8" ht="24.9" customHeight="1">
      <c r="A17" s="51"/>
      <c r="B17" s="57"/>
      <c r="C17" s="39"/>
      <c r="D17" s="20" t="s">
        <v>16</v>
      </c>
      <c r="E17" s="21" t="n">
        <v>153082.0</v>
      </c>
      <c r="F17" s="22" t="n">
        <f>14811</f>
        <v>14811.0</v>
      </c>
      <c r="G17" s="21" t="n">
        <v>9.569336509E11</v>
      </c>
      <c r="H17" s="22" t="n">
        <f>92586113400</f>
        <v>9.25861134E10</v>
      </c>
    </row>
    <row r="18" spans="1:8" ht="24.9" customHeight="1">
      <c r="A18" s="51"/>
      <c r="B18" s="57"/>
      <c r="C18" s="39"/>
      <c r="D18" s="20" t="s">
        <v>17</v>
      </c>
      <c r="E18" s="21" t="n">
        <v>161906.0</v>
      </c>
      <c r="F18" s="22" t="n">
        <f>15287</f>
        <v>15287.0</v>
      </c>
      <c r="G18" s="21" t="n">
        <v>1.01211221038E12</v>
      </c>
      <c r="H18" s="22" t="n">
        <f>95526693880</f>
        <v>9.552669388E10</v>
      </c>
    </row>
    <row r="19" spans="1:8" ht="24.9" customHeight="1">
      <c r="A19" s="51"/>
      <c r="B19" s="57"/>
      <c r="C19" s="39"/>
      <c r="D19" s="24" t="s">
        <v>18</v>
      </c>
      <c r="E19" s="25" t="n">
        <v>607668.0</v>
      </c>
      <c r="F19" s="26" t="n">
        <f>64457</f>
        <v>64457.0</v>
      </c>
      <c r="G19" s="25" t="n">
        <v>3.803370567856E12</v>
      </c>
      <c r="H19" s="26" t="n">
        <f>403624991856</f>
        <v>4.03624991856E11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489899.0</v>
      </c>
      <c r="F20" s="18" t="str">
        <f>"－"</f>
        <v>－</v>
      </c>
      <c r="G20" s="17" t="n">
        <v>3.0681607985E11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143962.0</v>
      </c>
      <c r="F21" s="22" t="str">
        <f>"－"</f>
        <v>－</v>
      </c>
      <c r="G21" s="21" t="n">
        <v>9.000154255E10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161208.0</v>
      </c>
      <c r="F22" s="22" t="str">
        <f>"－"</f>
        <v>－</v>
      </c>
      <c r="G22" s="21" t="n">
        <v>1.007494057E11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795069.0</v>
      </c>
      <c r="F23" s="26" t="str">
        <f>"－"</f>
        <v>－</v>
      </c>
      <c r="G23" s="25" t="n">
        <v>4.975670281E11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24887.0</v>
      </c>
      <c r="F24" s="18" t="n">
        <f>195</f>
        <v>195.0</v>
      </c>
      <c r="G24" s="17" t="n">
        <v>9.5122188895E11</v>
      </c>
      <c r="H24" s="18" t="n">
        <f>7488828950</f>
        <v>7.48882895E9</v>
      </c>
    </row>
    <row r="25" spans="1:8" ht="24.9" customHeight="1">
      <c r="A25" s="51"/>
      <c r="B25" s="57"/>
      <c r="C25" s="39"/>
      <c r="D25" s="20" t="s">
        <v>16</v>
      </c>
      <c r="E25" s="21" t="n">
        <v>20742.0</v>
      </c>
      <c r="F25" s="22" t="n">
        <f>436</f>
        <v>436.0</v>
      </c>
      <c r="G25" s="21" t="n">
        <v>7.9199068824E11</v>
      </c>
      <c r="H25" s="22" t="n">
        <f>16677778240</f>
        <v>1.667777824E10</v>
      </c>
    </row>
    <row r="26" spans="1:8" ht="24.9" customHeight="1">
      <c r="A26" s="51"/>
      <c r="B26" s="57"/>
      <c r="C26" s="39"/>
      <c r="D26" s="20" t="s">
        <v>17</v>
      </c>
      <c r="E26" s="21" t="n">
        <v>40493.0</v>
      </c>
      <c r="F26" s="22" t="n">
        <f>9305</f>
        <v>9305.0</v>
      </c>
      <c r="G26" s="21" t="n">
        <v>1.5493440894E12</v>
      </c>
      <c r="H26" s="22" t="n">
        <f>356569399400</f>
        <v>3.565693994E11</v>
      </c>
    </row>
    <row r="27" spans="1:8" ht="24.9" customHeight="1">
      <c r="A27" s="51"/>
      <c r="B27" s="57"/>
      <c r="C27" s="39"/>
      <c r="D27" s="24" t="s">
        <v>18</v>
      </c>
      <c r="E27" s="25" t="n">
        <v>86122.0</v>
      </c>
      <c r="F27" s="26" t="n">
        <f>9936</f>
        <v>9936.0</v>
      </c>
      <c r="G27" s="25" t="n">
        <v>3.29255666659E12</v>
      </c>
      <c r="H27" s="26" t="n">
        <f>380736006590</f>
        <v>3.8073600659E11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6812.0</v>
      </c>
      <c r="F28" s="18" t="n">
        <f>424</f>
        <v>424.0</v>
      </c>
      <c r="G28" s="17" t="n">
        <v>2.604376181E10</v>
      </c>
      <c r="H28" s="18" t="n">
        <f>1623849060</f>
        <v>1.62384906E9</v>
      </c>
    </row>
    <row r="29" spans="1:8" ht="24.9" customHeight="1">
      <c r="A29" s="51"/>
      <c r="B29" s="57"/>
      <c r="C29" s="39"/>
      <c r="D29" s="20" t="s">
        <v>16</v>
      </c>
      <c r="E29" s="21" t="n">
        <v>5614.0</v>
      </c>
      <c r="F29" s="22" t="n">
        <f>200</f>
        <v>200.0</v>
      </c>
      <c r="G29" s="21" t="n">
        <v>2.142852265E10</v>
      </c>
      <c r="H29" s="22" t="n">
        <f>762994150</f>
        <v>7.6299415E8</v>
      </c>
    </row>
    <row r="30" spans="1:8" ht="24.9" customHeight="1">
      <c r="A30" s="51"/>
      <c r="B30" s="57"/>
      <c r="C30" s="39"/>
      <c r="D30" s="20" t="s">
        <v>17</v>
      </c>
      <c r="E30" s="21" t="n">
        <v>6604.0</v>
      </c>
      <c r="F30" s="22" t="n">
        <f>167</f>
        <v>167.0</v>
      </c>
      <c r="G30" s="21" t="n">
        <v>2.52542679E10</v>
      </c>
      <c r="H30" s="22" t="n">
        <f>637537150</f>
        <v>6.3753715E8</v>
      </c>
    </row>
    <row r="31" spans="1:8" ht="24.9" customHeight="1">
      <c r="A31" s="51"/>
      <c r="B31" s="57"/>
      <c r="C31" s="39"/>
      <c r="D31" s="24" t="s">
        <v>18</v>
      </c>
      <c r="E31" s="25" t="n">
        <v>19030.0</v>
      </c>
      <c r="F31" s="26" t="n">
        <f>791</f>
        <v>791.0</v>
      </c>
      <c r="G31" s="25" t="n">
        <v>7.272655236E10</v>
      </c>
      <c r="H31" s="26" t="n">
        <f>3024380360</f>
        <v>3.02438036E9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732.0</v>
      </c>
      <c r="F36" s="18" t="n">
        <f>58</f>
        <v>58.0</v>
      </c>
      <c r="G36" s="17" t="n">
        <v>2.557436178E9</v>
      </c>
      <c r="H36" s="18" t="n">
        <f>203602178</f>
        <v>2.03602178E8</v>
      </c>
    </row>
    <row r="37" spans="1:8" ht="24.9" customHeight="1">
      <c r="A37" s="51"/>
      <c r="B37" s="57"/>
      <c r="C37" s="39"/>
      <c r="D37" s="20" t="s">
        <v>16</v>
      </c>
      <c r="E37" s="21" t="n">
        <v>644.0</v>
      </c>
      <c r="F37" s="22" t="n">
        <f>1</f>
        <v>1.0</v>
      </c>
      <c r="G37" s="21" t="n">
        <v>2.2461215E9</v>
      </c>
      <c r="H37" s="22" t="n">
        <f>3488500</f>
        <v>3488500.0</v>
      </c>
    </row>
    <row r="38" spans="1:8" ht="24.9" customHeight="1">
      <c r="A38" s="51"/>
      <c r="B38" s="57"/>
      <c r="C38" s="39"/>
      <c r="D38" s="20" t="s">
        <v>17</v>
      </c>
      <c r="E38" s="21" t="n">
        <v>818.0</v>
      </c>
      <c r="F38" s="22" t="n">
        <f>158</f>
        <v>158.0</v>
      </c>
      <c r="G38" s="21" t="n">
        <v>2.85440951E9</v>
      </c>
      <c r="H38" s="22" t="n">
        <f>551174010</f>
        <v>5.5117401E8</v>
      </c>
    </row>
    <row r="39" spans="1:8" ht="24.9" customHeight="1">
      <c r="A39" s="51"/>
      <c r="B39" s="57"/>
      <c r="C39" s="39"/>
      <c r="D39" s="24" t="s">
        <v>18</v>
      </c>
      <c r="E39" s="25" t="n">
        <v>2194.0</v>
      </c>
      <c r="F39" s="26" t="n">
        <f>217</f>
        <v>217.0</v>
      </c>
      <c r="G39" s="25" t="n">
        <v>7.657967188E9</v>
      </c>
      <c r="H39" s="26" t="n">
        <f>758264688</f>
        <v>7.58264688E8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6.0</v>
      </c>
      <c r="F48" s="18" t="n">
        <f>6</f>
        <v>6.0</v>
      </c>
      <c r="G48" s="17" t="n">
        <v>1.128E7</v>
      </c>
      <c r="H48" s="18" t="n">
        <f>11280000</f>
        <v>1.128E7</v>
      </c>
    </row>
    <row r="49" spans="1:8" ht="24.9" customHeight="1">
      <c r="A49" s="51"/>
      <c r="B49" s="57"/>
      <c r="C49" s="39"/>
      <c r="D49" s="20" t="s">
        <v>16</v>
      </c>
      <c r="E49" s="21" t="n">
        <v>11.0</v>
      </c>
      <c r="F49" s="22" t="n">
        <f>0</f>
        <v>0.0</v>
      </c>
      <c r="G49" s="21" t="n">
        <v>2.05445E7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546.0</v>
      </c>
      <c r="F50" s="22" t="n">
        <f>322</f>
        <v>322.0</v>
      </c>
      <c r="G50" s="21" t="n">
        <v>1.01382395E9</v>
      </c>
      <c r="H50" s="22" t="n">
        <f>597158450</f>
        <v>5.9715845E8</v>
      </c>
    </row>
    <row r="51" spans="1:8" ht="24.9" customHeight="1">
      <c r="A51" s="51"/>
      <c r="B51" s="57"/>
      <c r="C51" s="39"/>
      <c r="D51" s="24" t="s">
        <v>18</v>
      </c>
      <c r="E51" s="25" t="n">
        <v>563.0</v>
      </c>
      <c r="F51" s="26" t="n">
        <f>328</f>
        <v>328.0</v>
      </c>
      <c r="G51" s="25" t="n">
        <v>1.04564845E9</v>
      </c>
      <c r="H51" s="26" t="n">
        <f>608438450</f>
        <v>6.0843845E8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832.0</v>
      </c>
      <c r="F56" s="18" t="n">
        <f>13</f>
        <v>13.0</v>
      </c>
      <c r="G56" s="17" t="n">
        <v>6.408373E8</v>
      </c>
      <c r="H56" s="18" t="n">
        <f>9999300</f>
        <v>9999300.0</v>
      </c>
    </row>
    <row r="57" spans="1:8" ht="24.9" customHeight="1">
      <c r="A57" s="51"/>
      <c r="B57" s="57"/>
      <c r="C57" s="39"/>
      <c r="D57" s="20" t="s">
        <v>16</v>
      </c>
      <c r="E57" s="21" t="n">
        <v>2755.0</v>
      </c>
      <c r="F57" s="22" t="n">
        <f>126</f>
        <v>126.0</v>
      </c>
      <c r="G57" s="21" t="n">
        <v>2.1959511E9</v>
      </c>
      <c r="H57" s="22" t="n">
        <f>99760100</f>
        <v>9.97601E7</v>
      </c>
    </row>
    <row r="58" spans="1:8" ht="24.9" customHeight="1">
      <c r="A58" s="51"/>
      <c r="B58" s="57"/>
      <c r="C58" s="39"/>
      <c r="D58" s="20" t="s">
        <v>17</v>
      </c>
      <c r="E58" s="21" t="n">
        <v>1805.0</v>
      </c>
      <c r="F58" s="22" t="n">
        <f>121</f>
        <v>121.0</v>
      </c>
      <c r="G58" s="21" t="n">
        <v>1.46483518E9</v>
      </c>
      <c r="H58" s="22" t="n">
        <f>98658180</f>
        <v>9.865818E7</v>
      </c>
    </row>
    <row r="59" spans="1:8" ht="24.9" customHeight="1">
      <c r="A59" s="51"/>
      <c r="B59" s="57"/>
      <c r="C59" s="39"/>
      <c r="D59" s="24" t="s">
        <v>18</v>
      </c>
      <c r="E59" s="25" t="n">
        <v>5392.0</v>
      </c>
      <c r="F59" s="26" t="n">
        <f>260</f>
        <v>260.0</v>
      </c>
      <c r="G59" s="25" t="n">
        <v>4.30162358E9</v>
      </c>
      <c r="H59" s="26" t="n">
        <f>208417580</f>
        <v>2.0841758E8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251.0</v>
      </c>
      <c r="F60" s="18" t="n">
        <f>12</f>
        <v>12.0</v>
      </c>
      <c r="G60" s="17" t="n">
        <v>1.25250941E9</v>
      </c>
      <c r="H60" s="18" t="n">
        <f>59900010</f>
        <v>5.990001E7</v>
      </c>
    </row>
    <row r="61" spans="1:8" ht="24.9" customHeight="1">
      <c r="A61" s="51"/>
      <c r="B61" s="57"/>
      <c r="C61" s="39"/>
      <c r="D61" s="20" t="s">
        <v>16</v>
      </c>
      <c r="E61" s="21" t="n">
        <v>13.0</v>
      </c>
      <c r="F61" s="22" t="n">
        <f>2</f>
        <v>2.0</v>
      </c>
      <c r="G61" s="21" t="n">
        <v>6.46597E7</v>
      </c>
      <c r="H61" s="22" t="n">
        <f>9952400</f>
        <v>9952400.0</v>
      </c>
    </row>
    <row r="62" spans="1:8" ht="24.9" customHeight="1">
      <c r="A62" s="51"/>
      <c r="B62" s="57"/>
      <c r="C62" s="39"/>
      <c r="D62" s="20" t="s">
        <v>17</v>
      </c>
      <c r="E62" s="21" t="n">
        <v>4.0</v>
      </c>
      <c r="F62" s="22" t="n">
        <f>1</f>
        <v>1.0</v>
      </c>
      <c r="G62" s="21" t="n">
        <v>1.99091E7</v>
      </c>
      <c r="H62" s="22" t="n">
        <f>4977400</f>
        <v>4977400.0</v>
      </c>
    </row>
    <row r="63" spans="1:8" ht="24.9" customHeight="1">
      <c r="A63" s="51"/>
      <c r="B63" s="57"/>
      <c r="C63" s="39"/>
      <c r="D63" s="24" t="s">
        <v>18</v>
      </c>
      <c r="E63" s="25" t="n">
        <v>268.0</v>
      </c>
      <c r="F63" s="26" t="n">
        <f>15</f>
        <v>15.0</v>
      </c>
      <c r="G63" s="25" t="n">
        <v>1.33707821E9</v>
      </c>
      <c r="H63" s="26" t="n">
        <f>74829810</f>
        <v>7.482981E7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1315000.0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32.0</v>
      </c>
      <c r="F78" s="22" t="n">
        <f>0</f>
        <v>0.0</v>
      </c>
      <c r="G78" s="21" t="n">
        <v>1.0422E7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36.0</v>
      </c>
      <c r="F79" s="26" t="n">
        <f>0</f>
        <v>0.0</v>
      </c>
      <c r="G79" s="25" t="n">
        <v>1.1737E7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33.0</v>
      </c>
      <c r="F92" s="18" t="n">
        <f>0</f>
        <v>0.0</v>
      </c>
      <c r="G92" s="17" t="n">
        <v>5.14933E7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20.0</v>
      </c>
      <c r="F93" s="22" t="n">
        <f>0</f>
        <v>0.0</v>
      </c>
      <c r="G93" s="21" t="n">
        <v>3.12858E7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8.0</v>
      </c>
      <c r="F94" s="22" t="n">
        <f>0</f>
        <v>0.0</v>
      </c>
      <c r="G94" s="21" t="n">
        <v>1.25109E7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61.0</v>
      </c>
      <c r="F95" s="26" t="n">
        <f>0</f>
        <v>0.0</v>
      </c>
      <c r="G95" s="25" t="n">
        <v>9.529E7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39.0</v>
      </c>
      <c r="F96" s="18" t="n">
        <f>0</f>
        <v>0.0</v>
      </c>
      <c r="G96" s="17" t="n">
        <v>8.96516E7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3.0</v>
      </c>
      <c r="F97" s="22" t="n">
        <f>0</f>
        <v>0.0</v>
      </c>
      <c r="G97" s="21" t="n">
        <v>6911000.0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4.0</v>
      </c>
      <c r="F98" s="22" t="n">
        <f>0</f>
        <v>0.0</v>
      </c>
      <c r="G98" s="21" t="n">
        <v>9215800.0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46.0</v>
      </c>
      <c r="F99" s="26" t="n">
        <f>0</f>
        <v>0.0</v>
      </c>
      <c r="G99" s="25" t="n">
        <v>1.057784E8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11689.0</v>
      </c>
      <c r="F108" s="18" t="n">
        <f>758</f>
        <v>758.0</v>
      </c>
      <c r="G108" s="17" t="n">
        <v>1.51679695E12</v>
      </c>
      <c r="H108" s="18" t="n">
        <f>98392370000</f>
        <v>9.839237E10</v>
      </c>
    </row>
    <row r="109" spans="1:8" ht="24.9" customHeight="1">
      <c r="A109" s="51"/>
      <c r="B109" s="57"/>
      <c r="C109" s="39"/>
      <c r="D109" s="20" t="s">
        <v>16</v>
      </c>
      <c r="E109" s="21" t="n">
        <v>10193.0</v>
      </c>
      <c r="F109" s="22" t="n">
        <f>224</f>
        <v>224.0</v>
      </c>
      <c r="G109" s="21" t="n">
        <v>1.32175721E12</v>
      </c>
      <c r="H109" s="22" t="n">
        <f>29047610000</f>
        <v>2.904761E10</v>
      </c>
    </row>
    <row r="110" spans="1:8" ht="24.9" customHeight="1">
      <c r="A110" s="51"/>
      <c r="B110" s="57"/>
      <c r="C110" s="39"/>
      <c r="D110" s="20" t="s">
        <v>17</v>
      </c>
      <c r="E110" s="21" t="n">
        <v>9500.0</v>
      </c>
      <c r="F110" s="22" t="n">
        <f>595</f>
        <v>595.0</v>
      </c>
      <c r="G110" s="21" t="n">
        <v>1.232100655E12</v>
      </c>
      <c r="H110" s="22" t="n">
        <f>77175275000</f>
        <v>7.7175275E10</v>
      </c>
    </row>
    <row r="111" spans="1:8" ht="24.9" customHeight="1">
      <c r="A111" s="51"/>
      <c r="B111" s="57"/>
      <c r="C111" s="39"/>
      <c r="D111" s="24" t="s">
        <v>18</v>
      </c>
      <c r="E111" s="25" t="n">
        <v>31382.0</v>
      </c>
      <c r="F111" s="26" t="n">
        <f>1577</f>
        <v>1577.0</v>
      </c>
      <c r="G111" s="25" t="n">
        <v>4.070654815E12</v>
      </c>
      <c r="H111" s="26" t="n">
        <f>204615255000</f>
        <v>2.04615255E11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333.0</v>
      </c>
      <c r="F113" s="22" t="n">
        <f>0</f>
        <v>0.0</v>
      </c>
      <c r="G113" s="21" t="n">
        <v>4.317834E9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150.0</v>
      </c>
      <c r="F114" s="22" t="n">
        <f>0</f>
        <v>0.0</v>
      </c>
      <c r="G114" s="21" t="n">
        <v>1.94538E9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483.0</v>
      </c>
      <c r="F115" s="26" t="n">
        <f>0</f>
        <v>0.0</v>
      </c>
      <c r="G115" s="25" t="n">
        <v>6.263214E9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371.0</v>
      </c>
      <c r="F118" s="22" t="n">
        <f>0</f>
        <v>0.0</v>
      </c>
      <c r="G118" s="21" t="n">
        <v>3.517011E9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371.0</v>
      </c>
      <c r="F119" s="26" t="n">
        <f>0</f>
        <v>0.0</v>
      </c>
      <c r="G119" s="25" t="n">
        <v>3.517011E9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2362.0</v>
      </c>
      <c r="F120" s="18" t="n">
        <f>0</f>
        <v>0.0</v>
      </c>
      <c r="G120" s="17" t="n">
        <v>5.841241875E10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50.0</v>
      </c>
      <c r="F121" s="22" t="n">
        <f>0</f>
        <v>0.0</v>
      </c>
      <c r="G121" s="21" t="n">
        <v>1.23821875E9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2071.0</v>
      </c>
      <c r="F122" s="22" t="n">
        <f>0</f>
        <v>0.0</v>
      </c>
      <c r="G122" s="21" t="n">
        <v>5.120841875E10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4483.0</v>
      </c>
      <c r="F123" s="26" t="n">
        <f>0</f>
        <v>0.0</v>
      </c>
      <c r="G123" s="25" t="n">
        <v>1.1085905625E11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6626.0</v>
      </c>
      <c r="F124" s="18" t="n">
        <f>0</f>
        <v>0.0</v>
      </c>
      <c r="G124" s="17" t="n">
        <v>1.62923917E11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2651.0</v>
      </c>
      <c r="F125" s="22" t="n">
        <f>0</f>
        <v>0.0</v>
      </c>
      <c r="G125" s="21" t="n">
        <v>6.4970182E10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2570.0</v>
      </c>
      <c r="F126" s="22" t="n">
        <f>0</f>
        <v>0.0</v>
      </c>
      <c r="G126" s="21" t="n">
        <v>6.307922E10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11847.0</v>
      </c>
      <c r="F127" s="26" t="n">
        <f>0</f>
        <v>0.0</v>
      </c>
      <c r="G127" s="25" t="n">
        <v>2.90973319E11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66.0</v>
      </c>
      <c r="F128" s="18" t="n">
        <f>0</f>
        <v>0.0</v>
      </c>
      <c r="G128" s="17" t="n">
        <v>1.621171E8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51.0</v>
      </c>
      <c r="F129" s="22" t="n">
        <f>0</f>
        <v>0.0</v>
      </c>
      <c r="G129" s="21" t="n">
        <v>1.249088E8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35.0</v>
      </c>
      <c r="F130" s="22" t="n">
        <f>0</f>
        <v>0.0</v>
      </c>
      <c r="G130" s="21" t="n">
        <v>8.59251E7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152.0</v>
      </c>
      <c r="F131" s="26" t="n">
        <f>0</f>
        <v>0.0</v>
      </c>
      <c r="G131" s="25" t="n">
        <v>3.72951E8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8409.0</v>
      </c>
      <c r="F132" s="18" t="n">
        <f>0</f>
        <v>0.0</v>
      </c>
      <c r="G132" s="17" t="n">
        <v>2.07275929E10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2040.0</v>
      </c>
      <c r="F133" s="22" t="n">
        <f>0</f>
        <v>0.0</v>
      </c>
      <c r="G133" s="21" t="n">
        <v>5.0170299E9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2382.0</v>
      </c>
      <c r="F134" s="22" t="n">
        <f>0</f>
        <v>0.0</v>
      </c>
      <c r="G134" s="21" t="n">
        <v>5.87425155E9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12831.0</v>
      </c>
      <c r="F135" s="26" t="n">
        <f>0</f>
        <v>0.0</v>
      </c>
      <c r="G135" s="25" t="n">
        <v>3.161887435E10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462.0</v>
      </c>
      <c r="F136" s="18" t="n">
        <f>0</f>
        <v>0.0</v>
      </c>
      <c r="G136" s="17" t="n">
        <v>1.1266145E9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159.0</v>
      </c>
      <c r="F137" s="22" t="n">
        <f>0</f>
        <v>0.0</v>
      </c>
      <c r="G137" s="21" t="n">
        <v>3.850886E8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111.0</v>
      </c>
      <c r="F138" s="22" t="n">
        <f>0</f>
        <v>0.0</v>
      </c>
      <c r="G138" s="21" t="n">
        <v>2.713882E8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732.0</v>
      </c>
      <c r="F139" s="26" t="n">
        <f>0</f>
        <v>0.0</v>
      </c>
      <c r="G139" s="25" t="n">
        <v>1.7830913E9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1925.0</v>
      </c>
      <c r="F144" s="18" t="n">
        <f>0</f>
        <v>0.0</v>
      </c>
      <c r="G144" s="17" t="n">
        <v>9.937845E9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1532.0</v>
      </c>
      <c r="F145" s="22" t="n">
        <f>0</f>
        <v>0.0</v>
      </c>
      <c r="G145" s="21" t="n">
        <v>7.799103E9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1450.0</v>
      </c>
      <c r="F146" s="22" t="n">
        <f>223</f>
        <v>223.0</v>
      </c>
      <c r="G146" s="21" t="n">
        <v>7.4239915E9</v>
      </c>
      <c r="H146" s="22" t="n">
        <f>1143529000</f>
        <v>1.143529E9</v>
      </c>
    </row>
    <row r="147" spans="1:8" ht="24.9" customHeight="1">
      <c r="A147" s="51"/>
      <c r="B147" s="57"/>
      <c r="C147" s="39"/>
      <c r="D147" s="24" t="s">
        <v>18</v>
      </c>
      <c r="E147" s="25" t="n">
        <v>4907.0</v>
      </c>
      <c r="F147" s="26" t="n">
        <f>223</f>
        <v>223.0</v>
      </c>
      <c r="G147" s="25" t="n">
        <v>2.51609395E10</v>
      </c>
      <c r="H147" s="26" t="n">
        <f>1143529000</f>
        <v>1.143529E9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187.0</v>
      </c>
      <c r="F148" s="18" t="n">
        <f>0</f>
        <v>0.0</v>
      </c>
      <c r="G148" s="17" t="n">
        <v>1.964612E8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399.0</v>
      </c>
      <c r="F149" s="22" t="n">
        <f>0</f>
        <v>0.0</v>
      </c>
      <c r="G149" s="21" t="n">
        <v>4.136381E8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772.0</v>
      </c>
      <c r="F150" s="22" t="n">
        <f>0</f>
        <v>0.0</v>
      </c>
      <c r="G150" s="21" t="n">
        <v>8.062227E8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1358.0</v>
      </c>
      <c r="F151" s="26" t="n">
        <f>0</f>
        <v>0.0</v>
      </c>
      <c r="G151" s="25" t="n">
        <v>1.416322E9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291.0</v>
      </c>
      <c r="F152" s="18" t="n">
        <f>0</f>
        <v>0.0</v>
      </c>
      <c r="G152" s="17" t="n">
        <v>3.001477E8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107.0</v>
      </c>
      <c r="F153" s="22" t="n">
        <f>0</f>
        <v>0.0</v>
      </c>
      <c r="G153" s="21" t="n">
        <v>1.089312E8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105.0</v>
      </c>
      <c r="F154" s="22" t="n">
        <f>0</f>
        <v>0.0</v>
      </c>
      <c r="G154" s="21" t="n">
        <v>1.0745195E8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503.0</v>
      </c>
      <c r="F155" s="26" t="n">
        <f>0</f>
        <v>0.0</v>
      </c>
      <c r="G155" s="25" t="n">
        <v>5.1653085E8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570.0</v>
      </c>
      <c r="F156" s="18" t="n">
        <f>0</f>
        <v>0.0</v>
      </c>
      <c r="G156" s="17" t="n">
        <v>5.889488E8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562.0</v>
      </c>
      <c r="F157" s="22" t="n">
        <f>0</f>
        <v>0.0</v>
      </c>
      <c r="G157" s="21" t="n">
        <v>5.765206E8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1185.0</v>
      </c>
      <c r="F158" s="22" t="n">
        <f>0</f>
        <v>0.0</v>
      </c>
      <c r="G158" s="21" t="n">
        <v>1.2312932E9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2317.0</v>
      </c>
      <c r="F159" s="26" t="n">
        <f>0</f>
        <v>0.0</v>
      </c>
      <c r="G159" s="25" t="n">
        <v>2.3967626E9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29.0</v>
      </c>
      <c r="F168" s="18" t="n">
        <f>0</f>
        <v>0.0</v>
      </c>
      <c r="G168" s="17" t="n">
        <v>5.98E7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281.0</v>
      </c>
      <c r="F169" s="22" t="n">
        <f>0</f>
        <v>0.0</v>
      </c>
      <c r="G169" s="21" t="n">
        <v>5.817025E8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386.0</v>
      </c>
      <c r="F170" s="22" t="n">
        <f>58</f>
        <v>58.0</v>
      </c>
      <c r="G170" s="21" t="n">
        <v>8.007315E8</v>
      </c>
      <c r="H170" s="22" t="n">
        <f>119625000</f>
        <v>1.19625E8</v>
      </c>
    </row>
    <row r="171" spans="1:8" ht="24.9" customHeight="1">
      <c r="A171" s="51"/>
      <c r="B171" s="57"/>
      <c r="C171" s="39"/>
      <c r="D171" s="24" t="s">
        <v>18</v>
      </c>
      <c r="E171" s="25" t="n">
        <v>696.0</v>
      </c>
      <c r="F171" s="26" t="n">
        <f>58</f>
        <v>58.0</v>
      </c>
      <c r="G171" s="25" t="n">
        <v>1.442234E9</v>
      </c>
      <c r="H171" s="26" t="n">
        <f>119625000</f>
        <v>1.19625E8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1.4374E7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7.0</v>
      </c>
      <c r="F177" s="22" t="n">
        <f>0</f>
        <v>0.0</v>
      </c>
      <c r="G177" s="21" t="n">
        <v>1.2617E7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266.0</v>
      </c>
      <c r="F178" s="22" t="n">
        <f>0</f>
        <v>0.0</v>
      </c>
      <c r="G178" s="21" t="n">
        <v>4.79645E8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281.0</v>
      </c>
      <c r="F179" s="26" t="n">
        <f>0</f>
        <v>0.0</v>
      </c>
      <c r="G179" s="25" t="n">
        <v>5.06636E8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1793.0</v>
      </c>
      <c r="F204" s="18" t="n">
        <f>0</f>
        <v>0.0</v>
      </c>
      <c r="G204" s="17" t="n">
        <v>7.3200165E9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196.0</v>
      </c>
      <c r="F205" s="22" t="n">
        <f>0</f>
        <v>0.0</v>
      </c>
      <c r="G205" s="21" t="n">
        <v>8.21662E8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1415.0</v>
      </c>
      <c r="F206" s="22" t="n">
        <f>0</f>
        <v>0.0</v>
      </c>
      <c r="G206" s="21" t="n">
        <v>5.93573E9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3404.0</v>
      </c>
      <c r="F207" s="26" t="n">
        <f>0</f>
        <v>0.0</v>
      </c>
      <c r="G207" s="25" t="n">
        <v>1.40774085E10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46150.0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46150.0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3883</f>
        <v>3883.0</v>
      </c>
      <c r="E12" s="35" t="n">
        <f>2967</f>
        <v>2967.0</v>
      </c>
      <c r="F12" s="17" t="n">
        <f>1914</f>
        <v>1914.0</v>
      </c>
      <c r="G12" s="35" t="n">
        <f>664</f>
        <v>664.0</v>
      </c>
      <c r="H12" s="17" t="n">
        <f>5797</f>
        <v>5797.0</v>
      </c>
      <c r="I12" s="35" t="n">
        <f>3631</f>
        <v>3631.0</v>
      </c>
      <c r="J12" s="17" t="n">
        <f>3256702840</f>
        <v>3.25670284E9</v>
      </c>
      <c r="K12" s="35" t="n">
        <f>2829311840</f>
        <v>2.82931184E9</v>
      </c>
      <c r="L12" s="17" t="n">
        <f>1756118240</f>
        <v>1.75611824E9</v>
      </c>
      <c r="M12" s="35" t="n">
        <f>1299976240</f>
        <v>1.29997624E9</v>
      </c>
      <c r="N12" s="17" t="n">
        <f>5012821080</f>
        <v>5.01282108E9</v>
      </c>
      <c r="O12" s="35" t="n">
        <f>4129288080</f>
        <v>4.12928808E9</v>
      </c>
    </row>
    <row r="13" spans="1:15" ht="24.9" customHeight="1">
      <c r="A13" s="38"/>
      <c r="B13" s="62"/>
      <c r="C13" s="20" t="s">
        <v>16</v>
      </c>
      <c r="D13" s="21" t="n">
        <f>4715</f>
        <v>4715.0</v>
      </c>
      <c r="E13" s="36" t="n">
        <f>2938</f>
        <v>2938.0</v>
      </c>
      <c r="F13" s="21" t="n">
        <f>4705</f>
        <v>4705.0</v>
      </c>
      <c r="G13" s="36" t="n">
        <f>2504</f>
        <v>2504.0</v>
      </c>
      <c r="H13" s="21" t="n">
        <f>9420</f>
        <v>9420.0</v>
      </c>
      <c r="I13" s="36" t="n">
        <f>5442</f>
        <v>5442.0</v>
      </c>
      <c r="J13" s="21" t="n">
        <f>3445968240</f>
        <v>3.44596824E9</v>
      </c>
      <c r="K13" s="36" t="n">
        <f>2451099240</f>
        <v>2.45109924E9</v>
      </c>
      <c r="L13" s="21" t="n">
        <f>9900754260</f>
        <v>9.90075426E9</v>
      </c>
      <c r="M13" s="36" t="n">
        <f>8226968260</f>
        <v>8.22696826E9</v>
      </c>
      <c r="N13" s="21" t="n">
        <f>13346722500</f>
        <v>1.33467225E10</v>
      </c>
      <c r="O13" s="36" t="n">
        <f>10678067500</f>
        <v>1.06780675E10</v>
      </c>
    </row>
    <row r="14" spans="1:15" ht="24.9" customHeight="1">
      <c r="A14" s="38"/>
      <c r="B14" s="62"/>
      <c r="C14" s="20" t="s">
        <v>17</v>
      </c>
      <c r="D14" s="21" t="n">
        <f>16630</f>
        <v>16630.0</v>
      </c>
      <c r="E14" s="36" t="n">
        <f>12243</f>
        <v>12243.0</v>
      </c>
      <c r="F14" s="21" t="n">
        <f>5905</f>
        <v>5905.0</v>
      </c>
      <c r="G14" s="36" t="n">
        <f>4314</f>
        <v>4314.0</v>
      </c>
      <c r="H14" s="21" t="n">
        <f>22535</f>
        <v>22535.0</v>
      </c>
      <c r="I14" s="36" t="n">
        <f>16557</f>
        <v>16557.0</v>
      </c>
      <c r="J14" s="21" t="n">
        <f>11902306580</f>
        <v>1.190230658E10</v>
      </c>
      <c r="K14" s="36" t="n">
        <f>10844066580</f>
        <v>1.084406658E10</v>
      </c>
      <c r="L14" s="21" t="n">
        <f>8537491770</f>
        <v>8.53749177E9</v>
      </c>
      <c r="M14" s="36" t="n">
        <f>7525962770</f>
        <v>7.52596277E9</v>
      </c>
      <c r="N14" s="21" t="n">
        <f>20439798350</f>
        <v>2.043979835E10</v>
      </c>
      <c r="O14" s="36" t="n">
        <f>18370029350</f>
        <v>1.837002935E10</v>
      </c>
    </row>
    <row r="15" spans="1:15" ht="24.9" customHeight="1">
      <c r="A15" s="38"/>
      <c r="B15" s="62"/>
      <c r="C15" s="24" t="s">
        <v>18</v>
      </c>
      <c r="D15" s="25" t="n">
        <f>25228</f>
        <v>25228.0</v>
      </c>
      <c r="E15" s="37" t="n">
        <f>18148</f>
        <v>18148.0</v>
      </c>
      <c r="F15" s="25" t="n">
        <f>12524</f>
        <v>12524.0</v>
      </c>
      <c r="G15" s="37" t="n">
        <f>7482</f>
        <v>7482.0</v>
      </c>
      <c r="H15" s="25" t="n">
        <f>37752</f>
        <v>37752.0</v>
      </c>
      <c r="I15" s="37" t="n">
        <f>25630</f>
        <v>25630.0</v>
      </c>
      <c r="J15" s="25" t="n">
        <f>18604977660</f>
        <v>1.860497766E10</v>
      </c>
      <c r="K15" s="37" t="n">
        <f>16124477660</f>
        <v>1.612447766E10</v>
      </c>
      <c r="L15" s="25" t="n">
        <f>20194364270</f>
        <v>2.019436427E10</v>
      </c>
      <c r="M15" s="37" t="n">
        <f>17052907270</f>
        <v>1.705290727E10</v>
      </c>
      <c r="N15" s="25" t="n">
        <f>38799341930</f>
        <v>3.879934193E10</v>
      </c>
      <c r="O15" s="37" t="n">
        <f>33177384930</f>
        <v>3.317738493E10</v>
      </c>
    </row>
    <row r="16" spans="1:15" ht="24.9" customHeight="1">
      <c r="A16" s="38"/>
      <c r="B16" s="61" t="s">
        <v>105</v>
      </c>
      <c r="C16" s="16" t="s">
        <v>15</v>
      </c>
      <c r="D16" s="17" t="n">
        <f>5006</f>
        <v>5006.0</v>
      </c>
      <c r="E16" s="35" t="n">
        <f>270</f>
        <v>270.0</v>
      </c>
      <c r="F16" s="17" t="n">
        <f>1866</f>
        <v>1866.0</v>
      </c>
      <c r="G16" s="35" t="n">
        <f>10</f>
        <v>10.0</v>
      </c>
      <c r="H16" s="17" t="n">
        <f>6872</f>
        <v>6872.0</v>
      </c>
      <c r="I16" s="35" t="n">
        <f>280</f>
        <v>280.0</v>
      </c>
      <c r="J16" s="17" t="n">
        <f>277473870</f>
        <v>2.7747387E8</v>
      </c>
      <c r="K16" s="35" t="n">
        <f>14505970</f>
        <v>1.450597E7</v>
      </c>
      <c r="L16" s="17" t="n">
        <f>357744020</f>
        <v>3.5774402E8</v>
      </c>
      <c r="M16" s="35" t="n">
        <f>985520</f>
        <v>985520.0</v>
      </c>
      <c r="N16" s="17" t="n">
        <f>635217890</f>
        <v>6.3521789E8</v>
      </c>
      <c r="O16" s="35" t="n">
        <f>15491490</f>
        <v>1.549149E7</v>
      </c>
    </row>
    <row r="17" spans="1:15" ht="24.9" customHeight="1">
      <c r="A17" s="38"/>
      <c r="B17" s="62"/>
      <c r="C17" s="20" t="s">
        <v>16</v>
      </c>
      <c r="D17" s="21" t="n">
        <f>7384</f>
        <v>7384.0</v>
      </c>
      <c r="E17" s="36" t="n">
        <f>650</f>
        <v>650.0</v>
      </c>
      <c r="F17" s="21" t="n">
        <f>2184</f>
        <v>2184.0</v>
      </c>
      <c r="G17" s="36" t="n">
        <f>40</f>
        <v>40.0</v>
      </c>
      <c r="H17" s="21" t="n">
        <f>9568</f>
        <v>9568.0</v>
      </c>
      <c r="I17" s="36" t="n">
        <f>690</f>
        <v>690.0</v>
      </c>
      <c r="J17" s="21" t="n">
        <f>215209290</f>
        <v>2.1520929E8</v>
      </c>
      <c r="K17" s="36" t="n">
        <f>4573190</f>
        <v>4573190.0</v>
      </c>
      <c r="L17" s="21" t="n">
        <f>202217520</f>
        <v>2.0221752E8</v>
      </c>
      <c r="M17" s="36" t="n">
        <f>1193820</f>
        <v>1193820.0</v>
      </c>
      <c r="N17" s="21" t="n">
        <f>417426810</f>
        <v>4.1742681E8</v>
      </c>
      <c r="O17" s="36" t="n">
        <f>5767010</f>
        <v>5767010.0</v>
      </c>
    </row>
    <row r="18" spans="1:15" ht="24.9" customHeight="1">
      <c r="A18" s="38"/>
      <c r="B18" s="62"/>
      <c r="C18" s="20" t="s">
        <v>17</v>
      </c>
      <c r="D18" s="21" t="n">
        <f>8571</f>
        <v>8571.0</v>
      </c>
      <c r="E18" s="36" t="n">
        <f>1260</f>
        <v>1260.0</v>
      </c>
      <c r="F18" s="21" t="n">
        <f>2707</f>
        <v>2707.0</v>
      </c>
      <c r="G18" s="36" t="n">
        <f>20</f>
        <v>20.0</v>
      </c>
      <c r="H18" s="21" t="n">
        <f>11278</f>
        <v>11278.0</v>
      </c>
      <c r="I18" s="36" t="n">
        <f>1280</f>
        <v>1280.0</v>
      </c>
      <c r="J18" s="21" t="n">
        <f>297754480</f>
        <v>2.9775448E8</v>
      </c>
      <c r="K18" s="36" t="n">
        <f>41406180</f>
        <v>4.140618E7</v>
      </c>
      <c r="L18" s="21" t="n">
        <f>277574300</f>
        <v>2.775743E8</v>
      </c>
      <c r="M18" s="36" t="n">
        <f>560000</f>
        <v>560000.0</v>
      </c>
      <c r="N18" s="21" t="n">
        <f>575328780</f>
        <v>5.7532878E8</v>
      </c>
      <c r="O18" s="36" t="n">
        <f>41966180</f>
        <v>4.196618E7</v>
      </c>
    </row>
    <row r="19" spans="1:15" ht="24.9" customHeight="1">
      <c r="A19" s="38"/>
      <c r="B19" s="62"/>
      <c r="C19" s="24" t="s">
        <v>18</v>
      </c>
      <c r="D19" s="25" t="n">
        <f>20961</f>
        <v>20961.0</v>
      </c>
      <c r="E19" s="37" t="n">
        <f>2180</f>
        <v>2180.0</v>
      </c>
      <c r="F19" s="25" t="n">
        <f>6757</f>
        <v>6757.0</v>
      </c>
      <c r="G19" s="37" t="n">
        <f>70</f>
        <v>70.0</v>
      </c>
      <c r="H19" s="25" t="n">
        <f>27718</f>
        <v>27718.0</v>
      </c>
      <c r="I19" s="37" t="n">
        <f>2250</f>
        <v>2250.0</v>
      </c>
      <c r="J19" s="25" t="n">
        <f>790437640</f>
        <v>7.9043764E8</v>
      </c>
      <c r="K19" s="37" t="n">
        <f>60485340</f>
        <v>6.048534E7</v>
      </c>
      <c r="L19" s="25" t="n">
        <f>837535840</f>
        <v>8.3753584E8</v>
      </c>
      <c r="M19" s="37" t="n">
        <f>2739340</f>
        <v>2739340.0</v>
      </c>
      <c r="N19" s="25" t="n">
        <f>1627973480</f>
        <v>1.62797348E9</v>
      </c>
      <c r="O19" s="37" t="n">
        <f>63224680</f>
        <v>6.322468E7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1362</f>
        <v>1362.0</v>
      </c>
      <c r="E21" s="36" t="n">
        <f>1362</f>
        <v>1362.0</v>
      </c>
      <c r="F21" s="21" t="n">
        <f>129</f>
        <v>129.0</v>
      </c>
      <c r="G21" s="36" t="n">
        <f>129</f>
        <v>129.0</v>
      </c>
      <c r="H21" s="21" t="n">
        <f>1491</f>
        <v>1491.0</v>
      </c>
      <c r="I21" s="36" t="n">
        <f>1491</f>
        <v>1491.0</v>
      </c>
      <c r="J21" s="21" t="n">
        <f>837493800</f>
        <v>8.374938E8</v>
      </c>
      <c r="K21" s="36" t="n">
        <f>837493800</f>
        <v>8.374938E8</v>
      </c>
      <c r="L21" s="21" t="n">
        <f>10320000</f>
        <v>1.032E7</v>
      </c>
      <c r="M21" s="36" t="n">
        <f>10320000</f>
        <v>1.032E7</v>
      </c>
      <c r="N21" s="21" t="n">
        <f>847813800</f>
        <v>8.478138E8</v>
      </c>
      <c r="O21" s="36" t="n">
        <f>847813800</f>
        <v>8.478138E8</v>
      </c>
    </row>
    <row r="22" spans="1:15" ht="24.9" customHeight="1">
      <c r="A22" s="38"/>
      <c r="B22" s="62"/>
      <c r="C22" s="20" t="s">
        <v>17</v>
      </c>
      <c r="D22" s="21" t="n">
        <f>580</f>
        <v>580.0</v>
      </c>
      <c r="E22" s="36" t="n">
        <f>580</f>
        <v>580.0</v>
      </c>
      <c r="F22" s="21" t="n">
        <f>839</f>
        <v>839.0</v>
      </c>
      <c r="G22" s="36" t="n">
        <f>839</f>
        <v>839.0</v>
      </c>
      <c r="H22" s="21" t="n">
        <f>1419</f>
        <v>1419.0</v>
      </c>
      <c r="I22" s="36" t="n">
        <f>1419</f>
        <v>1419.0</v>
      </c>
      <c r="J22" s="21" t="n">
        <f>482455000</f>
        <v>4.82455E8</v>
      </c>
      <c r="K22" s="36" t="n">
        <f>482455000</f>
        <v>4.82455E8</v>
      </c>
      <c r="L22" s="21" t="n">
        <f>505310000</f>
        <v>5.0531E8</v>
      </c>
      <c r="M22" s="36" t="n">
        <f>505310000</f>
        <v>5.0531E8</v>
      </c>
      <c r="N22" s="21" t="n">
        <f>987765000</f>
        <v>9.87765E8</v>
      </c>
      <c r="O22" s="36" t="n">
        <f>987765000</f>
        <v>9.87765E8</v>
      </c>
    </row>
    <row r="23" spans="1:15" ht="24.9" customHeight="1">
      <c r="A23" s="38"/>
      <c r="B23" s="62"/>
      <c r="C23" s="24" t="s">
        <v>18</v>
      </c>
      <c r="D23" s="25" t="n">
        <f>1942</f>
        <v>1942.0</v>
      </c>
      <c r="E23" s="37" t="n">
        <f>1942</f>
        <v>1942.0</v>
      </c>
      <c r="F23" s="25" t="n">
        <f>968</f>
        <v>968.0</v>
      </c>
      <c r="G23" s="37" t="n">
        <f>968</f>
        <v>968.0</v>
      </c>
      <c r="H23" s="25" t="n">
        <f>2910</f>
        <v>2910.0</v>
      </c>
      <c r="I23" s="37" t="n">
        <f>2910</f>
        <v>2910.0</v>
      </c>
      <c r="J23" s="25" t="n">
        <f>1319948800</f>
        <v>1.3199488E9</v>
      </c>
      <c r="K23" s="37" t="n">
        <f>1319948800</f>
        <v>1.3199488E9</v>
      </c>
      <c r="L23" s="25" t="n">
        <f>515630000</f>
        <v>5.1563E8</v>
      </c>
      <c r="M23" s="37" t="n">
        <f>515630000</f>
        <v>5.1563E8</v>
      </c>
      <c r="N23" s="25" t="n">
        <f>1835578800</f>
        <v>1.8355788E9</v>
      </c>
      <c r="O23" s="37" t="n">
        <f>1835578800</f>
        <v>1.8355788E9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3</f>
        <v>3.0</v>
      </c>
      <c r="G36" s="18" t="n">
        <f>0</f>
        <v>0.0</v>
      </c>
      <c r="H36" s="17" t="n">
        <f>3</f>
        <v>3.0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1020000</f>
        <v>1020000.0</v>
      </c>
      <c r="M36" s="18" t="n">
        <f>0</f>
        <v>0.0</v>
      </c>
      <c r="N36" s="17" t="n">
        <f>1020000</f>
        <v>1020000.0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1</f>
        <v>1.0</v>
      </c>
      <c r="G37" s="22" t="n">
        <f>0</f>
        <v>0.0</v>
      </c>
      <c r="H37" s="21" t="n">
        <f>1</f>
        <v>1.0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150000</f>
        <v>150000.0</v>
      </c>
      <c r="M37" s="22" t="n">
        <f>0</f>
        <v>0.0</v>
      </c>
      <c r="N37" s="21" t="n">
        <f>150000</f>
        <v>150000.0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170</f>
        <v>170.0</v>
      </c>
      <c r="E38" s="36" t="n">
        <f>30</f>
        <v>30.0</v>
      </c>
      <c r="F38" s="21" t="n">
        <f>13</f>
        <v>13.0</v>
      </c>
      <c r="G38" s="36" t="n">
        <f>10</f>
        <v>10.0</v>
      </c>
      <c r="H38" s="21" t="n">
        <f>183</f>
        <v>183.0</v>
      </c>
      <c r="I38" s="36" t="n">
        <f>40</f>
        <v>40.0</v>
      </c>
      <c r="J38" s="21" t="n">
        <f>34850000</f>
        <v>3.485E7</v>
      </c>
      <c r="K38" s="36" t="n">
        <f>2250000</f>
        <v>2250000.0</v>
      </c>
      <c r="L38" s="21" t="n">
        <f>1450000</f>
        <v>1450000.0</v>
      </c>
      <c r="M38" s="36" t="n">
        <f>1000000</f>
        <v>1000000.0</v>
      </c>
      <c r="N38" s="21" t="n">
        <f>36300000</f>
        <v>3.63E7</v>
      </c>
      <c r="O38" s="36" t="n">
        <f>3250000</f>
        <v>3250000.0</v>
      </c>
    </row>
    <row r="39" spans="1:15" ht="24.9" customHeight="1">
      <c r="A39" s="38"/>
      <c r="B39" s="62"/>
      <c r="C39" s="24" t="s">
        <v>18</v>
      </c>
      <c r="D39" s="25" t="n">
        <f>170</f>
        <v>170.0</v>
      </c>
      <c r="E39" s="37" t="n">
        <f>30</f>
        <v>30.0</v>
      </c>
      <c r="F39" s="25" t="n">
        <f>17</f>
        <v>17.0</v>
      </c>
      <c r="G39" s="37" t="n">
        <f>10</f>
        <v>10.0</v>
      </c>
      <c r="H39" s="25" t="n">
        <f>187</f>
        <v>187.0</v>
      </c>
      <c r="I39" s="37" t="n">
        <f>40</f>
        <v>40.0</v>
      </c>
      <c r="J39" s="25" t="n">
        <f>34850000</f>
        <v>3.485E7</v>
      </c>
      <c r="K39" s="37" t="n">
        <f>2250000</f>
        <v>2250000.0</v>
      </c>
      <c r="L39" s="25" t="n">
        <f>2620000</f>
        <v>2620000.0</v>
      </c>
      <c r="M39" s="37" t="n">
        <f>1000000</f>
        <v>1000000.0</v>
      </c>
      <c r="N39" s="25" t="n">
        <f>37470000</f>
        <v>3.747E7</v>
      </c>
      <c r="O39" s="37" t="n">
        <f>3250000</f>
        <v>3250000.0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11442</f>
        <v>11442.0</v>
      </c>
      <c r="E41" s="36" t="n">
        <f>1000</f>
        <v>1000.0</v>
      </c>
      <c r="F41" s="21" t="n">
        <f>12061</f>
        <v>12061.0</v>
      </c>
      <c r="G41" s="36" t="n">
        <f>3000</f>
        <v>3000.0</v>
      </c>
      <c r="H41" s="21" t="n">
        <f>23503</f>
        <v>23503.0</v>
      </c>
      <c r="I41" s="36" t="n">
        <f>4000</f>
        <v>4000.0</v>
      </c>
      <c r="J41" s="21" t="n">
        <f>69742774</f>
        <v>6.9742774E7</v>
      </c>
      <c r="K41" s="36" t="n">
        <f>15750000</f>
        <v>1.575E7</v>
      </c>
      <c r="L41" s="21" t="n">
        <f>137797450</f>
        <v>1.3779745E8</v>
      </c>
      <c r="M41" s="36" t="n">
        <f>81750000</f>
        <v>8.175E7</v>
      </c>
      <c r="N41" s="21" t="n">
        <f>207540224</f>
        <v>2.07540224E8</v>
      </c>
      <c r="O41" s="36" t="n">
        <f>97500000</f>
        <v>9.75E7</v>
      </c>
    </row>
    <row r="42" spans="1:15" ht="24.9" customHeight="1">
      <c r="A42" s="38"/>
      <c r="B42" s="62"/>
      <c r="C42" s="20" t="s">
        <v>17</v>
      </c>
      <c r="D42" s="21" t="n">
        <f>7036</f>
        <v>7036.0</v>
      </c>
      <c r="E42" s="36" t="n">
        <f>0</f>
        <v>0.0</v>
      </c>
      <c r="F42" s="21" t="n">
        <f>3738</f>
        <v>3738.0</v>
      </c>
      <c r="G42" s="36" t="n">
        <f>0</f>
        <v>0.0</v>
      </c>
      <c r="H42" s="21" t="n">
        <f>10774</f>
        <v>10774.0</v>
      </c>
      <c r="I42" s="36" t="n">
        <f>0</f>
        <v>0.0</v>
      </c>
      <c r="J42" s="21" t="n">
        <f>39548513</f>
        <v>3.9548513E7</v>
      </c>
      <c r="K42" s="36" t="n">
        <f>0</f>
        <v>0.0</v>
      </c>
      <c r="L42" s="21" t="n">
        <f>92719610</f>
        <v>9.271961E7</v>
      </c>
      <c r="M42" s="36" t="n">
        <f>0</f>
        <v>0.0</v>
      </c>
      <c r="N42" s="21" t="n">
        <f>132268123</f>
        <v>1.32268123E8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18478</f>
        <v>18478.0</v>
      </c>
      <c r="E43" s="37" t="n">
        <f>1000</f>
        <v>1000.0</v>
      </c>
      <c r="F43" s="25" t="n">
        <f>15799</f>
        <v>15799.0</v>
      </c>
      <c r="G43" s="37" t="n">
        <f>3000</f>
        <v>3000.0</v>
      </c>
      <c r="H43" s="25" t="n">
        <f>34277</f>
        <v>34277.0</v>
      </c>
      <c r="I43" s="37" t="n">
        <f>4000</f>
        <v>4000.0</v>
      </c>
      <c r="J43" s="25" t="n">
        <f>109291287</f>
        <v>1.09291287E8</v>
      </c>
      <c r="K43" s="37" t="n">
        <f>15750000</f>
        <v>1.575E7</v>
      </c>
      <c r="L43" s="25" t="n">
        <f>230517060</f>
        <v>2.3051706E8</v>
      </c>
      <c r="M43" s="37" t="n">
        <f>81750000</f>
        <v>8.175E7</v>
      </c>
      <c r="N43" s="25" t="n">
        <f>339808347</f>
        <v>3.39808347E8</v>
      </c>
      <c r="O43" s="37" t="n">
        <f>97500000</f>
        <v>9.75E7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