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<sst xmlns="http://schemas.openxmlformats.org/spreadsheetml/2006/main" count="528" uniqueCount="129">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</sst>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DATE(2026,05,20)</f>
        <v>46162.0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DATE(2026,05,20)</f>
        <v>46162.0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865015.0</f>
        <v>865015.0</v>
      </c>
      <c r="E12" s="18" t="n">
        <f>55013.0</f>
        <v>55013.0</v>
      </c>
      <c r="F12" s="19" t="n">
        <f>1.0</f>
        <v>1.0</v>
      </c>
      <c r="G12" s="17" t="n">
        <f>6570642687267.0</f>
        <v>6.570642687267E12</v>
      </c>
      <c r="H12" s="18" t="n">
        <f>785888372392.0</f>
        <v>7.85888372392E11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628318.0</f>
        <v>628318.0</v>
      </c>
      <c r="E13" s="22" t="n">
        <f>30352.0</f>
        <v>30352.0</v>
      </c>
      <c r="F13" s="23" t="n">
        <f>1.0</f>
        <v>1.0</v>
      </c>
      <c r="G13" s="21" t="n">
        <f>5570761911735.0</f>
        <v>5.570761911735E12</v>
      </c>
      <c r="H13" s="22" t="n">
        <f>541535566960.0</f>
        <v>5.4153556696E11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544315.0</f>
        <v>544315.0</v>
      </c>
      <c r="E14" s="22" t="n">
        <f>34821.0</f>
        <v>34821.0</v>
      </c>
      <c r="F14" s="23" t="n">
        <f>1.0</f>
        <v>1.0</v>
      </c>
      <c r="G14" s="21" t="n">
        <f>6967087326306.0</f>
        <v>6.967087326306E12</v>
      </c>
      <c r="H14" s="22" t="n">
        <f>932979086431.0</f>
        <v>9.32979086431E11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2037648.0</f>
        <v>2037648.0</v>
      </c>
      <c r="E15" s="26" t="n">
        <f>120186.0</f>
        <v>120186.0</v>
      </c>
      <c r="F15" s="27" t="n">
        <f>1.0</f>
        <v>1.0</v>
      </c>
      <c r="G15" s="25" t="n">
        <f>19108491925308.0</f>
        <v>1.9108491925308E13</v>
      </c>
      <c r="H15" s="26" t="n">
        <f>2260403025783.0</f>
        <v>2.260403025783E12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24917.0</f>
        <v>24917.0</v>
      </c>
      <c r="E16" s="18" t="n">
        <f>405.0</f>
        <v>405.0</v>
      </c>
      <c r="F16" s="19" t="n">
        <f>0.029</f>
        <v>0.029</v>
      </c>
      <c r="G16" s="17" t="n">
        <f>2307603968125.0</f>
        <v>2.307603968125E12</v>
      </c>
      <c r="H16" s="18" t="n">
        <f>51719650000.0</f>
        <v>5.171965E10</v>
      </c>
      <c r="I16" s="19" t="n">
        <f>0.351</f>
        <v>0.351</v>
      </c>
    </row>
    <row r="17" spans="1:9" ht="24.9" customHeight="1">
      <c r="A17" s="41"/>
      <c r="B17" s="39"/>
      <c r="C17" s="20" t="s">
        <v>16</v>
      </c>
      <c r="D17" s="21" t="n">
        <f>18268.0</f>
        <v>18268.0</v>
      </c>
      <c r="E17" s="22" t="n">
        <f>2044.0</f>
        <v>2044.0</v>
      </c>
      <c r="F17" s="23" t="n">
        <f>0.029</f>
        <v>0.029</v>
      </c>
      <c r="G17" s="21" t="n">
        <f>2057476188125.0</f>
        <v>2.057476188125E12</v>
      </c>
      <c r="H17" s="22" t="n">
        <f>260850890000.0</f>
        <v>2.6085089E11</v>
      </c>
      <c r="I17" s="23" t="n">
        <f>0.369</f>
        <v>0.369</v>
      </c>
    </row>
    <row r="18" spans="1:9" ht="24.9" customHeight="1">
      <c r="A18" s="41"/>
      <c r="B18" s="39"/>
      <c r="C18" s="20" t="s">
        <v>17</v>
      </c>
      <c r="D18" s="21" t="n">
        <f>28801.0</f>
        <v>28801.0</v>
      </c>
      <c r="E18" s="22" t="n">
        <f>3261.0</f>
        <v>3261.0</v>
      </c>
      <c r="F18" s="23" t="n">
        <f>0.053</f>
        <v>0.053</v>
      </c>
      <c r="G18" s="21" t="n">
        <f>3246723004375.0</f>
        <v>3.246723004375E12</v>
      </c>
      <c r="H18" s="22" t="n">
        <f>416285955000.0</f>
        <v>4.16285955E11</v>
      </c>
      <c r="I18" s="23" t="n">
        <f>0.466</f>
        <v>0.466</v>
      </c>
    </row>
    <row r="19" spans="1:9" ht="24.9" customHeight="1">
      <c r="A19" s="41"/>
      <c r="B19" s="39"/>
      <c r="C19" s="24" t="s">
        <v>18</v>
      </c>
      <c r="D19" s="25" t="n">
        <f>71986.0</f>
        <v>71986.0</v>
      </c>
      <c r="E19" s="26" t="n">
        <f>5710.0</f>
        <v>5710.0</v>
      </c>
      <c r="F19" s="27" t="n">
        <f>0.035</f>
        <v>0.035</v>
      </c>
      <c r="G19" s="25" t="n">
        <f>7611803160625.0</f>
        <v>7.611803160625E12</v>
      </c>
      <c r="H19" s="26" t="n">
        <f>728856495000.0</f>
        <v>7.28856495E11</v>
      </c>
      <c r="I19" s="27" t="n">
        <f>0.398</f>
        <v>0.398</v>
      </c>
    </row>
    <row r="20" spans="1:9" ht="24.9" customHeight="1">
      <c r="A20" s="41"/>
      <c r="B20" s="39" t="s">
        <v>21</v>
      </c>
      <c r="C20" s="16" t="s">
        <v>15</v>
      </c>
      <c r="D20" s="17" t="n">
        <f>824948.0</f>
        <v>824948.0</v>
      </c>
      <c r="E20" s="18" t="n">
        <f>54608.0</f>
        <v>54608.0</v>
      </c>
      <c r="F20" s="19" t="n">
        <f>0.954</f>
        <v>0.954</v>
      </c>
      <c r="G20" s="17" t="n">
        <f>4101828556592.0</f>
        <v>4.101828556592E12</v>
      </c>
      <c r="H20" s="18" t="n">
        <f>734168722392.0</f>
        <v>7.34168722392E11</v>
      </c>
      <c r="I20" s="19" t="n">
        <f>0.624</f>
        <v>0.624</v>
      </c>
    </row>
    <row r="21" spans="1:9" ht="24.9" customHeight="1">
      <c r="A21" s="41"/>
      <c r="B21" s="39"/>
      <c r="C21" s="20" t="s">
        <v>16</v>
      </c>
      <c r="D21" s="21" t="n">
        <f>599121.0</f>
        <v>599121.0</v>
      </c>
      <c r="E21" s="22" t="n">
        <f>28296.0</f>
        <v>28296.0</v>
      </c>
      <c r="F21" s="23" t="n">
        <f>0.954</f>
        <v>0.954</v>
      </c>
      <c r="G21" s="21" t="n">
        <f>3396384154110.0</f>
        <v>3.39638415411E12</v>
      </c>
      <c r="H21" s="22" t="n">
        <f>280660436960.0</f>
        <v>2.8066043696E11</v>
      </c>
      <c r="I21" s="23" t="n">
        <f>0.61</f>
        <v>0.61</v>
      </c>
    </row>
    <row r="22" spans="1:9" ht="24.9" customHeight="1">
      <c r="A22" s="41"/>
      <c r="B22" s="39"/>
      <c r="C22" s="20" t="s">
        <v>17</v>
      </c>
      <c r="D22" s="21" t="n">
        <f>502924.0</f>
        <v>502924.0</v>
      </c>
      <c r="E22" s="22" t="n">
        <f>31265.0</f>
        <v>31265.0</v>
      </c>
      <c r="F22" s="23" t="n">
        <f>0.924</f>
        <v>0.924</v>
      </c>
      <c r="G22" s="21" t="n">
        <f>3582066045731.0</f>
        <v>3.582066045731E12</v>
      </c>
      <c r="H22" s="22" t="n">
        <f>516030144431.0</f>
        <v>5.16030144431E11</v>
      </c>
      <c r="I22" s="23" t="n">
        <f>0.514</f>
        <v>0.514</v>
      </c>
    </row>
    <row r="23" spans="1:9" ht="24.9" customHeight="1">
      <c r="A23" s="41"/>
      <c r="B23" s="39"/>
      <c r="C23" s="24" t="s">
        <v>18</v>
      </c>
      <c r="D23" s="25" t="n">
        <f>1926993.0</f>
        <v>1926993.0</v>
      </c>
      <c r="E23" s="26" t="n">
        <f>114169.0</f>
        <v>114169.0</v>
      </c>
      <c r="F23" s="27" t="n">
        <f>0.946</f>
        <v>0.946</v>
      </c>
      <c r="G23" s="25" t="n">
        <f>11080278756433.0</f>
        <v>1.1080278756433E13</v>
      </c>
      <c r="H23" s="26" t="n">
        <f>1530859303783.0</f>
        <v>1.530859303783E12</v>
      </c>
      <c r="I23" s="27" t="n">
        <f>0.58</f>
        <v>0.58</v>
      </c>
    </row>
    <row r="24" spans="1:9" ht="24.9" customHeight="1">
      <c r="A24" s="41"/>
      <c r="B24" s="39" t="s">
        <v>22</v>
      </c>
      <c r="C24" s="16" t="s">
        <v>15</v>
      </c>
      <c r="D24" s="17" t="n">
        <f>14538.0</f>
        <v>14538.0</v>
      </c>
      <c r="E24" s="18" t="n">
        <f>0.0</f>
        <v>0.0</v>
      </c>
      <c r="F24" s="19" t="n">
        <f>0.017</f>
        <v>0.017</v>
      </c>
      <c r="G24" s="17" t="n">
        <f>158461619050.0</f>
        <v>1.5846161905E11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10827.0</f>
        <v>10827.0</v>
      </c>
      <c r="E25" s="22" t="n">
        <f>12.0</f>
        <v>12.0</v>
      </c>
      <c r="F25" s="23" t="n">
        <f>0.017</f>
        <v>0.017</v>
      </c>
      <c r="G25" s="21" t="n">
        <f>116445541000.0</f>
        <v>1.16445541E11</v>
      </c>
      <c r="H25" s="22" t="n">
        <f>24240000.0</f>
        <v>2.424E7</v>
      </c>
      <c r="I25" s="23" t="n">
        <f>0.021</f>
        <v>0.021</v>
      </c>
    </row>
    <row r="26" spans="1:9" ht="24.9" customHeight="1">
      <c r="A26" s="41"/>
      <c r="B26" s="39"/>
      <c r="C26" s="20" t="s">
        <v>17</v>
      </c>
      <c r="D26" s="21" t="n">
        <f>11658.0</f>
        <v>11658.0</v>
      </c>
      <c r="E26" s="22" t="n">
        <f>295.0</f>
        <v>295.0</v>
      </c>
      <c r="F26" s="23" t="n">
        <f>0.021</f>
        <v>0.021</v>
      </c>
      <c r="G26" s="21" t="n">
        <f>134103368700.0</f>
        <v>1.341033687E11</v>
      </c>
      <c r="H26" s="22" t="n">
        <f>662987000.0</f>
        <v>6.62987E8</v>
      </c>
      <c r="I26" s="23" t="n">
        <f>0.019</f>
        <v>0.019</v>
      </c>
    </row>
    <row r="27" spans="1:9" ht="24.9" customHeight="1">
      <c r="A27" s="42"/>
      <c r="B27" s="39"/>
      <c r="C27" s="24" t="s">
        <v>18</v>
      </c>
      <c r="D27" s="25" t="n">
        <f>37023.0</f>
        <v>37023.0</v>
      </c>
      <c r="E27" s="26" t="n">
        <f>307.0</f>
        <v>307.0</v>
      </c>
      <c r="F27" s="27" t="n">
        <f>0.018</f>
        <v>0.018</v>
      </c>
      <c r="G27" s="25" t="n">
        <f>409010528750.0</f>
        <v>4.0901052875E11</v>
      </c>
      <c r="H27" s="26" t="n">
        <f>687227000.0</f>
        <v>6.87227E8</v>
      </c>
      <c r="I27" s="27" t="n">
        <f>0.021</f>
        <v>0.021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612.0</f>
        <v>612.0</v>
      </c>
      <c r="E28" s="18" t="n">
        <f>0.0</f>
        <v>0.0</v>
      </c>
      <c r="F28" s="19" t="n">
        <f>0.001</f>
        <v>0.001</v>
      </c>
      <c r="G28" s="17" t="n">
        <f>2748543500.0</f>
        <v>2.7485435E9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102.0</f>
        <v>102.0</v>
      </c>
      <c r="E29" s="22" t="n">
        <f>0.0</f>
        <v>0.0</v>
      </c>
      <c r="F29" s="23" t="n">
        <f>0.0</f>
        <v>0.0</v>
      </c>
      <c r="G29" s="21" t="n">
        <f>456028500.0</f>
        <v>4.560285E8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932.0</f>
        <v>932.0</v>
      </c>
      <c r="E30" s="22" t="n">
        <f>0.0</f>
        <v>0.0</v>
      </c>
      <c r="F30" s="23" t="n">
        <f>0.002</f>
        <v>0.002</v>
      </c>
      <c r="G30" s="21" t="n">
        <f>4194907500.0</f>
        <v>4.1949075E9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1646.0</f>
        <v>1646.0</v>
      </c>
      <c r="E31" s="26" t="n">
        <f>0.0</f>
        <v>0.0</v>
      </c>
      <c r="F31" s="27" t="n">
        <f>0.001</f>
        <v>0.001</v>
      </c>
      <c r="G31" s="25" t="n">
        <f>7399479500.0</f>
        <v>7.3994795E9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21468</f>
        <v>21468.0</v>
      </c>
      <c r="E11" s="18" t="n">
        <f>3962</f>
        <v>3962.0</v>
      </c>
      <c r="F11" s="19" t="n">
        <f>1</f>
        <v>1.0</v>
      </c>
      <c r="G11" s="17" t="n">
        <f>4237808914</f>
        <v>4.237808914E9</v>
      </c>
      <c r="H11" s="18" t="n">
        <f>2641048414</f>
        <v>2.641048414E9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53048</f>
        <v>53048.0</v>
      </c>
      <c r="E12" s="22" t="n">
        <f>6103</f>
        <v>6103.0</v>
      </c>
      <c r="F12" s="23" t="n">
        <f>1</f>
        <v>1.0</v>
      </c>
      <c r="G12" s="21" t="n">
        <f>7501350889</f>
        <v>7.501350889E9</v>
      </c>
      <c r="H12" s="22" t="n">
        <f>4594577032</f>
        <v>4.594577032E9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48747</f>
        <v>48747.0</v>
      </c>
      <c r="E13" s="22" t="n">
        <f>18349</f>
        <v>18349.0</v>
      </c>
      <c r="F13" s="23" t="n">
        <f>1</f>
        <v>1.0</v>
      </c>
      <c r="G13" s="21" t="n">
        <f>19450454678</f>
        <v>1.9450454678E10</v>
      </c>
      <c r="H13" s="22" t="n">
        <f>15730443910</f>
        <v>1.573044391E10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123263</f>
        <v>123263.0</v>
      </c>
      <c r="E14" s="26" t="n">
        <f>28414</f>
        <v>28414.0</v>
      </c>
      <c r="F14" s="27" t="n">
        <f>1</f>
        <v>1.0</v>
      </c>
      <c r="G14" s="25" t="n">
        <f>31189614481</f>
        <v>3.1189614481E10</v>
      </c>
      <c r="H14" s="26" t="n">
        <f>22966069356</f>
        <v>2.2966069356E10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77</f>
        <v>77.0</v>
      </c>
      <c r="E15" s="18" t="n">
        <f>0</f>
        <v>0.0</v>
      </c>
      <c r="F15" s="19" t="n">
        <f>0.004</f>
        <v>0.004</v>
      </c>
      <c r="G15" s="17" t="n">
        <f>11610000</f>
        <v>1.161E7</v>
      </c>
      <c r="H15" s="18" t="n">
        <f>0</f>
        <v>0.0</v>
      </c>
      <c r="I15" s="19" t="n">
        <f>0.003</f>
        <v>0.003</v>
      </c>
    </row>
    <row r="16" spans="1:9" ht="24.9" customHeight="1">
      <c r="A16" s="41"/>
      <c r="B16" s="39"/>
      <c r="C16" s="20" t="s">
        <v>16</v>
      </c>
      <c r="D16" s="21" t="n">
        <f>27</f>
        <v>27.0</v>
      </c>
      <c r="E16" s="22" t="n">
        <f>0</f>
        <v>0.0</v>
      </c>
      <c r="F16" s="23" t="n">
        <f>0.001</f>
        <v>0.001</v>
      </c>
      <c r="G16" s="21" t="n">
        <f>8160000</f>
        <v>8160000.0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81</f>
        <v>81.0</v>
      </c>
      <c r="E17" s="22" t="n">
        <f>0</f>
        <v>0.0</v>
      </c>
      <c r="F17" s="23" t="n">
        <f>0.002</f>
        <v>0.002</v>
      </c>
      <c r="G17" s="21" t="n">
        <f>5060000</f>
        <v>5060000.0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185</f>
        <v>185.0</v>
      </c>
      <c r="E18" s="26" t="n">
        <f>0</f>
        <v>0.0</v>
      </c>
      <c r="F18" s="27" t="n">
        <f>0.002</f>
        <v>0.002</v>
      </c>
      <c r="G18" s="25" t="n">
        <f>24830000</f>
        <v>2.483E7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21391</f>
        <v>21391.0</v>
      </c>
      <c r="E19" s="18" t="n">
        <f>3962</f>
        <v>3962.0</v>
      </c>
      <c r="F19" s="19" t="n">
        <f>0.996</f>
        <v>0.996</v>
      </c>
      <c r="G19" s="17" t="n">
        <f>4226198914</f>
        <v>4.226198914E9</v>
      </c>
      <c r="H19" s="18" t="n">
        <f>2641048414</f>
        <v>2.641048414E9</v>
      </c>
      <c r="I19" s="19" t="n">
        <f>0.997</f>
        <v>0.997</v>
      </c>
    </row>
    <row r="20" spans="1:9" ht="24.9" customHeight="1">
      <c r="A20" s="41"/>
      <c r="B20" s="39"/>
      <c r="C20" s="20" t="s">
        <v>16</v>
      </c>
      <c r="D20" s="21" t="n">
        <f>33195</f>
        <v>33195.0</v>
      </c>
      <c r="E20" s="22" t="n">
        <f>6103</f>
        <v>6103.0</v>
      </c>
      <c r="F20" s="23" t="n">
        <f>0.626</f>
        <v>0.626</v>
      </c>
      <c r="G20" s="21" t="n">
        <f>7438020832</f>
        <v>7.438020832E9</v>
      </c>
      <c r="H20" s="22" t="n">
        <f>4594577032</f>
        <v>4.594577032E9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41816</f>
        <v>41816.0</v>
      </c>
      <c r="E21" s="22" t="n">
        <f>18349</f>
        <v>18349.0</v>
      </c>
      <c r="F21" s="23" t="n">
        <f>0.858</f>
        <v>0.858</v>
      </c>
      <c r="G21" s="21" t="n">
        <f>19420213410</f>
        <v>1.942021341E10</v>
      </c>
      <c r="H21" s="22" t="n">
        <f>15730443910</f>
        <v>1.573044391E10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96402</f>
        <v>96402.0</v>
      </c>
      <c r="E22" s="26" t="n">
        <f>28414</f>
        <v>28414.0</v>
      </c>
      <c r="F22" s="27" t="n">
        <f>0.782</f>
        <v>0.782</v>
      </c>
      <c r="G22" s="25" t="n">
        <f>31084433156</f>
        <v>3.1084433156E10</v>
      </c>
      <c r="H22" s="26" t="n">
        <f>22966069356</f>
        <v>2.2966069356E10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19826</f>
        <v>19826.0</v>
      </c>
      <c r="E24" s="22" t="n">
        <f>0</f>
        <v>0.0</v>
      </c>
      <c r="F24" s="23" t="n">
        <f>0.374</f>
        <v>0.374</v>
      </c>
      <c r="G24" s="21" t="n">
        <f>55170057</f>
        <v>5.5170057E7</v>
      </c>
      <c r="H24" s="22" t="n">
        <f>0</f>
        <v>0.0</v>
      </c>
      <c r="I24" s="23" t="n">
        <f>0.007</f>
        <v>0.007</v>
      </c>
    </row>
    <row r="25" spans="1:9" ht="24.9" customHeight="1">
      <c r="A25" s="41"/>
      <c r="B25" s="39"/>
      <c r="C25" s="20" t="s">
        <v>17</v>
      </c>
      <c r="D25" s="21" t="n">
        <f>6850</f>
        <v>6850.0</v>
      </c>
      <c r="E25" s="22" t="n">
        <f>0</f>
        <v>0.0</v>
      </c>
      <c r="F25" s="23" t="n">
        <f>0.141</f>
        <v>0.141</v>
      </c>
      <c r="G25" s="21" t="n">
        <f>25181268</f>
        <v>2.5181268E7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26676</f>
        <v>26676.0</v>
      </c>
      <c r="E26" s="26" t="n">
        <f>0</f>
        <v>0.0</v>
      </c>
      <c r="F26" s="27" t="n">
        <f>0.216</f>
        <v>0.216</v>
      </c>
      <c r="G26" s="25" t="n">
        <f>80351325</f>
        <v>8.0351325E7</v>
      </c>
      <c r="H26" s="26" t="n">
        <f>0</f>
        <v>0.0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15427.0</v>
      </c>
      <c r="F12" s="18" t="n">
        <f>3848</f>
        <v>3848.0</v>
      </c>
      <c r="G12" s="17" t="n">
        <v>9.3391087569E11</v>
      </c>
      <c r="H12" s="18" t="n">
        <f>233209706690</f>
        <v>2.3320970669E11</v>
      </c>
    </row>
    <row r="13" spans="1:8" ht="24.9" customHeight="1">
      <c r="A13" s="51"/>
      <c r="B13" s="57"/>
      <c r="C13" s="39"/>
      <c r="D13" s="20" t="s">
        <v>16</v>
      </c>
      <c r="E13" s="21" t="n">
        <v>14697.0</v>
      </c>
      <c r="F13" s="22" t="n">
        <f>2000</f>
        <v>2000.0</v>
      </c>
      <c r="G13" s="21" t="n">
        <v>8.799391547E11</v>
      </c>
      <c r="H13" s="22" t="n">
        <f>119516840700</f>
        <v>1.195168407E11</v>
      </c>
    </row>
    <row r="14" spans="1:8" ht="24.9" customHeight="1">
      <c r="A14" s="51"/>
      <c r="B14" s="57"/>
      <c r="C14" s="39"/>
      <c r="D14" s="20" t="s">
        <v>17</v>
      </c>
      <c r="E14" s="21" t="n">
        <v>18010.0</v>
      </c>
      <c r="F14" s="22" t="n">
        <f>3174</f>
        <v>3174.0</v>
      </c>
      <c r="G14" s="21" t="n">
        <v>1.075597761991E12</v>
      </c>
      <c r="H14" s="22" t="n">
        <f>189715427991</f>
        <v>1.89715427991E11</v>
      </c>
    </row>
    <row r="15" spans="1:8" ht="24.9" customHeight="1">
      <c r="A15" s="51"/>
      <c r="B15" s="57"/>
      <c r="C15" s="39"/>
      <c r="D15" s="24" t="s">
        <v>18</v>
      </c>
      <c r="E15" s="25" t="n">
        <v>48134.0</v>
      </c>
      <c r="F15" s="26" t="n">
        <f>9022</f>
        <v>9022.0</v>
      </c>
      <c r="G15" s="25" t="n">
        <v>2.889447792381E12</v>
      </c>
      <c r="H15" s="26" t="n">
        <f>542441975381</f>
        <v>5.42441975381E11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324019.0</v>
      </c>
      <c r="F16" s="18" t="n">
        <f>44326</f>
        <v>44326.0</v>
      </c>
      <c r="G16" s="17" t="n">
        <v>1.960393952752E12</v>
      </c>
      <c r="H16" s="18" t="n">
        <f>268141361252</f>
        <v>2.68141361252E11</v>
      </c>
    </row>
    <row r="17" spans="1:8" ht="24.9" customHeight="1">
      <c r="A17" s="51"/>
      <c r="B17" s="57"/>
      <c r="C17" s="39"/>
      <c r="D17" s="20" t="s">
        <v>16</v>
      </c>
      <c r="E17" s="21" t="n">
        <v>248514.0</v>
      </c>
      <c r="F17" s="22" t="n">
        <f>25316</f>
        <v>25316.0</v>
      </c>
      <c r="G17" s="21" t="n">
        <v>1.48730980379E12</v>
      </c>
      <c r="H17" s="22" t="n">
        <f>151544398090</f>
        <v>1.5154439809E11</v>
      </c>
    </row>
    <row r="18" spans="1:8" ht="24.9" customHeight="1">
      <c r="A18" s="51"/>
      <c r="B18" s="57"/>
      <c r="C18" s="39"/>
      <c r="D18" s="20" t="s">
        <v>17</v>
      </c>
      <c r="E18" s="21" t="n">
        <v>199940.0</v>
      </c>
      <c r="F18" s="22" t="n">
        <f>22366</f>
        <v>22366.0</v>
      </c>
      <c r="G18" s="21" t="n">
        <v>1.193800489962E12</v>
      </c>
      <c r="H18" s="22" t="n">
        <f>133501139462</f>
        <v>1.33501139462E11</v>
      </c>
    </row>
    <row r="19" spans="1:8" ht="24.9" customHeight="1">
      <c r="A19" s="51"/>
      <c r="B19" s="57"/>
      <c r="C19" s="39"/>
      <c r="D19" s="24" t="s">
        <v>18</v>
      </c>
      <c r="E19" s="25" t="n">
        <v>772473.0</v>
      </c>
      <c r="F19" s="26" t="n">
        <f>92008</f>
        <v>92008.0</v>
      </c>
      <c r="G19" s="25" t="n">
        <v>4.641504246504E12</v>
      </c>
      <c r="H19" s="26" t="n">
        <f>553186898804</f>
        <v>5.53186898804E11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451576.0</v>
      </c>
      <c r="F20" s="18" t="str">
        <f>"－"</f>
        <v>－</v>
      </c>
      <c r="G20" s="17" t="n">
        <v>2.731543499E11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300810.0</v>
      </c>
      <c r="F21" s="22" t="str">
        <f>"－"</f>
        <v>－</v>
      </c>
      <c r="G21" s="21" t="n">
        <v>1.800116706E11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242425.0</v>
      </c>
      <c r="F22" s="22" t="str">
        <f>"－"</f>
        <v>－</v>
      </c>
      <c r="G22" s="21" t="n">
        <v>1.447355093E11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994811.0</v>
      </c>
      <c r="F23" s="26" t="str">
        <f>"－"</f>
        <v>－</v>
      </c>
      <c r="G23" s="25" t="n">
        <v>5.979015298E11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23512.0</v>
      </c>
      <c r="F24" s="18" t="n">
        <f>6008</f>
        <v>6008.0</v>
      </c>
      <c r="G24" s="17" t="n">
        <v>9.0491966E11</v>
      </c>
      <c r="H24" s="18" t="n">
        <f>231487660000</f>
        <v>2.3148766E11</v>
      </c>
    </row>
    <row r="25" spans="1:8" ht="24.9" customHeight="1">
      <c r="A25" s="51"/>
      <c r="B25" s="57"/>
      <c r="C25" s="39"/>
      <c r="D25" s="20" t="s">
        <v>16</v>
      </c>
      <c r="E25" s="21" t="n">
        <v>21109.0</v>
      </c>
      <c r="F25" s="22" t="n">
        <f>179</f>
        <v>179.0</v>
      </c>
      <c r="G25" s="21" t="n">
        <v>8.0455128E11</v>
      </c>
      <c r="H25" s="22" t="n">
        <f>6816885000</f>
        <v>6.816885E9</v>
      </c>
    </row>
    <row r="26" spans="1:8" ht="24.9" customHeight="1">
      <c r="A26" s="51"/>
      <c r="B26" s="57"/>
      <c r="C26" s="39"/>
      <c r="D26" s="20" t="s">
        <v>17</v>
      </c>
      <c r="E26" s="21" t="n">
        <v>29710.0</v>
      </c>
      <c r="F26" s="22" t="n">
        <f>5012</f>
        <v>5012.0</v>
      </c>
      <c r="G26" s="21" t="n">
        <v>1.12524522188E12</v>
      </c>
      <c r="H26" s="22" t="n">
        <f>190524976880</f>
        <v>1.9052497688E11</v>
      </c>
    </row>
    <row r="27" spans="1:8" ht="24.9" customHeight="1">
      <c r="A27" s="51"/>
      <c r="B27" s="57"/>
      <c r="C27" s="39"/>
      <c r="D27" s="24" t="s">
        <v>18</v>
      </c>
      <c r="E27" s="25" t="n">
        <v>74331.0</v>
      </c>
      <c r="F27" s="26" t="n">
        <f>11199</f>
        <v>11199.0</v>
      </c>
      <c r="G27" s="25" t="n">
        <v>2.83471616188E12</v>
      </c>
      <c r="H27" s="26" t="n">
        <f>428829521880</f>
        <v>4.2882952188E11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4973.0</v>
      </c>
      <c r="F28" s="18" t="n">
        <f>279</f>
        <v>279.0</v>
      </c>
      <c r="G28" s="17" t="n">
        <v>1.911907005E10</v>
      </c>
      <c r="H28" s="18" t="n">
        <f>1072097050</f>
        <v>1.07209705E9</v>
      </c>
    </row>
    <row r="29" spans="1:8" ht="24.9" customHeight="1">
      <c r="A29" s="51"/>
      <c r="B29" s="57"/>
      <c r="C29" s="39"/>
      <c r="D29" s="20" t="s">
        <v>16</v>
      </c>
      <c r="E29" s="21" t="n">
        <v>9295.0</v>
      </c>
      <c r="F29" s="22" t="n">
        <f>227</f>
        <v>227.0</v>
      </c>
      <c r="G29" s="21" t="n">
        <v>3.543555595E10</v>
      </c>
      <c r="H29" s="22" t="n">
        <f>865215700</f>
        <v>8.652157E8</v>
      </c>
    </row>
    <row r="30" spans="1:8" ht="24.9" customHeight="1">
      <c r="A30" s="51"/>
      <c r="B30" s="57"/>
      <c r="C30" s="39"/>
      <c r="D30" s="20" t="s">
        <v>17</v>
      </c>
      <c r="E30" s="21" t="n">
        <v>9904.0</v>
      </c>
      <c r="F30" s="22" t="n">
        <f>457</f>
        <v>457.0</v>
      </c>
      <c r="G30" s="21" t="n">
        <v>3.747327875E10</v>
      </c>
      <c r="H30" s="22" t="n">
        <f>1731080750</f>
        <v>1.73108075E9</v>
      </c>
    </row>
    <row r="31" spans="1:8" ht="24.9" customHeight="1">
      <c r="A31" s="51"/>
      <c r="B31" s="57"/>
      <c r="C31" s="39"/>
      <c r="D31" s="24" t="s">
        <v>18</v>
      </c>
      <c r="E31" s="25" t="n">
        <v>24172.0</v>
      </c>
      <c r="F31" s="26" t="n">
        <f>963</f>
        <v>963.0</v>
      </c>
      <c r="G31" s="25" t="n">
        <v>9.202790475E10</v>
      </c>
      <c r="H31" s="26" t="n">
        <f>3668393500</f>
        <v>3.6683935E9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604.0</v>
      </c>
      <c r="F36" s="18" t="n">
        <f>0</f>
        <v>0.0</v>
      </c>
      <c r="G36" s="17" t="n">
        <v>2.103389E9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1358.0</v>
      </c>
      <c r="F37" s="22" t="n">
        <f>3</f>
        <v>3.0</v>
      </c>
      <c r="G37" s="21" t="n">
        <v>4.67932299E9</v>
      </c>
      <c r="H37" s="22" t="n">
        <f>10331490</f>
        <v>1.033149E7</v>
      </c>
    </row>
    <row r="38" spans="1:8" ht="24.9" customHeight="1">
      <c r="A38" s="51"/>
      <c r="B38" s="57"/>
      <c r="C38" s="39"/>
      <c r="D38" s="20" t="s">
        <v>17</v>
      </c>
      <c r="E38" s="21" t="n">
        <v>886.0</v>
      </c>
      <c r="F38" s="22" t="n">
        <f>115</f>
        <v>115.0</v>
      </c>
      <c r="G38" s="21" t="n">
        <v>3.032013628E9</v>
      </c>
      <c r="H38" s="22" t="n">
        <f>394291628</f>
        <v>3.94291628E8</v>
      </c>
    </row>
    <row r="39" spans="1:8" ht="24.9" customHeight="1">
      <c r="A39" s="51"/>
      <c r="B39" s="57"/>
      <c r="C39" s="39"/>
      <c r="D39" s="24" t="s">
        <v>18</v>
      </c>
      <c r="E39" s="25" t="n">
        <v>2848.0</v>
      </c>
      <c r="F39" s="26" t="n">
        <f>118</f>
        <v>118.0</v>
      </c>
      <c r="G39" s="25" t="n">
        <v>9.814725618E9</v>
      </c>
      <c r="H39" s="26" t="n">
        <f>404623118</f>
        <v>4.04623118E8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201.0</v>
      </c>
      <c r="F45" s="22" t="n">
        <f>201</f>
        <v>201.0</v>
      </c>
      <c r="G45" s="21" t="n">
        <v>1.32076018E9</v>
      </c>
      <c r="H45" s="22" t="n">
        <f>1320760180</f>
        <v>1.32076018E9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201.0</v>
      </c>
      <c r="F47" s="26" t="n">
        <f>201</f>
        <v>201.0</v>
      </c>
      <c r="G47" s="25" t="n">
        <v>1.32076018E9</v>
      </c>
      <c r="H47" s="26" t="n">
        <f>1320760180</f>
        <v>1.32076018E9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137.0</v>
      </c>
      <c r="F48" s="18" t="n">
        <f>137</f>
        <v>137.0</v>
      </c>
      <c r="G48" s="17" t="n">
        <v>2.498195E8</v>
      </c>
      <c r="H48" s="18" t="n">
        <f>249819500</f>
        <v>2.498195E8</v>
      </c>
    </row>
    <row r="49" spans="1:8" ht="24.9" customHeight="1">
      <c r="A49" s="51"/>
      <c r="B49" s="57"/>
      <c r="C49" s="39"/>
      <c r="D49" s="20" t="s">
        <v>16</v>
      </c>
      <c r="E49" s="21" t="n">
        <v>352.0</v>
      </c>
      <c r="F49" s="22" t="n">
        <f>288</f>
        <v>288.0</v>
      </c>
      <c r="G49" s="21" t="n">
        <v>6.37443E8</v>
      </c>
      <c r="H49" s="22" t="n">
        <f>521148000</f>
        <v>5.21148E8</v>
      </c>
    </row>
    <row r="50" spans="1:8" ht="24.9" customHeight="1">
      <c r="A50" s="51"/>
      <c r="B50" s="57"/>
      <c r="C50" s="39"/>
      <c r="D50" s="20" t="s">
        <v>17</v>
      </c>
      <c r="E50" s="21" t="n">
        <v>73.0</v>
      </c>
      <c r="F50" s="22" t="n">
        <f>48</f>
        <v>48.0</v>
      </c>
      <c r="G50" s="21" t="n">
        <v>1.315508E8</v>
      </c>
      <c r="H50" s="22" t="n">
        <f>86441800</f>
        <v>8.64418E7</v>
      </c>
    </row>
    <row r="51" spans="1:8" ht="24.9" customHeight="1">
      <c r="A51" s="51"/>
      <c r="B51" s="57"/>
      <c r="C51" s="39"/>
      <c r="D51" s="24" t="s">
        <v>18</v>
      </c>
      <c r="E51" s="25" t="n">
        <v>562.0</v>
      </c>
      <c r="F51" s="26" t="n">
        <f>473</f>
        <v>473.0</v>
      </c>
      <c r="G51" s="25" t="n">
        <v>1.0188133E9</v>
      </c>
      <c r="H51" s="26" t="n">
        <f>857409300</f>
        <v>8.574093E8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948.0</v>
      </c>
      <c r="F56" s="18" t="n">
        <f>10</f>
        <v>10.0</v>
      </c>
      <c r="G56" s="17" t="n">
        <v>7.666129E8</v>
      </c>
      <c r="H56" s="18" t="n">
        <f>8077900</f>
        <v>8077900.0</v>
      </c>
    </row>
    <row r="57" spans="1:8" ht="24.9" customHeight="1">
      <c r="A57" s="51"/>
      <c r="B57" s="57"/>
      <c r="C57" s="39"/>
      <c r="D57" s="20" t="s">
        <v>16</v>
      </c>
      <c r="E57" s="21" t="n">
        <v>2511.0</v>
      </c>
      <c r="F57" s="22" t="n">
        <f>82</f>
        <v>82.0</v>
      </c>
      <c r="G57" s="21" t="n">
        <v>1.9841228E9</v>
      </c>
      <c r="H57" s="22" t="n">
        <f>64857800</f>
        <v>6.48578E7</v>
      </c>
    </row>
    <row r="58" spans="1:8" ht="24.9" customHeight="1">
      <c r="A58" s="51"/>
      <c r="B58" s="57"/>
      <c r="C58" s="39"/>
      <c r="D58" s="20" t="s">
        <v>17</v>
      </c>
      <c r="E58" s="21" t="n">
        <v>1609.0</v>
      </c>
      <c r="F58" s="22" t="n">
        <f>92</f>
        <v>92.0</v>
      </c>
      <c r="G58" s="21" t="n">
        <v>1.25072212E9</v>
      </c>
      <c r="H58" s="22" t="n">
        <f>71838120</f>
        <v>7.183812E7</v>
      </c>
    </row>
    <row r="59" spans="1:8" ht="24.9" customHeight="1">
      <c r="A59" s="51"/>
      <c r="B59" s="57"/>
      <c r="C59" s="39"/>
      <c r="D59" s="24" t="s">
        <v>18</v>
      </c>
      <c r="E59" s="25" t="n">
        <v>5068.0</v>
      </c>
      <c r="F59" s="26" t="n">
        <f>184</f>
        <v>184.0</v>
      </c>
      <c r="G59" s="25" t="n">
        <v>4.00145782E9</v>
      </c>
      <c r="H59" s="26" t="n">
        <f>144773820</f>
        <v>1.4477382E8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161.0</v>
      </c>
      <c r="F60" s="18" t="n">
        <f>0</f>
        <v>0.0</v>
      </c>
      <c r="G60" s="17" t="n">
        <v>7.984788E8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17.0</v>
      </c>
      <c r="F61" s="22" t="n">
        <f>0</f>
        <v>0.0</v>
      </c>
      <c r="G61" s="21" t="n">
        <v>8.4059E7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32.0</v>
      </c>
      <c r="F62" s="22" t="n">
        <f>1</f>
        <v>1.0</v>
      </c>
      <c r="G62" s="21" t="n">
        <v>1.580733E8</v>
      </c>
      <c r="H62" s="22" t="n">
        <f>4947800</f>
        <v>4947800.0</v>
      </c>
    </row>
    <row r="63" spans="1:8" ht="24.9" customHeight="1">
      <c r="A63" s="51"/>
      <c r="B63" s="57"/>
      <c r="C63" s="39"/>
      <c r="D63" s="24" t="s">
        <v>18</v>
      </c>
      <c r="E63" s="25" t="n">
        <v>210.0</v>
      </c>
      <c r="F63" s="26" t="n">
        <f>1</f>
        <v>1.0</v>
      </c>
      <c r="G63" s="25" t="n">
        <v>1.0406111E9</v>
      </c>
      <c r="H63" s="26" t="n">
        <f>4947800</f>
        <v>4947800.0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2.0</v>
      </c>
      <c r="F76" s="18" t="n">
        <f>0</f>
        <v>0.0</v>
      </c>
      <c r="G76" s="17" t="n">
        <v>700000.0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704500.0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13.0</v>
      </c>
      <c r="F78" s="22" t="n">
        <f>0</f>
        <v>0.0</v>
      </c>
      <c r="G78" s="21" t="n">
        <v>4582000.0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17.0</v>
      </c>
      <c r="F79" s="26" t="n">
        <f>0</f>
        <v>0.0</v>
      </c>
      <c r="G79" s="25" t="n">
        <v>5986500.0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2132.0</v>
      </c>
      <c r="F92" s="18" t="n">
        <f>0</f>
        <v>0.0</v>
      </c>
      <c r="G92" s="17" t="n">
        <v>3.3828112E9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155.0</v>
      </c>
      <c r="F93" s="22" t="n">
        <f>0</f>
        <v>0.0</v>
      </c>
      <c r="G93" s="21" t="n">
        <v>2.460066E8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120.0</v>
      </c>
      <c r="F94" s="22" t="n">
        <f>0</f>
        <v>0.0</v>
      </c>
      <c r="G94" s="21" t="n">
        <v>1.903409E8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2407.0</v>
      </c>
      <c r="F95" s="26" t="n">
        <f>0</f>
        <v>0.0</v>
      </c>
      <c r="G95" s="25" t="n">
        <v>3.8191587E9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697.0</v>
      </c>
      <c r="F96" s="18" t="n">
        <f>0</f>
        <v>0.0</v>
      </c>
      <c r="G96" s="17" t="n">
        <v>1.6265248E9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152.0</v>
      </c>
      <c r="F98" s="22" t="n">
        <f>0</f>
        <v>0.0</v>
      </c>
      <c r="G98" s="21" t="n">
        <v>3.544311E8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849.0</v>
      </c>
      <c r="F99" s="26" t="n">
        <f>0</f>
        <v>0.0</v>
      </c>
      <c r="G99" s="25" t="n">
        <v>1.9809559E9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760.0</v>
      </c>
      <c r="F100" s="18" t="n">
        <f>0</f>
        <v>0.0</v>
      </c>
      <c r="G100" s="17" t="n">
        <v>1.402312E9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100.0</v>
      </c>
      <c r="F101" s="22" t="n">
        <f>0</f>
        <v>0.0</v>
      </c>
      <c r="G101" s="21" t="n">
        <v>1.8427E8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9.207E7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910.0</v>
      </c>
      <c r="F103" s="26" t="n">
        <f>0</f>
        <v>0.0</v>
      </c>
      <c r="G103" s="25" t="n">
        <v>1.678652E9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16433.0</v>
      </c>
      <c r="F108" s="18" t="n">
        <f>405</f>
        <v>405.0</v>
      </c>
      <c r="G108" s="17" t="n">
        <v>2.09732376E12</v>
      </c>
      <c r="H108" s="18" t="n">
        <f>51719650000</f>
        <v>5.171965E10</v>
      </c>
    </row>
    <row r="109" spans="1:8" ht="24.9" customHeight="1">
      <c r="A109" s="51"/>
      <c r="B109" s="57"/>
      <c r="C109" s="39"/>
      <c r="D109" s="20" t="s">
        <v>16</v>
      </c>
      <c r="E109" s="21" t="n">
        <v>15678.0</v>
      </c>
      <c r="F109" s="22" t="n">
        <f>2044</f>
        <v>2044.0</v>
      </c>
      <c r="G109" s="21" t="n">
        <v>2.00087156E12</v>
      </c>
      <c r="H109" s="22" t="n">
        <f>260850890000</f>
        <v>2.6085089E11</v>
      </c>
    </row>
    <row r="110" spans="1:8" ht="24.9" customHeight="1">
      <c r="A110" s="51"/>
      <c r="B110" s="57"/>
      <c r="C110" s="39"/>
      <c r="D110" s="20" t="s">
        <v>17</v>
      </c>
      <c r="E110" s="21" t="n">
        <v>24781.0</v>
      </c>
      <c r="F110" s="22" t="n">
        <f>3261</f>
        <v>3261.0</v>
      </c>
      <c r="G110" s="21" t="n">
        <v>3.164207765E12</v>
      </c>
      <c r="H110" s="22" t="n">
        <f>416285955000</f>
        <v>4.16285955E11</v>
      </c>
    </row>
    <row r="111" spans="1:8" ht="24.9" customHeight="1">
      <c r="A111" s="51"/>
      <c r="B111" s="57"/>
      <c r="C111" s="39"/>
      <c r="D111" s="24" t="s">
        <v>18</v>
      </c>
      <c r="E111" s="25" t="n">
        <v>56892.0</v>
      </c>
      <c r="F111" s="26" t="n">
        <f>5710</f>
        <v>5710.0</v>
      </c>
      <c r="G111" s="25" t="n">
        <v>7.262403085E12</v>
      </c>
      <c r="H111" s="26" t="n">
        <f>728856495000</f>
        <v>7.28856495E11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634.0</v>
      </c>
      <c r="F113" s="22" t="n">
        <f>0</f>
        <v>0.0</v>
      </c>
      <c r="G113" s="21" t="n">
        <v>8.091815E9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1170.0</v>
      </c>
      <c r="F114" s="22" t="n">
        <f>0</f>
        <v>0.0</v>
      </c>
      <c r="G114" s="21" t="n">
        <v>1.494006E10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1804.0</v>
      </c>
      <c r="F115" s="26" t="n">
        <f>0</f>
        <v>0.0</v>
      </c>
      <c r="G115" s="25" t="n">
        <v>2.3031875E10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200.0</v>
      </c>
      <c r="F118" s="22" t="n">
        <f>0</f>
        <v>0.0</v>
      </c>
      <c r="G118" s="21" t="n">
        <v>1.81775E9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200.0</v>
      </c>
      <c r="F119" s="26" t="n">
        <f>0</f>
        <v>0.0</v>
      </c>
      <c r="G119" s="25" t="n">
        <v>1.81775E9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8484.0</v>
      </c>
      <c r="F120" s="18" t="n">
        <f>0</f>
        <v>0.0</v>
      </c>
      <c r="G120" s="17" t="n">
        <v>2.10280208125E11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1956.0</v>
      </c>
      <c r="F121" s="22" t="n">
        <f>0</f>
        <v>0.0</v>
      </c>
      <c r="G121" s="21" t="n">
        <v>4.8512813125E10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2650.0</v>
      </c>
      <c r="F122" s="22" t="n">
        <f>0</f>
        <v>0.0</v>
      </c>
      <c r="G122" s="21" t="n">
        <v>6.5757429375E10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13090.0</v>
      </c>
      <c r="F123" s="26" t="n">
        <f>0</f>
        <v>0.0</v>
      </c>
      <c r="G123" s="25" t="n">
        <v>3.24550450625E11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5716.0</v>
      </c>
      <c r="F124" s="18" t="n">
        <f>0</f>
        <v>0.0</v>
      </c>
      <c r="G124" s="17" t="n">
        <v>1.35958786E11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4085.0</v>
      </c>
      <c r="F125" s="22" t="n">
        <f>0</f>
        <v>0.0</v>
      </c>
      <c r="G125" s="21" t="n">
        <v>9.6420776E10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5044.0</v>
      </c>
      <c r="F126" s="22" t="n">
        <f>2</f>
        <v>2.0</v>
      </c>
      <c r="G126" s="21" t="n">
        <v>1.18252424E11</v>
      </c>
      <c r="H126" s="22" t="n">
        <f>47808000</f>
        <v>4.7808E7</v>
      </c>
    </row>
    <row r="127" spans="1:8" ht="24.9" customHeight="1">
      <c r="A127" s="51"/>
      <c r="B127" s="57"/>
      <c r="C127" s="39"/>
      <c r="D127" s="24" t="s">
        <v>18</v>
      </c>
      <c r="E127" s="25" t="n">
        <v>14845.0</v>
      </c>
      <c r="F127" s="26" t="n">
        <f>2</f>
        <v>2.0</v>
      </c>
      <c r="G127" s="25" t="n">
        <v>3.50631986E11</v>
      </c>
      <c r="H127" s="26" t="n">
        <f>47808000</f>
        <v>4.7808E7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59.0</v>
      </c>
      <c r="F128" s="18" t="n">
        <f>0</f>
        <v>0.0</v>
      </c>
      <c r="G128" s="17" t="n">
        <v>1.406316E8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101.0</v>
      </c>
      <c r="F129" s="22" t="n">
        <f>0</f>
        <v>0.0</v>
      </c>
      <c r="G129" s="21" t="n">
        <v>2.383423E8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297.0</v>
      </c>
      <c r="F130" s="22" t="n">
        <f>0</f>
        <v>0.0</v>
      </c>
      <c r="G130" s="21" t="n">
        <v>6.979046E8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457.0</v>
      </c>
      <c r="F131" s="26" t="n">
        <f>0</f>
        <v>0.0</v>
      </c>
      <c r="G131" s="25" t="n">
        <v>1.0768785E9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6354.0</v>
      </c>
      <c r="F132" s="18" t="n">
        <f>0</f>
        <v>0.0</v>
      </c>
      <c r="G132" s="17" t="n">
        <v>1.516022025E10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3526.0</v>
      </c>
      <c r="F133" s="22" t="n">
        <f>0</f>
        <v>0.0</v>
      </c>
      <c r="G133" s="21" t="n">
        <v>8.35062925E9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3108.0</v>
      </c>
      <c r="F134" s="22" t="n">
        <f>0</f>
        <v>0.0</v>
      </c>
      <c r="G134" s="21" t="n">
        <v>7.3132411E9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12988.0</v>
      </c>
      <c r="F135" s="26" t="n">
        <f>0</f>
        <v>0.0</v>
      </c>
      <c r="G135" s="25" t="n">
        <v>3.08240906E10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77.0</v>
      </c>
      <c r="F136" s="18" t="n">
        <f>0</f>
        <v>0.0</v>
      </c>
      <c r="G136" s="17" t="n">
        <v>1.816515E8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68.0</v>
      </c>
      <c r="F137" s="22" t="n">
        <f>0</f>
        <v>0.0</v>
      </c>
      <c r="G137" s="21" t="n">
        <v>1.592678E8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80.0</v>
      </c>
      <c r="F138" s="22" t="n">
        <f>0</f>
        <v>0.0</v>
      </c>
      <c r="G138" s="21" t="n">
        <v>1.861914E8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225.0</v>
      </c>
      <c r="F139" s="26" t="n">
        <f>0</f>
        <v>0.0</v>
      </c>
      <c r="G139" s="25" t="n">
        <v>5.271107E8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1195.0</v>
      </c>
      <c r="F144" s="18" t="n">
        <f>0</f>
        <v>0.0</v>
      </c>
      <c r="G144" s="17" t="n">
        <v>5.8853505E9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2097.0</v>
      </c>
      <c r="F145" s="22" t="n">
        <f>0</f>
        <v>0.0</v>
      </c>
      <c r="G145" s="21" t="n">
        <v>1.0162251E10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1019.0</v>
      </c>
      <c r="F146" s="22" t="n">
        <f>0</f>
        <v>0.0</v>
      </c>
      <c r="G146" s="21" t="n">
        <v>4.905245E9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4311.0</v>
      </c>
      <c r="F147" s="26" t="n">
        <f>0</f>
        <v>0.0</v>
      </c>
      <c r="G147" s="25" t="n">
        <v>2.09528465E10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364.0</v>
      </c>
      <c r="F148" s="18" t="n">
        <f>0</f>
        <v>0.0</v>
      </c>
      <c r="G148" s="17" t="n">
        <v>3.636432E8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256.0</v>
      </c>
      <c r="F149" s="22" t="n">
        <f>0</f>
        <v>0.0</v>
      </c>
      <c r="G149" s="21" t="n">
        <v>2.535989E8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188.0</v>
      </c>
      <c r="F150" s="22" t="n">
        <f>0</f>
        <v>0.0</v>
      </c>
      <c r="G150" s="21" t="n">
        <v>1.851511E8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808.0</v>
      </c>
      <c r="F151" s="26" t="n">
        <f>0</f>
        <v>0.0</v>
      </c>
      <c r="G151" s="25" t="n">
        <v>8.023932E8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246.0</v>
      </c>
      <c r="F152" s="18" t="n">
        <f>0</f>
        <v>0.0</v>
      </c>
      <c r="G152" s="17" t="n">
        <v>2.418659E8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175.0</v>
      </c>
      <c r="F153" s="22" t="n">
        <f>0</f>
        <v>0.0</v>
      </c>
      <c r="G153" s="21" t="n">
        <v>1.6964305E8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185.0</v>
      </c>
      <c r="F154" s="22" t="n">
        <f>0</f>
        <v>0.0</v>
      </c>
      <c r="G154" s="21" t="n">
        <v>1.782271E8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606.0</v>
      </c>
      <c r="F155" s="26" t="n">
        <f>0</f>
        <v>0.0</v>
      </c>
      <c r="G155" s="25" t="n">
        <v>5.8973605E8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521.0</v>
      </c>
      <c r="F156" s="18" t="n">
        <f>0</f>
        <v>0.0</v>
      </c>
      <c r="G156" s="17" t="n">
        <v>5.170811E8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346.0</v>
      </c>
      <c r="F157" s="22" t="n">
        <f>0</f>
        <v>0.0</v>
      </c>
      <c r="G157" s="21" t="n">
        <v>3.359767E8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1088.0</v>
      </c>
      <c r="F158" s="22" t="n">
        <f>0</f>
        <v>0.0</v>
      </c>
      <c r="G158" s="21" t="n">
        <v>1.0486919E9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1955.0</v>
      </c>
      <c r="F159" s="26" t="n">
        <f>0</f>
        <v>0.0</v>
      </c>
      <c r="G159" s="25" t="n">
        <v>1.9017497E9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6.0</v>
      </c>
      <c r="F168" s="18" t="n">
        <f>0</f>
        <v>0.0</v>
      </c>
      <c r="G168" s="17" t="n">
        <v>1.2389E7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169.0</v>
      </c>
      <c r="F169" s="22" t="n">
        <f>12</f>
        <v>12.0</v>
      </c>
      <c r="G169" s="21" t="n">
        <v>3.47946E8</v>
      </c>
      <c r="H169" s="22" t="n">
        <f>24240000</f>
        <v>2.424E7</v>
      </c>
    </row>
    <row r="170" spans="1:8" ht="24.9" customHeight="1">
      <c r="A170" s="51"/>
      <c r="B170" s="57"/>
      <c r="C170" s="39"/>
      <c r="D170" s="20" t="s">
        <v>17</v>
      </c>
      <c r="E170" s="21" t="n">
        <v>630.0</v>
      </c>
      <c r="F170" s="22" t="n">
        <f>293</f>
        <v>293.0</v>
      </c>
      <c r="G170" s="21" t="n">
        <v>1.302584E9</v>
      </c>
      <c r="H170" s="22" t="n">
        <f>615179000</f>
        <v>6.15179E8</v>
      </c>
    </row>
    <row r="171" spans="1:8" ht="24.9" customHeight="1">
      <c r="A171" s="51"/>
      <c r="B171" s="57"/>
      <c r="C171" s="39"/>
      <c r="D171" s="24" t="s">
        <v>18</v>
      </c>
      <c r="E171" s="25" t="n">
        <v>805.0</v>
      </c>
      <c r="F171" s="26" t="n">
        <f>305</f>
        <v>305.0</v>
      </c>
      <c r="G171" s="25" t="n">
        <v>1.662919E9</v>
      </c>
      <c r="H171" s="26" t="n">
        <f>639419000</f>
        <v>6.39419E8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7110000.0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19.0</v>
      </c>
      <c r="F178" s="22" t="n">
        <f>0</f>
        <v>0.0</v>
      </c>
      <c r="G178" s="21" t="n">
        <v>3.37085E7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23.0</v>
      </c>
      <c r="F179" s="26" t="n">
        <f>0</f>
        <v>0.0</v>
      </c>
      <c r="G179" s="25" t="n">
        <v>4.08185E7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612.0</v>
      </c>
      <c r="F204" s="18" t="n">
        <f>0</f>
        <v>0.0</v>
      </c>
      <c r="G204" s="17" t="n">
        <v>2.7485435E9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102.0</v>
      </c>
      <c r="F205" s="22" t="n">
        <f>0</f>
        <v>0.0</v>
      </c>
      <c r="G205" s="21" t="n">
        <v>4.560285E8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932.0</v>
      </c>
      <c r="F206" s="22" t="n">
        <f>0</f>
        <v>0.0</v>
      </c>
      <c r="G206" s="21" t="n">
        <v>4.1949075E9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1646.0</v>
      </c>
      <c r="F207" s="26" t="n">
        <f>0</f>
        <v>0.0</v>
      </c>
      <c r="G207" s="25" t="n">
        <v>7.3994795E9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3002</f>
        <v>3002.0</v>
      </c>
      <c r="E12" s="35" t="n">
        <f>1494</f>
        <v>1494.0</v>
      </c>
      <c r="F12" s="17" t="n">
        <f>1839</f>
        <v>1839.0</v>
      </c>
      <c r="G12" s="35" t="n">
        <f>540</f>
        <v>540.0</v>
      </c>
      <c r="H12" s="17" t="n">
        <f>4841</f>
        <v>4841.0</v>
      </c>
      <c r="I12" s="35" t="n">
        <f>2034</f>
        <v>2034.0</v>
      </c>
      <c r="J12" s="17" t="n">
        <f>2375041110</f>
        <v>2.37504111E9</v>
      </c>
      <c r="K12" s="35" t="n">
        <f>1675937110</f>
        <v>1.67593711E9</v>
      </c>
      <c r="L12" s="17" t="n">
        <f>1077862200</f>
        <v>1.0778622E9</v>
      </c>
      <c r="M12" s="35" t="n">
        <f>598250200</f>
        <v>5.982502E8</v>
      </c>
      <c r="N12" s="17" t="n">
        <f>3452903310</f>
        <v>3.45290331E9</v>
      </c>
      <c r="O12" s="35" t="n">
        <f>2274187310</f>
        <v>2.27418731E9</v>
      </c>
    </row>
    <row r="13" spans="1:15" ht="24.9" customHeight="1">
      <c r="A13" s="38"/>
      <c r="B13" s="62"/>
      <c r="C13" s="20" t="s">
        <v>16</v>
      </c>
      <c r="D13" s="21" t="n">
        <f>5226</f>
        <v>5226.0</v>
      </c>
      <c r="E13" s="36" t="n">
        <f>2383</f>
        <v>2383.0</v>
      </c>
      <c r="F13" s="21" t="n">
        <f>3616</f>
        <v>3616.0</v>
      </c>
      <c r="G13" s="36" t="n">
        <f>1250</f>
        <v>1250.0</v>
      </c>
      <c r="H13" s="21" t="n">
        <f>8842</f>
        <v>8842.0</v>
      </c>
      <c r="I13" s="36" t="n">
        <f>3633</f>
        <v>3633.0</v>
      </c>
      <c r="J13" s="21" t="n">
        <f>4446783290</f>
        <v>4.44678329E9</v>
      </c>
      <c r="K13" s="36" t="n">
        <f>3003635290</f>
        <v>3.00363529E9</v>
      </c>
      <c r="L13" s="21" t="n">
        <f>2025358172</f>
        <v>2.025358172E9</v>
      </c>
      <c r="M13" s="36" t="n">
        <f>1158755172</f>
        <v>1.158755172E9</v>
      </c>
      <c r="N13" s="21" t="n">
        <f>6472141462</f>
        <v>6.472141462E9</v>
      </c>
      <c r="O13" s="36" t="n">
        <f>4162390462</f>
        <v>4.162390462E9</v>
      </c>
    </row>
    <row r="14" spans="1:15" ht="24.9" customHeight="1">
      <c r="A14" s="38"/>
      <c r="B14" s="62"/>
      <c r="C14" s="20" t="s">
        <v>17</v>
      </c>
      <c r="D14" s="21" t="n">
        <f>15221</f>
        <v>15221.0</v>
      </c>
      <c r="E14" s="36" t="n">
        <f>11075</f>
        <v>11075.0</v>
      </c>
      <c r="F14" s="21" t="n">
        <f>8260</f>
        <v>8260.0</v>
      </c>
      <c r="G14" s="36" t="n">
        <f>5684</f>
        <v>5684.0</v>
      </c>
      <c r="H14" s="21" t="n">
        <f>23481</f>
        <v>23481.0</v>
      </c>
      <c r="I14" s="36" t="n">
        <f>16759</f>
        <v>16759.0</v>
      </c>
      <c r="J14" s="21" t="n">
        <f>12823054380</f>
        <v>1.282305438E10</v>
      </c>
      <c r="K14" s="36" t="n">
        <f>10854369380</f>
        <v>1.085436938E10</v>
      </c>
      <c r="L14" s="21" t="n">
        <f>6119060110</f>
        <v>6.11906011E9</v>
      </c>
      <c r="M14" s="36" t="n">
        <f>4801654110</f>
        <v>4.80165411E9</v>
      </c>
      <c r="N14" s="21" t="n">
        <f>18942114490</f>
        <v>1.894211449E10</v>
      </c>
      <c r="O14" s="36" t="n">
        <f>15656023490</f>
        <v>1.565602349E10</v>
      </c>
    </row>
    <row r="15" spans="1:15" ht="24.9" customHeight="1">
      <c r="A15" s="38"/>
      <c r="B15" s="62"/>
      <c r="C15" s="24" t="s">
        <v>18</v>
      </c>
      <c r="D15" s="25" t="n">
        <f>23449</f>
        <v>23449.0</v>
      </c>
      <c r="E15" s="37" t="n">
        <f>14952</f>
        <v>14952.0</v>
      </c>
      <c r="F15" s="25" t="n">
        <f>13715</f>
        <v>13715.0</v>
      </c>
      <c r="G15" s="37" t="n">
        <f>7474</f>
        <v>7474.0</v>
      </c>
      <c r="H15" s="25" t="n">
        <f>37164</f>
        <v>37164.0</v>
      </c>
      <c r="I15" s="37" t="n">
        <f>22426</f>
        <v>22426.0</v>
      </c>
      <c r="J15" s="25" t="n">
        <f>19644878780</f>
        <v>1.964487878E10</v>
      </c>
      <c r="K15" s="37" t="n">
        <f>15533941780</f>
        <v>1.553394178E10</v>
      </c>
      <c r="L15" s="25" t="n">
        <f>9222280482</f>
        <v>9.222280482E9</v>
      </c>
      <c r="M15" s="37" t="n">
        <f>6558659482</f>
        <v>6.558659482E9</v>
      </c>
      <c r="N15" s="25" t="n">
        <f>28867159262</f>
        <v>2.8867159262E10</v>
      </c>
      <c r="O15" s="37" t="n">
        <f>22092601262</f>
        <v>2.2092601262E10</v>
      </c>
    </row>
    <row r="16" spans="1:15" ht="24.9" customHeight="1">
      <c r="A16" s="38"/>
      <c r="B16" s="61" t="s">
        <v>105</v>
      </c>
      <c r="C16" s="16" t="s">
        <v>15</v>
      </c>
      <c r="D16" s="17" t="n">
        <f>8403</f>
        <v>8403.0</v>
      </c>
      <c r="E16" s="35" t="n">
        <f>780</f>
        <v>780.0</v>
      </c>
      <c r="F16" s="17" t="n">
        <f>7579</f>
        <v>7579.0</v>
      </c>
      <c r="G16" s="35" t="n">
        <f>580</f>
        <v>580.0</v>
      </c>
      <c r="H16" s="17" t="n">
        <f>15982</f>
        <v>15982.0</v>
      </c>
      <c r="I16" s="35" t="n">
        <f>1360</f>
        <v>1360.0</v>
      </c>
      <c r="J16" s="17" t="n">
        <f>238999690</f>
        <v>2.3899969E8</v>
      </c>
      <c r="K16" s="35" t="n">
        <f>9418690</f>
        <v>9418690.0</v>
      </c>
      <c r="L16" s="17" t="n">
        <f>179710270</f>
        <v>1.7971027E8</v>
      </c>
      <c r="M16" s="35" t="n">
        <f>2856770</f>
        <v>2856770.0</v>
      </c>
      <c r="N16" s="17" t="n">
        <f>418709960</f>
        <v>4.1870996E8</v>
      </c>
      <c r="O16" s="35" t="n">
        <f>12275460</f>
        <v>1.227546E7</v>
      </c>
    </row>
    <row r="17" spans="1:15" ht="24.9" customHeight="1">
      <c r="A17" s="38"/>
      <c r="B17" s="62"/>
      <c r="C17" s="20" t="s">
        <v>16</v>
      </c>
      <c r="D17" s="21" t="n">
        <f>10417</f>
        <v>10417.0</v>
      </c>
      <c r="E17" s="36" t="n">
        <f>950</f>
        <v>950.0</v>
      </c>
      <c r="F17" s="21" t="n">
        <f>13636</f>
        <v>13636.0</v>
      </c>
      <c r="G17" s="36" t="n">
        <f>1220</f>
        <v>1220.0</v>
      </c>
      <c r="H17" s="21" t="n">
        <f>24053</f>
        <v>24053.0</v>
      </c>
      <c r="I17" s="36" t="n">
        <f>2170</f>
        <v>2170.0</v>
      </c>
      <c r="J17" s="21" t="n">
        <f>295805430</f>
        <v>2.9580543E8</v>
      </c>
      <c r="K17" s="36" t="n">
        <f>11427630</f>
        <v>1.142763E7</v>
      </c>
      <c r="L17" s="21" t="n">
        <f>257073940</f>
        <v>2.5707394E8</v>
      </c>
      <c r="M17" s="36" t="n">
        <f>7758940</f>
        <v>7758940.0</v>
      </c>
      <c r="N17" s="21" t="n">
        <f>552879370</f>
        <v>5.5287937E8</v>
      </c>
      <c r="O17" s="36" t="n">
        <f>19186570</f>
        <v>1.918657E7</v>
      </c>
    </row>
    <row r="18" spans="1:15" ht="24.9" customHeight="1">
      <c r="A18" s="38"/>
      <c r="B18" s="62"/>
      <c r="C18" s="20" t="s">
        <v>17</v>
      </c>
      <c r="D18" s="21" t="n">
        <f>7565</f>
        <v>7565.0</v>
      </c>
      <c r="E18" s="36" t="n">
        <f>180</f>
        <v>180.0</v>
      </c>
      <c r="F18" s="21" t="n">
        <f>10370</f>
        <v>10370.0</v>
      </c>
      <c r="G18" s="36" t="n">
        <f>1010</f>
        <v>1010.0</v>
      </c>
      <c r="H18" s="21" t="n">
        <f>17935</f>
        <v>17935.0</v>
      </c>
      <c r="I18" s="36" t="n">
        <f>1190</f>
        <v>1190.0</v>
      </c>
      <c r="J18" s="21" t="n">
        <f>219487880</f>
        <v>2.1948788E8</v>
      </c>
      <c r="K18" s="36" t="n">
        <f>3220780</f>
        <v>3220780.0</v>
      </c>
      <c r="L18" s="21" t="n">
        <f>199111040</f>
        <v>1.9911104E8</v>
      </c>
      <c r="M18" s="36" t="n">
        <f>11699640</f>
        <v>1.169964E7</v>
      </c>
      <c r="N18" s="21" t="n">
        <f>418598920</f>
        <v>4.1859892E8</v>
      </c>
      <c r="O18" s="36" t="n">
        <f>14920420</f>
        <v>1.492042E7</v>
      </c>
    </row>
    <row r="19" spans="1:15" ht="24.9" customHeight="1">
      <c r="A19" s="38"/>
      <c r="B19" s="62"/>
      <c r="C19" s="24" t="s">
        <v>18</v>
      </c>
      <c r="D19" s="25" t="n">
        <f>26385</f>
        <v>26385.0</v>
      </c>
      <c r="E19" s="37" t="n">
        <f>1910</f>
        <v>1910.0</v>
      </c>
      <c r="F19" s="25" t="n">
        <f>31585</f>
        <v>31585.0</v>
      </c>
      <c r="G19" s="37" t="n">
        <f>2810</f>
        <v>2810.0</v>
      </c>
      <c r="H19" s="25" t="n">
        <f>57970</f>
        <v>57970.0</v>
      </c>
      <c r="I19" s="37" t="n">
        <f>4720</f>
        <v>4720.0</v>
      </c>
      <c r="J19" s="25" t="n">
        <f>754293000</f>
        <v>7.54293E8</v>
      </c>
      <c r="K19" s="37" t="n">
        <f>24067100</f>
        <v>2.40671E7</v>
      </c>
      <c r="L19" s="25" t="n">
        <f>635895250</f>
        <v>6.3589525E8</v>
      </c>
      <c r="M19" s="37" t="n">
        <f>22315350</f>
        <v>2.231535E7</v>
      </c>
      <c r="N19" s="25" t="n">
        <f>1390188250</f>
        <v>1.39018825E9</v>
      </c>
      <c r="O19" s="37" t="n">
        <f>46382450</f>
        <v>4.638245E7</v>
      </c>
    </row>
    <row r="20" spans="1:15" ht="24.9" customHeight="1">
      <c r="A20" s="38"/>
      <c r="B20" s="61" t="s">
        <v>106</v>
      </c>
      <c r="C20" s="16" t="s">
        <v>15</v>
      </c>
      <c r="D20" s="17" t="n">
        <f>568</f>
        <v>568.0</v>
      </c>
      <c r="E20" s="35" t="n">
        <f>568</f>
        <v>568.0</v>
      </c>
      <c r="F20" s="17" t="n">
        <f>0</f>
        <v>0.0</v>
      </c>
      <c r="G20" s="35" t="n">
        <f>0</f>
        <v>0.0</v>
      </c>
      <c r="H20" s="17" t="n">
        <f>568</f>
        <v>568.0</v>
      </c>
      <c r="I20" s="35" t="n">
        <f>568</f>
        <v>568.0</v>
      </c>
      <c r="J20" s="17" t="n">
        <f>354585644</f>
        <v>3.54585644E8</v>
      </c>
      <c r="K20" s="35" t="n">
        <f>354585644</f>
        <v>3.54585644E8</v>
      </c>
      <c r="L20" s="17" t="n">
        <f>0</f>
        <v>0.0</v>
      </c>
      <c r="M20" s="35" t="n">
        <f>0</f>
        <v>0.0</v>
      </c>
      <c r="N20" s="17" t="n">
        <f>354585644</f>
        <v>3.54585644E8</v>
      </c>
      <c r="O20" s="35" t="n">
        <f>354585644</f>
        <v>3.54585644E8</v>
      </c>
    </row>
    <row r="21" spans="1:15" ht="24.9" customHeight="1">
      <c r="A21" s="38"/>
      <c r="B21" s="62"/>
      <c r="C21" s="20" t="s">
        <v>16</v>
      </c>
      <c r="D21" s="21" t="n">
        <f>300</f>
        <v>300.0</v>
      </c>
      <c r="E21" s="36" t="n">
        <f>300</f>
        <v>300.0</v>
      </c>
      <c r="F21" s="21" t="n">
        <f>0</f>
        <v>0.0</v>
      </c>
      <c r="G21" s="36" t="n">
        <f>0</f>
        <v>0.0</v>
      </c>
      <c r="H21" s="21" t="n">
        <f>300</f>
        <v>300.0</v>
      </c>
      <c r="I21" s="36" t="n">
        <f>300</f>
        <v>300.0</v>
      </c>
      <c r="J21" s="21" t="n">
        <f>413000000</f>
        <v>4.13E8</v>
      </c>
      <c r="K21" s="36" t="n">
        <f>413000000</f>
        <v>4.13E8</v>
      </c>
      <c r="L21" s="21" t="n">
        <f>0</f>
        <v>0.0</v>
      </c>
      <c r="M21" s="36" t="n">
        <f>0</f>
        <v>0.0</v>
      </c>
      <c r="N21" s="21" t="n">
        <f>413000000</f>
        <v>4.13E8</v>
      </c>
      <c r="O21" s="36" t="n">
        <f>413000000</f>
        <v>4.13E8</v>
      </c>
    </row>
    <row r="22" spans="1:15" ht="24.9" customHeight="1">
      <c r="A22" s="38"/>
      <c r="B22" s="62"/>
      <c r="C22" s="20" t="s">
        <v>17</v>
      </c>
      <c r="D22" s="21" t="n">
        <f>400</f>
        <v>400.0</v>
      </c>
      <c r="E22" s="36" t="n">
        <f>400</f>
        <v>400.0</v>
      </c>
      <c r="F22" s="21" t="n">
        <f>0</f>
        <v>0.0</v>
      </c>
      <c r="G22" s="36" t="n">
        <f>0</f>
        <v>0.0</v>
      </c>
      <c r="H22" s="21" t="n">
        <f>400</f>
        <v>400.0</v>
      </c>
      <c r="I22" s="36" t="n">
        <f>400</f>
        <v>400.0</v>
      </c>
      <c r="J22" s="21" t="n">
        <f>59500000</f>
        <v>5.95E7</v>
      </c>
      <c r="K22" s="36" t="n">
        <f>59500000</f>
        <v>5.95E7</v>
      </c>
      <c r="L22" s="21" t="n">
        <f>0</f>
        <v>0.0</v>
      </c>
      <c r="M22" s="36" t="n">
        <f>0</f>
        <v>0.0</v>
      </c>
      <c r="N22" s="21" t="n">
        <f>59500000</f>
        <v>5.95E7</v>
      </c>
      <c r="O22" s="36" t="n">
        <f>59500000</f>
        <v>5.95E7</v>
      </c>
    </row>
    <row r="23" spans="1:15" ht="24.9" customHeight="1">
      <c r="A23" s="38"/>
      <c r="B23" s="62"/>
      <c r="C23" s="24" t="s">
        <v>18</v>
      </c>
      <c r="D23" s="25" t="n">
        <f>1268</f>
        <v>1268.0</v>
      </c>
      <c r="E23" s="37" t="n">
        <f>1268</f>
        <v>1268.0</v>
      </c>
      <c r="F23" s="25" t="n">
        <f>0</f>
        <v>0.0</v>
      </c>
      <c r="G23" s="37" t="n">
        <f>0</f>
        <v>0.0</v>
      </c>
      <c r="H23" s="25" t="n">
        <f>1268</f>
        <v>1268.0</v>
      </c>
      <c r="I23" s="37" t="n">
        <f>1268</f>
        <v>1268.0</v>
      </c>
      <c r="J23" s="25" t="n">
        <f>827085644</f>
        <v>8.27085644E8</v>
      </c>
      <c r="K23" s="37" t="n">
        <f>827085644</f>
        <v>8.27085644E8</v>
      </c>
      <c r="L23" s="25" t="n">
        <f>0</f>
        <v>0.0</v>
      </c>
      <c r="M23" s="37" t="n">
        <f>0</f>
        <v>0.0</v>
      </c>
      <c r="N23" s="25" t="n">
        <f>827085644</f>
        <v>8.27085644E8</v>
      </c>
      <c r="O23" s="37" t="n">
        <f>827085644</f>
        <v>8.27085644E8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</f>
        <v>2.0</v>
      </c>
      <c r="E36" s="18" t="n">
        <f>0</f>
        <v>0.0</v>
      </c>
      <c r="F36" s="17" t="n">
        <f>75</f>
        <v>75.0</v>
      </c>
      <c r="G36" s="18" t="n">
        <f>0</f>
        <v>0.0</v>
      </c>
      <c r="H36" s="17" t="n">
        <f>77</f>
        <v>77.0</v>
      </c>
      <c r="I36" s="18" t="n">
        <f>0</f>
        <v>0.0</v>
      </c>
      <c r="J36" s="17" t="n">
        <f>660000</f>
        <v>660000.0</v>
      </c>
      <c r="K36" s="18" t="n">
        <f>0</f>
        <v>0.0</v>
      </c>
      <c r="L36" s="17" t="n">
        <f>10950000</f>
        <v>1.095E7</v>
      </c>
      <c r="M36" s="18" t="n">
        <f>0</f>
        <v>0.0</v>
      </c>
      <c r="N36" s="17" t="n">
        <f>11610000</f>
        <v>1.161E7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27</f>
        <v>27.0</v>
      </c>
      <c r="G37" s="22" t="n">
        <f>0</f>
        <v>0.0</v>
      </c>
      <c r="H37" s="21" t="n">
        <f>27</f>
        <v>27.0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8160000</f>
        <v>8160000.0</v>
      </c>
      <c r="M37" s="22" t="n">
        <f>0</f>
        <v>0.0</v>
      </c>
      <c r="N37" s="21" t="n">
        <f>8160000</f>
        <v>8160000.0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81</f>
        <v>81.0</v>
      </c>
      <c r="G38" s="36" t="n">
        <f>0</f>
        <v>0.0</v>
      </c>
      <c r="H38" s="21" t="n">
        <f>81</f>
        <v>81.0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5060000</f>
        <v>5060000.0</v>
      </c>
      <c r="M38" s="36" t="n">
        <f>0</f>
        <v>0.0</v>
      </c>
      <c r="N38" s="21" t="n">
        <f>5060000</f>
        <v>5060000.0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</f>
        <v>2.0</v>
      </c>
      <c r="E39" s="37" t="n">
        <f>0</f>
        <v>0.0</v>
      </c>
      <c r="F39" s="25" t="n">
        <f>183</f>
        <v>183.0</v>
      </c>
      <c r="G39" s="37" t="n">
        <f>0</f>
        <v>0.0</v>
      </c>
      <c r="H39" s="25" t="n">
        <f>185</f>
        <v>185.0</v>
      </c>
      <c r="I39" s="37" t="n">
        <f>0</f>
        <v>0.0</v>
      </c>
      <c r="J39" s="25" t="n">
        <f>660000</f>
        <v>660000.0</v>
      </c>
      <c r="K39" s="37" t="n">
        <f>0</f>
        <v>0.0</v>
      </c>
      <c r="L39" s="25" t="n">
        <f>24170000</f>
        <v>2.417E7</v>
      </c>
      <c r="M39" s="37" t="n">
        <f>0</f>
        <v>0.0</v>
      </c>
      <c r="N39" s="25" t="n">
        <f>24830000</f>
        <v>2.483E7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13263</f>
        <v>13263.0</v>
      </c>
      <c r="E41" s="36" t="n">
        <f>0</f>
        <v>0.0</v>
      </c>
      <c r="F41" s="21" t="n">
        <f>6563</f>
        <v>6563.0</v>
      </c>
      <c r="G41" s="36" t="n">
        <f>0</f>
        <v>0.0</v>
      </c>
      <c r="H41" s="21" t="n">
        <f>19826</f>
        <v>19826.0</v>
      </c>
      <c r="I41" s="36" t="n">
        <f>0</f>
        <v>0.0</v>
      </c>
      <c r="J41" s="21" t="n">
        <f>31899932</f>
        <v>3.1899932E7</v>
      </c>
      <c r="K41" s="36" t="n">
        <f>0</f>
        <v>0.0</v>
      </c>
      <c r="L41" s="21" t="n">
        <f>23270125</f>
        <v>2.3270125E7</v>
      </c>
      <c r="M41" s="36" t="n">
        <f>0</f>
        <v>0.0</v>
      </c>
      <c r="N41" s="21" t="n">
        <f>55170057</f>
        <v>5.5170057E7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1043</f>
        <v>1043.0</v>
      </c>
      <c r="E42" s="36" t="n">
        <f>0</f>
        <v>0.0</v>
      </c>
      <c r="F42" s="21" t="n">
        <f>5807</f>
        <v>5807.0</v>
      </c>
      <c r="G42" s="36" t="n">
        <f>0</f>
        <v>0.0</v>
      </c>
      <c r="H42" s="21" t="n">
        <f>6850</f>
        <v>6850.0</v>
      </c>
      <c r="I42" s="36" t="n">
        <f>0</f>
        <v>0.0</v>
      </c>
      <c r="J42" s="21" t="n">
        <f>17587688</f>
        <v>1.7587688E7</v>
      </c>
      <c r="K42" s="36" t="n">
        <f>0</f>
        <v>0.0</v>
      </c>
      <c r="L42" s="21" t="n">
        <f>7593580</f>
        <v>7593580.0</v>
      </c>
      <c r="M42" s="36" t="n">
        <f>0</f>
        <v>0.0</v>
      </c>
      <c r="N42" s="21" t="n">
        <f>25181268</f>
        <v>2.5181268E7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14306</f>
        <v>14306.0</v>
      </c>
      <c r="E43" s="37" t="n">
        <f>0</f>
        <v>0.0</v>
      </c>
      <c r="F43" s="25" t="n">
        <f>12370</f>
        <v>12370.0</v>
      </c>
      <c r="G43" s="37" t="n">
        <f>0</f>
        <v>0.0</v>
      </c>
      <c r="H43" s="25" t="n">
        <f>26676</f>
        <v>26676.0</v>
      </c>
      <c r="I43" s="37" t="n">
        <f>0</f>
        <v>0.0</v>
      </c>
      <c r="J43" s="25" t="n">
        <f>49487620</f>
        <v>4.948762E7</v>
      </c>
      <c r="K43" s="37" t="n">
        <f>0</f>
        <v>0.0</v>
      </c>
      <c r="L43" s="25" t="n">
        <f>30863705</f>
        <v>3.0863705E7</v>
      </c>
      <c r="M43" s="37" t="n">
        <f>0</f>
        <v>0.0</v>
      </c>
      <c r="N43" s="25" t="n">
        <f>80351325</f>
        <v>8.0351325E7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