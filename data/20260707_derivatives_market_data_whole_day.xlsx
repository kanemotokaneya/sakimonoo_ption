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<sst xmlns="http://schemas.openxmlformats.org/spreadsheetml/2006/main" count="528" uniqueCount="129">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</sst>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DATE(2026,07,07)</f>
        <v>46210.0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DATE(2026,07,07)</f>
        <v>46210.0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560050.0</f>
        <v>560050.0</v>
      </c>
      <c r="E12" s="18" t="n">
        <f>29485.0</f>
        <v>29485.0</v>
      </c>
      <c r="F12" s="19" t="n">
        <f>1.0</f>
        <v>1.0</v>
      </c>
      <c r="G12" s="17" t="n">
        <f>3923470995410.0</f>
        <v>3.92347099541E12</v>
      </c>
      <c r="H12" s="18" t="n">
        <f>290718535660.0</f>
        <v>2.9071853566E11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563950.0</f>
        <v>563950.0</v>
      </c>
      <c r="E13" s="22" t="n">
        <f>33095.0</f>
        <v>33095.0</v>
      </c>
      <c r="F13" s="23" t="n">
        <f>1.0</f>
        <v>1.0</v>
      </c>
      <c r="G13" s="21" t="n">
        <f>4772094456570.0</f>
        <v>4.77209445657E12</v>
      </c>
      <c r="H13" s="22" t="n">
        <f>488662024570.0</f>
        <v>4.8866202457E11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636396.0</f>
        <v>636396.0</v>
      </c>
      <c r="E14" s="22" t="n">
        <f>37558.0</f>
        <v>37558.0</v>
      </c>
      <c r="F14" s="23" t="n">
        <f>1.0</f>
        <v>1.0</v>
      </c>
      <c r="G14" s="21" t="n">
        <f>8332486634382.0</f>
        <v>8.332486634382E12</v>
      </c>
      <c r="H14" s="22" t="n">
        <f>853114834107.0</f>
        <v>8.53114834107E11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1760396.0</f>
        <v>1760396.0</v>
      </c>
      <c r="E15" s="26" t="n">
        <f>100138.0</f>
        <v>100138.0</v>
      </c>
      <c r="F15" s="27" t="n">
        <f>1.0</f>
        <v>1.0</v>
      </c>
      <c r="G15" s="25" t="n">
        <f>17028052086362.0</f>
        <v>1.7028052086362E13</v>
      </c>
      <c r="H15" s="26" t="n">
        <f>1632495394337.0</f>
        <v>1.632495394337E12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9255.0</f>
        <v>9255.0</v>
      </c>
      <c r="E16" s="18" t="n">
        <f>379.0</f>
        <v>379.0</v>
      </c>
      <c r="F16" s="19" t="n">
        <f>0.017</f>
        <v>0.017</v>
      </c>
      <c r="G16" s="17" t="n">
        <f>1164594812500.0</f>
        <v>1.1645948125E12</v>
      </c>
      <c r="H16" s="18" t="n">
        <f>48152860000.0</f>
        <v>4.815286E10</v>
      </c>
      <c r="I16" s="19" t="n">
        <f>0.297</f>
        <v>0.297</v>
      </c>
    </row>
    <row r="17" spans="1:9" ht="24.9" customHeight="1">
      <c r="A17" s="41"/>
      <c r="B17" s="39"/>
      <c r="C17" s="20" t="s">
        <v>16</v>
      </c>
      <c r="D17" s="21" t="n">
        <f>11549.0</f>
        <v>11549.0</v>
      </c>
      <c r="E17" s="22" t="n">
        <f>768.0</f>
        <v>768.0</v>
      </c>
      <c r="F17" s="23" t="n">
        <f>0.02</f>
        <v>0.02</v>
      </c>
      <c r="G17" s="21" t="n">
        <f>1455741651250.0</f>
        <v>1.45574165125E12</v>
      </c>
      <c r="H17" s="22" t="n">
        <f>97556910000.0</f>
        <v>9.755691E10</v>
      </c>
      <c r="I17" s="23" t="n">
        <f>0.305</f>
        <v>0.305</v>
      </c>
    </row>
    <row r="18" spans="1:9" ht="24.9" customHeight="1">
      <c r="A18" s="41"/>
      <c r="B18" s="39"/>
      <c r="C18" s="20" t="s">
        <v>17</v>
      </c>
      <c r="D18" s="21" t="n">
        <f>29661.0</f>
        <v>29661.0</v>
      </c>
      <c r="E18" s="22" t="n">
        <f>1116.0</f>
        <v>1116.0</v>
      </c>
      <c r="F18" s="23" t="n">
        <f>0.047</f>
        <v>0.047</v>
      </c>
      <c r="G18" s="21" t="n">
        <f>3675008006375.0</f>
        <v>3.675008006375E12</v>
      </c>
      <c r="H18" s="22" t="n">
        <f>141566500000.0</f>
        <v>1.415665E11</v>
      </c>
      <c r="I18" s="23" t="n">
        <f>0.441</f>
        <v>0.441</v>
      </c>
    </row>
    <row r="19" spans="1:9" ht="24.9" customHeight="1">
      <c r="A19" s="41"/>
      <c r="B19" s="39"/>
      <c r="C19" s="24" t="s">
        <v>18</v>
      </c>
      <c r="D19" s="25" t="n">
        <f>50465.0</f>
        <v>50465.0</v>
      </c>
      <c r="E19" s="26" t="n">
        <f>2263.0</f>
        <v>2263.0</v>
      </c>
      <c r="F19" s="27" t="n">
        <f>0.029</f>
        <v>0.029</v>
      </c>
      <c r="G19" s="25" t="n">
        <f>6295344470125.0</f>
        <v>6.295344470125E12</v>
      </c>
      <c r="H19" s="26" t="n">
        <f>287276270000.0</f>
        <v>2.8727627E11</v>
      </c>
      <c r="I19" s="27" t="n">
        <f>0.37</f>
        <v>0.37</v>
      </c>
    </row>
    <row r="20" spans="1:9" ht="24.9" customHeight="1">
      <c r="A20" s="41"/>
      <c r="B20" s="39" t="s">
        <v>21</v>
      </c>
      <c r="C20" s="16" t="s">
        <v>15</v>
      </c>
      <c r="D20" s="17" t="n">
        <f>540492.0</f>
        <v>540492.0</v>
      </c>
      <c r="E20" s="18" t="n">
        <f>29099.0</f>
        <v>29099.0</v>
      </c>
      <c r="F20" s="19" t="n">
        <f>0.965</f>
        <v>0.965</v>
      </c>
      <c r="G20" s="17" t="n">
        <f>2668153518770.0</f>
        <v>2.66815351877E12</v>
      </c>
      <c r="H20" s="18" t="n">
        <f>242556405420.0</f>
        <v>2.4255640542E11</v>
      </c>
      <c r="I20" s="19" t="n">
        <f>0.68</f>
        <v>0.68</v>
      </c>
    </row>
    <row r="21" spans="1:9" ht="24.9" customHeight="1">
      <c r="A21" s="41"/>
      <c r="B21" s="39"/>
      <c r="C21" s="20" t="s">
        <v>16</v>
      </c>
      <c r="D21" s="21" t="n">
        <f>546458.0</f>
        <v>546458.0</v>
      </c>
      <c r="E21" s="22" t="n">
        <f>32327.0</f>
        <v>32327.0</v>
      </c>
      <c r="F21" s="23" t="n">
        <f>0.969</f>
        <v>0.969</v>
      </c>
      <c r="G21" s="21" t="n">
        <f>3255441036620.0</f>
        <v>3.25544103662E12</v>
      </c>
      <c r="H21" s="22" t="n">
        <f>391105114570.0</f>
        <v>3.9110511457E11</v>
      </c>
      <c r="I21" s="23" t="n">
        <f>0.682</f>
        <v>0.682</v>
      </c>
    </row>
    <row r="22" spans="1:9" ht="24.9" customHeight="1">
      <c r="A22" s="41"/>
      <c r="B22" s="39"/>
      <c r="C22" s="20" t="s">
        <v>17</v>
      </c>
      <c r="D22" s="21" t="n">
        <f>595684.0</f>
        <v>595684.0</v>
      </c>
      <c r="E22" s="22" t="n">
        <f>36322.0</f>
        <v>36322.0</v>
      </c>
      <c r="F22" s="23" t="n">
        <f>0.936</f>
        <v>0.936</v>
      </c>
      <c r="G22" s="21" t="n">
        <f>4554502412057.0</f>
        <v>4.554502412057E12</v>
      </c>
      <c r="H22" s="22" t="n">
        <f>711492346907.0</f>
        <v>7.11492346907E11</v>
      </c>
      <c r="I22" s="23" t="n">
        <f>0.547</f>
        <v>0.547</v>
      </c>
    </row>
    <row r="23" spans="1:9" ht="24.9" customHeight="1">
      <c r="A23" s="41"/>
      <c r="B23" s="39"/>
      <c r="C23" s="24" t="s">
        <v>18</v>
      </c>
      <c r="D23" s="25" t="n">
        <f>1682634.0</f>
        <v>1682634.0</v>
      </c>
      <c r="E23" s="26" t="n">
        <f>97748.0</f>
        <v>97748.0</v>
      </c>
      <c r="F23" s="27" t="n">
        <f>0.956</f>
        <v>0.956</v>
      </c>
      <c r="G23" s="25" t="n">
        <f>10478096967447.0</f>
        <v>1.0478096967447E13</v>
      </c>
      <c r="H23" s="26" t="n">
        <f>1345153866897.0</f>
        <v>1.345153866897E12</v>
      </c>
      <c r="I23" s="27" t="n">
        <f>0.615</f>
        <v>0.615</v>
      </c>
    </row>
    <row r="24" spans="1:9" ht="24.9" customHeight="1">
      <c r="A24" s="41"/>
      <c r="B24" s="39" t="s">
        <v>22</v>
      </c>
      <c r="C24" s="16" t="s">
        <v>15</v>
      </c>
      <c r="D24" s="17" t="n">
        <f>9926.0</f>
        <v>9926.0</v>
      </c>
      <c r="E24" s="18" t="n">
        <f>0.0</f>
        <v>0.0</v>
      </c>
      <c r="F24" s="19" t="n">
        <f>0.018</f>
        <v>0.018</v>
      </c>
      <c r="G24" s="17" t="n">
        <f>89429619400.0</f>
        <v>8.94296194E10</v>
      </c>
      <c r="H24" s="18" t="n">
        <f>0.0</f>
        <v>0.0</v>
      </c>
      <c r="I24" s="19" t="n">
        <f>0.023</f>
        <v>0.023</v>
      </c>
    </row>
    <row r="25" spans="1:9" ht="24.9" customHeight="1">
      <c r="A25" s="41"/>
      <c r="B25" s="39"/>
      <c r="C25" s="20" t="s">
        <v>16</v>
      </c>
      <c r="D25" s="21" t="n">
        <f>5800.0</f>
        <v>5800.0</v>
      </c>
      <c r="E25" s="22" t="n">
        <f>0.0</f>
        <v>0.0</v>
      </c>
      <c r="F25" s="23" t="n">
        <f>0.01</f>
        <v>0.01</v>
      </c>
      <c r="G25" s="21" t="n">
        <f>60412244700.0</f>
        <v>6.04122447E10</v>
      </c>
      <c r="H25" s="22" t="n">
        <f>0.0</f>
        <v>0.0</v>
      </c>
      <c r="I25" s="23" t="n">
        <f>0.013</f>
        <v>0.013</v>
      </c>
    </row>
    <row r="26" spans="1:9" ht="24.9" customHeight="1">
      <c r="A26" s="41"/>
      <c r="B26" s="39"/>
      <c r="C26" s="20" t="s">
        <v>17</v>
      </c>
      <c r="D26" s="21" t="n">
        <f>8231.0</f>
        <v>8231.0</v>
      </c>
      <c r="E26" s="22" t="n">
        <f>0.0</f>
        <v>0.0</v>
      </c>
      <c r="F26" s="23" t="n">
        <f>0.013</f>
        <v>0.013</v>
      </c>
      <c r="G26" s="21" t="n">
        <f>93430155250.0</f>
        <v>9.343015525E10</v>
      </c>
      <c r="H26" s="22" t="n">
        <f>0.0</f>
        <v>0.0</v>
      </c>
      <c r="I26" s="23" t="n">
        <f>0.011</f>
        <v>0.011</v>
      </c>
    </row>
    <row r="27" spans="1:9" ht="24.9" customHeight="1">
      <c r="A27" s="42"/>
      <c r="B27" s="39"/>
      <c r="C27" s="24" t="s">
        <v>18</v>
      </c>
      <c r="D27" s="25" t="n">
        <f>23957.0</f>
        <v>23957.0</v>
      </c>
      <c r="E27" s="26" t="n">
        <f>0.0</f>
        <v>0.0</v>
      </c>
      <c r="F27" s="27" t="n">
        <f>0.014</f>
        <v>0.014</v>
      </c>
      <c r="G27" s="25" t="n">
        <f>243272019350.0</f>
        <v>2.4327201935E11</v>
      </c>
      <c r="H27" s="26" t="n">
        <f>0.0</f>
        <v>0.0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377.0</f>
        <v>377.0</v>
      </c>
      <c r="E28" s="18" t="n">
        <f>7.0</f>
        <v>7.0</v>
      </c>
      <c r="F28" s="19" t="n">
        <f>0.001</f>
        <v>0.001</v>
      </c>
      <c r="G28" s="17" t="n">
        <f>1293044740.0</f>
        <v>1.29304474E9</v>
      </c>
      <c r="H28" s="18" t="n">
        <f>9270240.0</f>
        <v>9270240.0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143.0</f>
        <v>143.0</v>
      </c>
      <c r="E29" s="22" t="n">
        <f>0.0</f>
        <v>0.0</v>
      </c>
      <c r="F29" s="23" t="n">
        <f>0.0</f>
        <v>0.0</v>
      </c>
      <c r="G29" s="21" t="n">
        <f>499524000.0</f>
        <v>4.99524E8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2820.0</f>
        <v>2820.0</v>
      </c>
      <c r="E30" s="22" t="n">
        <f>120.0</f>
        <v>120.0</v>
      </c>
      <c r="F30" s="23" t="n">
        <f>0.004</f>
        <v>0.004</v>
      </c>
      <c r="G30" s="21" t="n">
        <f>9546060700.0</f>
        <v>9.5460607E9</v>
      </c>
      <c r="H30" s="22" t="n">
        <f>55987200.0</f>
        <v>5.59872E7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3340.0</f>
        <v>3340.0</v>
      </c>
      <c r="E31" s="26" t="n">
        <f>127.0</f>
        <v>127.0</v>
      </c>
      <c r="F31" s="27" t="n">
        <f>0.002</f>
        <v>0.002</v>
      </c>
      <c r="G31" s="25" t="n">
        <f>11338629440.0</f>
        <v>1.133862944E10</v>
      </c>
      <c r="H31" s="26" t="n">
        <f>65257440.0</f>
        <v>6.525744E7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46210.0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46210.0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14135</f>
        <v>14135.0</v>
      </c>
      <c r="E11" s="18" t="n">
        <f>2289</f>
        <v>2289.0</v>
      </c>
      <c r="F11" s="19" t="n">
        <f>1</f>
        <v>1.0</v>
      </c>
      <c r="G11" s="17" t="n">
        <f>1978809450</f>
        <v>1.97880945E9</v>
      </c>
      <c r="H11" s="18" t="n">
        <f>581850350</f>
        <v>5.8185035E8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68834</f>
        <v>68834.0</v>
      </c>
      <c r="E12" s="22" t="n">
        <f>3541</f>
        <v>3541.0</v>
      </c>
      <c r="F12" s="23" t="n">
        <f>1</f>
        <v>1.0</v>
      </c>
      <c r="G12" s="21" t="n">
        <f>3737009454</f>
        <v>3.737009454E9</v>
      </c>
      <c r="H12" s="22" t="n">
        <f>1309297650</f>
        <v>1.30929765E9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80211</f>
        <v>80211.0</v>
      </c>
      <c r="E13" s="22" t="n">
        <f>13975</f>
        <v>13975.0</v>
      </c>
      <c r="F13" s="23" t="n">
        <f>1</f>
        <v>1.0</v>
      </c>
      <c r="G13" s="21" t="n">
        <f>17681591855</f>
        <v>1.7681591855E10</v>
      </c>
      <c r="H13" s="22" t="n">
        <f>13919348220</f>
        <v>1.391934822E10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163180</f>
        <v>163180.0</v>
      </c>
      <c r="E14" s="26" t="n">
        <f>19805</f>
        <v>19805.0</v>
      </c>
      <c r="F14" s="27" t="n">
        <f>1</f>
        <v>1.0</v>
      </c>
      <c r="G14" s="25" t="n">
        <f>23397410759</f>
        <v>2.3397410759E10</v>
      </c>
      <c r="H14" s="26" t="n">
        <f>15810496220</f>
        <v>1.581049622E10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19</f>
        <v>19.0</v>
      </c>
      <c r="E16" s="22" t="n">
        <f>0</f>
        <v>0.0</v>
      </c>
      <c r="F16" s="23" t="n">
        <f>0</f>
        <v>0.0</v>
      </c>
      <c r="G16" s="21" t="n">
        <f>5580000</f>
        <v>5580000.0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90</f>
        <v>90.0</v>
      </c>
      <c r="E17" s="22" t="n">
        <f>45</f>
        <v>45.0</v>
      </c>
      <c r="F17" s="23" t="n">
        <f>0.001</f>
        <v>0.001</v>
      </c>
      <c r="G17" s="21" t="n">
        <f>11070000</f>
        <v>1.107E7</v>
      </c>
      <c r="H17" s="22" t="n">
        <f>7050000</f>
        <v>7050000.0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109</f>
        <v>109.0</v>
      </c>
      <c r="E18" s="26" t="n">
        <f>45</f>
        <v>45.0</v>
      </c>
      <c r="F18" s="27" t="n">
        <f>0.001</f>
        <v>0.001</v>
      </c>
      <c r="G18" s="25" t="n">
        <f>16650000</f>
        <v>1.665E7</v>
      </c>
      <c r="H18" s="26" t="n">
        <f>7050000</f>
        <v>7050000.0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14135</f>
        <v>14135.0</v>
      </c>
      <c r="E19" s="18" t="n">
        <f>2289</f>
        <v>2289.0</v>
      </c>
      <c r="F19" s="19" t="n">
        <f>1</f>
        <v>1.0</v>
      </c>
      <c r="G19" s="17" t="n">
        <f>1978809450</f>
        <v>1.97880945E9</v>
      </c>
      <c r="H19" s="18" t="n">
        <f>581850350</f>
        <v>5.8185035E8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20883</f>
        <v>20883.0</v>
      </c>
      <c r="E20" s="22" t="n">
        <f>3541</f>
        <v>3541.0</v>
      </c>
      <c r="F20" s="23" t="n">
        <f>0.303</f>
        <v>0.303</v>
      </c>
      <c r="G20" s="21" t="n">
        <f>3623680150</f>
        <v>3.62368015E9</v>
      </c>
      <c r="H20" s="22" t="n">
        <f>1309297650</f>
        <v>1.30929765E9</v>
      </c>
      <c r="I20" s="23" t="n">
        <f>0.97</f>
        <v>0.97</v>
      </c>
    </row>
    <row r="21" spans="1:9" ht="24.9" customHeight="1">
      <c r="A21" s="41"/>
      <c r="B21" s="39"/>
      <c r="C21" s="20" t="s">
        <v>17</v>
      </c>
      <c r="D21" s="21" t="n">
        <f>37367</f>
        <v>37367.0</v>
      </c>
      <c r="E21" s="22" t="n">
        <f>13130</f>
        <v>13130.0</v>
      </c>
      <c r="F21" s="23" t="n">
        <f>0.466</f>
        <v>0.466</v>
      </c>
      <c r="G21" s="21" t="n">
        <f>17558040920</f>
        <v>1.755804092E10</v>
      </c>
      <c r="H21" s="22" t="n">
        <f>13911898220</f>
        <v>1.391189822E10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72385</f>
        <v>72385.0</v>
      </c>
      <c r="E22" s="26" t="n">
        <f>18960</f>
        <v>18960.0</v>
      </c>
      <c r="F22" s="27" t="n">
        <f>0.444</f>
        <v>0.444</v>
      </c>
      <c r="G22" s="25" t="n">
        <f>23160530520</f>
        <v>2.316053052E10</v>
      </c>
      <c r="H22" s="26" t="n">
        <f>15803046220</f>
        <v>1.580304622E10</v>
      </c>
      <c r="I22" s="27" t="n">
        <f>0.99</f>
        <v>0.99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47932</f>
        <v>47932.0</v>
      </c>
      <c r="E24" s="22" t="n">
        <f>0</f>
        <v>0.0</v>
      </c>
      <c r="F24" s="23" t="n">
        <f>0.696</f>
        <v>0.696</v>
      </c>
      <c r="G24" s="21" t="n">
        <f>107749304</f>
        <v>1.07749304E8</v>
      </c>
      <c r="H24" s="22" t="n">
        <f>0</f>
        <v>0.0</v>
      </c>
      <c r="I24" s="23" t="n">
        <f>0.029</f>
        <v>0.029</v>
      </c>
    </row>
    <row r="25" spans="1:9" ht="24.9" customHeight="1">
      <c r="A25" s="41"/>
      <c r="B25" s="39"/>
      <c r="C25" s="20" t="s">
        <v>17</v>
      </c>
      <c r="D25" s="21" t="n">
        <f>42754</f>
        <v>42754.0</v>
      </c>
      <c r="E25" s="22" t="n">
        <f>800</f>
        <v>800.0</v>
      </c>
      <c r="F25" s="23" t="n">
        <f>0.533</f>
        <v>0.533</v>
      </c>
      <c r="G25" s="21" t="n">
        <f>112480935</f>
        <v>1.12480935E8</v>
      </c>
      <c r="H25" s="22" t="n">
        <f>400000</f>
        <v>400000.0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90686</f>
        <v>90686.0</v>
      </c>
      <c r="E26" s="26" t="n">
        <f>800</f>
        <v>800.0</v>
      </c>
      <c r="F26" s="27" t="n">
        <f>0.556</f>
        <v>0.556</v>
      </c>
      <c r="G26" s="25" t="n">
        <f>220230239</f>
        <v>2.20230239E8</v>
      </c>
      <c r="H26" s="26" t="n">
        <f>400000</f>
        <v>400000.0</v>
      </c>
      <c r="I26" s="27" t="n">
        <f>0.009</f>
        <v>0.009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46210.0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46210.0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8669.0</v>
      </c>
      <c r="F12" s="18" t="n">
        <f>501</f>
        <v>501.0</v>
      </c>
      <c r="G12" s="17" t="n">
        <v>6.084324304E11</v>
      </c>
      <c r="H12" s="18" t="n">
        <f>35153050400</f>
        <v>3.51530504E10</v>
      </c>
    </row>
    <row r="13" spans="1:8" ht="24.9" customHeight="1">
      <c r="A13" s="51"/>
      <c r="B13" s="57"/>
      <c r="C13" s="39"/>
      <c r="D13" s="20" t="s">
        <v>16</v>
      </c>
      <c r="E13" s="21" t="n">
        <v>12127.0</v>
      </c>
      <c r="F13" s="22" t="n">
        <f>1542</f>
        <v>1542.0</v>
      </c>
      <c r="G13" s="21" t="n">
        <v>8.430170675E11</v>
      </c>
      <c r="H13" s="22" t="n">
        <f>107250500500</f>
        <v>1.072505005E11</v>
      </c>
    </row>
    <row r="14" spans="1:8" ht="24.9" customHeight="1">
      <c r="A14" s="51"/>
      <c r="B14" s="57"/>
      <c r="C14" s="39"/>
      <c r="D14" s="20" t="s">
        <v>17</v>
      </c>
      <c r="E14" s="21" t="n">
        <v>23715.0</v>
      </c>
      <c r="F14" s="22" t="n">
        <f>5944</f>
        <v>5944.0</v>
      </c>
      <c r="G14" s="21" t="n">
        <v>1.6262560369E12</v>
      </c>
      <c r="H14" s="22" t="n">
        <f>407310446900</f>
        <v>4.073104469E11</v>
      </c>
    </row>
    <row r="15" spans="1:8" ht="24.9" customHeight="1">
      <c r="A15" s="51"/>
      <c r="B15" s="57"/>
      <c r="C15" s="39"/>
      <c r="D15" s="24" t="s">
        <v>18</v>
      </c>
      <c r="E15" s="25" t="n">
        <v>44511.0</v>
      </c>
      <c r="F15" s="26" t="n">
        <f>7987</f>
        <v>7987.0</v>
      </c>
      <c r="G15" s="25" t="n">
        <v>3.0777055348E12</v>
      </c>
      <c r="H15" s="26" t="n">
        <f>549713997800</f>
        <v>5.497139978E11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195655.0</v>
      </c>
      <c r="F16" s="18" t="n">
        <f>28080</f>
        <v>28080.0</v>
      </c>
      <c r="G16" s="17" t="n">
        <v>1.37320814606E12</v>
      </c>
      <c r="H16" s="18" t="n">
        <f>196961604060</f>
        <v>1.9696160406E11</v>
      </c>
    </row>
    <row r="17" spans="1:8" ht="24.9" customHeight="1">
      <c r="A17" s="51"/>
      <c r="B17" s="57"/>
      <c r="C17" s="39"/>
      <c r="D17" s="20" t="s">
        <v>16</v>
      </c>
      <c r="E17" s="21" t="n">
        <v>221386.0</v>
      </c>
      <c r="F17" s="22" t="n">
        <f>28052</f>
        <v>28052.0</v>
      </c>
      <c r="G17" s="21" t="n">
        <v>1.53822269366E12</v>
      </c>
      <c r="H17" s="22" t="n">
        <f>194844080660</f>
        <v>1.9484408066E11</v>
      </c>
    </row>
    <row r="18" spans="1:8" ht="24.9" customHeight="1">
      <c r="A18" s="51"/>
      <c r="B18" s="57"/>
      <c r="C18" s="39"/>
      <c r="D18" s="20" t="s">
        <v>17</v>
      </c>
      <c r="E18" s="21" t="n">
        <v>237916.0</v>
      </c>
      <c r="F18" s="22" t="n">
        <f>25784</f>
        <v>25784.0</v>
      </c>
      <c r="G18" s="21" t="n">
        <v>1.63266897137E12</v>
      </c>
      <c r="H18" s="22" t="n">
        <f>176942688770</f>
        <v>1.7694268877E11</v>
      </c>
    </row>
    <row r="19" spans="1:8" ht="24.9" customHeight="1">
      <c r="A19" s="51"/>
      <c r="B19" s="57"/>
      <c r="C19" s="39"/>
      <c r="D19" s="24" t="s">
        <v>18</v>
      </c>
      <c r="E19" s="25" t="n">
        <v>654957.0</v>
      </c>
      <c r="F19" s="26" t="n">
        <f>81916</f>
        <v>81916.0</v>
      </c>
      <c r="G19" s="25" t="n">
        <v>4.54409981109E12</v>
      </c>
      <c r="H19" s="26" t="n">
        <f>568748373490</f>
        <v>5.6874837349E11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320447.0</v>
      </c>
      <c r="F20" s="18" t="str">
        <f>"－"</f>
        <v>－</v>
      </c>
      <c r="G20" s="17" t="n">
        <v>2.248722959E11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287111.0</v>
      </c>
      <c r="F21" s="22" t="str">
        <f>"－"</f>
        <v>－</v>
      </c>
      <c r="G21" s="21" t="n">
        <v>1.9953189305E11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295641.0</v>
      </c>
      <c r="F22" s="22" t="str">
        <f>"－"</f>
        <v>－</v>
      </c>
      <c r="G22" s="21" t="n">
        <v>2.029281071E11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903199.0</v>
      </c>
      <c r="F23" s="26" t="str">
        <f>"－"</f>
        <v>－</v>
      </c>
      <c r="G23" s="25" t="n">
        <v>6.2733229605E11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10733.0</v>
      </c>
      <c r="F24" s="18" t="n">
        <f>226</f>
        <v>226.0</v>
      </c>
      <c r="G24" s="17" t="n">
        <v>4.42499182E11</v>
      </c>
      <c r="H24" s="18" t="n">
        <f>9297582000</f>
        <v>9.297582E9</v>
      </c>
    </row>
    <row r="25" spans="1:8" ht="24.9" customHeight="1">
      <c r="A25" s="51"/>
      <c r="B25" s="57"/>
      <c r="C25" s="39"/>
      <c r="D25" s="20" t="s">
        <v>16</v>
      </c>
      <c r="E25" s="21" t="n">
        <v>15455.0</v>
      </c>
      <c r="F25" s="22" t="n">
        <f>2076</f>
        <v>2076.0</v>
      </c>
      <c r="G25" s="21" t="n">
        <v>6.367512556E11</v>
      </c>
      <c r="H25" s="22" t="n">
        <f>85364365600</f>
        <v>8.53643656E10</v>
      </c>
    </row>
    <row r="26" spans="1:8" ht="24.9" customHeight="1">
      <c r="A26" s="51"/>
      <c r="B26" s="57"/>
      <c r="C26" s="39"/>
      <c r="D26" s="20" t="s">
        <v>17</v>
      </c>
      <c r="E26" s="21" t="n">
        <v>25779.0</v>
      </c>
      <c r="F26" s="22" t="n">
        <f>3018</f>
        <v>3018.0</v>
      </c>
      <c r="G26" s="21" t="n">
        <v>1.05189821E12</v>
      </c>
      <c r="H26" s="22" t="n">
        <f>123172410000</f>
        <v>1.2317241E11</v>
      </c>
    </row>
    <row r="27" spans="1:8" ht="24.9" customHeight="1">
      <c r="A27" s="51"/>
      <c r="B27" s="57"/>
      <c r="C27" s="39"/>
      <c r="D27" s="24" t="s">
        <v>18</v>
      </c>
      <c r="E27" s="25" t="n">
        <v>51967.0</v>
      </c>
      <c r="F27" s="26" t="n">
        <f>5320</f>
        <v>5320.0</v>
      </c>
      <c r="G27" s="25" t="n">
        <v>2.1311486476E12</v>
      </c>
      <c r="H27" s="26" t="n">
        <f>217834357600</f>
        <v>2.178343576E11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3841.0</v>
      </c>
      <c r="F28" s="18" t="n">
        <f>267</f>
        <v>267.0</v>
      </c>
      <c r="G28" s="17" t="n">
        <v>1.58317838E10</v>
      </c>
      <c r="H28" s="18" t="n">
        <f>1100392550</f>
        <v>1.10039255E9</v>
      </c>
    </row>
    <row r="29" spans="1:8" ht="24.9" customHeight="1">
      <c r="A29" s="51"/>
      <c r="B29" s="57"/>
      <c r="C29" s="39"/>
      <c r="D29" s="20" t="s">
        <v>16</v>
      </c>
      <c r="E29" s="21" t="n">
        <v>7335.0</v>
      </c>
      <c r="F29" s="22" t="n">
        <f>272</f>
        <v>272.0</v>
      </c>
      <c r="G29" s="21" t="n">
        <v>3.02417414E10</v>
      </c>
      <c r="H29" s="22" t="n">
        <f>1120881400</f>
        <v>1.1208814E9</v>
      </c>
    </row>
    <row r="30" spans="1:8" ht="24.9" customHeight="1">
      <c r="A30" s="51"/>
      <c r="B30" s="57"/>
      <c r="C30" s="39"/>
      <c r="D30" s="20" t="s">
        <v>17</v>
      </c>
      <c r="E30" s="21" t="n">
        <v>8480.0</v>
      </c>
      <c r="F30" s="22" t="n">
        <f>629</f>
        <v>629.0</v>
      </c>
      <c r="G30" s="21" t="n">
        <v>3.461025778E10</v>
      </c>
      <c r="H30" s="22" t="n">
        <f>2565257030</f>
        <v>2.56525703E9</v>
      </c>
    </row>
    <row r="31" spans="1:8" ht="24.9" customHeight="1">
      <c r="A31" s="51"/>
      <c r="B31" s="57"/>
      <c r="C31" s="39"/>
      <c r="D31" s="24" t="s">
        <v>18</v>
      </c>
      <c r="E31" s="25" t="n">
        <v>19656.0</v>
      </c>
      <c r="F31" s="26" t="n">
        <f>1168</f>
        <v>1168.0</v>
      </c>
      <c r="G31" s="25" t="n">
        <v>8.068378298E10</v>
      </c>
      <c r="H31" s="26" t="n">
        <f>4786530980</f>
        <v>4.78653098E9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321.0</v>
      </c>
      <c r="F36" s="18" t="n">
        <f>2</f>
        <v>2.0</v>
      </c>
      <c r="G36" s="17" t="n">
        <v>1.20019552E9</v>
      </c>
      <c r="H36" s="18" t="n">
        <f>7487020</f>
        <v>7487020.0</v>
      </c>
    </row>
    <row r="37" spans="1:8" ht="24.9" customHeight="1">
      <c r="A37" s="51"/>
      <c r="B37" s="57"/>
      <c r="C37" s="39"/>
      <c r="D37" s="20" t="s">
        <v>16</v>
      </c>
      <c r="E37" s="21" t="n">
        <v>897.0</v>
      </c>
      <c r="F37" s="22" t="n">
        <f>3</f>
        <v>3.0</v>
      </c>
      <c r="G37" s="21" t="n">
        <v>3.3495175E9</v>
      </c>
      <c r="H37" s="22" t="n">
        <f>11200000</f>
        <v>1.12E7</v>
      </c>
    </row>
    <row r="38" spans="1:8" ht="24.9" customHeight="1">
      <c r="A38" s="51"/>
      <c r="B38" s="57"/>
      <c r="C38" s="39"/>
      <c r="D38" s="20" t="s">
        <v>17</v>
      </c>
      <c r="E38" s="21" t="n">
        <v>633.0</v>
      </c>
      <c r="F38" s="22" t="n">
        <f>22</f>
        <v>22.0</v>
      </c>
      <c r="G38" s="21" t="n">
        <v>2.34001347E9</v>
      </c>
      <c r="H38" s="22" t="n">
        <f>81439470</f>
        <v>8.143947E7</v>
      </c>
    </row>
    <row r="39" spans="1:8" ht="24.9" customHeight="1">
      <c r="A39" s="51"/>
      <c r="B39" s="57"/>
      <c r="C39" s="39"/>
      <c r="D39" s="24" t="s">
        <v>18</v>
      </c>
      <c r="E39" s="25" t="n">
        <v>1851.0</v>
      </c>
      <c r="F39" s="26" t="n">
        <f>27</f>
        <v>27.0</v>
      </c>
      <c r="G39" s="25" t="n">
        <v>6.88972649E9</v>
      </c>
      <c r="H39" s="26" t="n">
        <f>100126490</f>
        <v>1.0012649E8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338.0</v>
      </c>
      <c r="F45" s="22" t="n">
        <f>338</f>
        <v>338.0</v>
      </c>
      <c r="G45" s="21" t="n">
        <v>2.4773372E9</v>
      </c>
      <c r="H45" s="22" t="n">
        <f>2477337200</f>
        <v>2.4773372E9</v>
      </c>
    </row>
    <row r="46" spans="1:8" ht="24.9" customHeight="1">
      <c r="A46" s="51"/>
      <c r="B46" s="57"/>
      <c r="C46" s="39"/>
      <c r="D46" s="20" t="s">
        <v>17</v>
      </c>
      <c r="E46" s="21" t="n">
        <v>113.0</v>
      </c>
      <c r="F46" s="22" t="n">
        <f>113</f>
        <v>113.0</v>
      </c>
      <c r="G46" s="21" t="n">
        <v>8.27838E8</v>
      </c>
      <c r="H46" s="22" t="n">
        <f>827838000</f>
        <v>8.27838E8</v>
      </c>
    </row>
    <row r="47" spans="1:8" ht="24.9" customHeight="1">
      <c r="A47" s="51"/>
      <c r="B47" s="57"/>
      <c r="C47" s="39"/>
      <c r="D47" s="24" t="s">
        <v>18</v>
      </c>
      <c r="E47" s="25" t="n">
        <v>451.0</v>
      </c>
      <c r="F47" s="26" t="n">
        <f>451</f>
        <v>451.0</v>
      </c>
      <c r="G47" s="25" t="n">
        <v>3.3051752E9</v>
      </c>
      <c r="H47" s="26" t="n">
        <f>3305175200</f>
        <v>3.3051752E9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1.0</v>
      </c>
      <c r="F48" s="18" t="n">
        <f>1</f>
        <v>1.0</v>
      </c>
      <c r="G48" s="17" t="n">
        <v>1818000.0</v>
      </c>
      <c r="H48" s="18" t="n">
        <f>1818000</f>
        <v>1818000.0</v>
      </c>
    </row>
    <row r="49" spans="1:8" ht="24.9" customHeight="1">
      <c r="A49" s="51"/>
      <c r="B49" s="57"/>
      <c r="C49" s="39"/>
      <c r="D49" s="20" t="s">
        <v>16</v>
      </c>
      <c r="E49" s="21" t="n">
        <v>38.0</v>
      </c>
      <c r="F49" s="22" t="n">
        <f>0</f>
        <v>0.0</v>
      </c>
      <c r="G49" s="21" t="n">
        <v>6.96325E7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193.0</v>
      </c>
      <c r="F50" s="22" t="n">
        <f>1</f>
        <v>1.0</v>
      </c>
      <c r="G50" s="21" t="n">
        <v>3.5313573E8</v>
      </c>
      <c r="H50" s="22" t="n">
        <f>1821230</f>
        <v>1821230.0</v>
      </c>
    </row>
    <row r="51" spans="1:8" ht="24.9" customHeight="1">
      <c r="A51" s="51"/>
      <c r="B51" s="57"/>
      <c r="C51" s="39"/>
      <c r="D51" s="24" t="s">
        <v>18</v>
      </c>
      <c r="E51" s="25" t="n">
        <v>232.0</v>
      </c>
      <c r="F51" s="26" t="n">
        <f>2</f>
        <v>2.0</v>
      </c>
      <c r="G51" s="25" t="n">
        <v>4.2458623E8</v>
      </c>
      <c r="H51" s="26" t="n">
        <f>3639230</f>
        <v>3639230.0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401.0</v>
      </c>
      <c r="F56" s="18" t="n">
        <f>18</f>
        <v>18.0</v>
      </c>
      <c r="G56" s="17" t="n">
        <v>2.947151E8</v>
      </c>
      <c r="H56" s="18" t="n">
        <f>13235100</f>
        <v>1.32351E7</v>
      </c>
    </row>
    <row r="57" spans="1:8" ht="24.9" customHeight="1">
      <c r="A57" s="51"/>
      <c r="B57" s="57"/>
      <c r="C57" s="39"/>
      <c r="D57" s="20" t="s">
        <v>16</v>
      </c>
      <c r="E57" s="21" t="n">
        <v>1420.0</v>
      </c>
      <c r="F57" s="22" t="n">
        <f>43</f>
        <v>43.0</v>
      </c>
      <c r="G57" s="21" t="n">
        <v>1.03533E9</v>
      </c>
      <c r="H57" s="22" t="n">
        <f>31413000</f>
        <v>3.1413E7</v>
      </c>
    </row>
    <row r="58" spans="1:8" ht="24.9" customHeight="1">
      <c r="A58" s="51"/>
      <c r="B58" s="57"/>
      <c r="C58" s="39"/>
      <c r="D58" s="20" t="s">
        <v>17</v>
      </c>
      <c r="E58" s="21" t="n">
        <v>3081.0</v>
      </c>
      <c r="F58" s="22" t="n">
        <f>810</f>
        <v>810.0</v>
      </c>
      <c r="G58" s="21" t="n">
        <v>2.215917307E9</v>
      </c>
      <c r="H58" s="22" t="n">
        <f>585109307</f>
        <v>5.85109307E8</v>
      </c>
    </row>
    <row r="59" spans="1:8" ht="24.9" customHeight="1">
      <c r="A59" s="51"/>
      <c r="B59" s="57"/>
      <c r="C59" s="39"/>
      <c r="D59" s="24" t="s">
        <v>18</v>
      </c>
      <c r="E59" s="25" t="n">
        <v>4902.0</v>
      </c>
      <c r="F59" s="26" t="n">
        <f>871</f>
        <v>871.0</v>
      </c>
      <c r="G59" s="25" t="n">
        <v>3.545962407E9</v>
      </c>
      <c r="H59" s="26" t="n">
        <f>629757407</f>
        <v>6.29757407E8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281.0</v>
      </c>
      <c r="F60" s="18" t="n">
        <f>4</f>
        <v>4.0</v>
      </c>
      <c r="G60" s="17" t="n">
        <v>1.49595879E9</v>
      </c>
      <c r="H60" s="18" t="n">
        <f>21236290</f>
        <v>2.123629E7</v>
      </c>
    </row>
    <row r="61" spans="1:8" ht="24.9" customHeight="1">
      <c r="A61" s="51"/>
      <c r="B61" s="57"/>
      <c r="C61" s="39"/>
      <c r="D61" s="20" t="s">
        <v>16</v>
      </c>
      <c r="E61" s="21" t="n">
        <v>14.0</v>
      </c>
      <c r="F61" s="22" t="n">
        <f>1</f>
        <v>1.0</v>
      </c>
      <c r="G61" s="21" t="n">
        <v>7.476101E7</v>
      </c>
      <c r="H61" s="22" t="n">
        <f>5336210</f>
        <v>5336210.0</v>
      </c>
    </row>
    <row r="62" spans="1:8" ht="24.9" customHeight="1">
      <c r="A62" s="51"/>
      <c r="B62" s="57"/>
      <c r="C62" s="39"/>
      <c r="D62" s="20" t="s">
        <v>17</v>
      </c>
      <c r="E62" s="21" t="n">
        <v>37.0</v>
      </c>
      <c r="F62" s="22" t="n">
        <f>1</f>
        <v>1.0</v>
      </c>
      <c r="G62" s="21" t="n">
        <v>1.974989E8</v>
      </c>
      <c r="H62" s="22" t="n">
        <f>5336200</f>
        <v>5336200.0</v>
      </c>
    </row>
    <row r="63" spans="1:8" ht="24.9" customHeight="1">
      <c r="A63" s="51"/>
      <c r="B63" s="57"/>
      <c r="C63" s="39"/>
      <c r="D63" s="24" t="s">
        <v>18</v>
      </c>
      <c r="E63" s="25" t="n">
        <v>332.0</v>
      </c>
      <c r="F63" s="26" t="n">
        <f>6</f>
        <v>6.0</v>
      </c>
      <c r="G63" s="25" t="n">
        <v>1.7682187E9</v>
      </c>
      <c r="H63" s="26" t="n">
        <f>31908700</f>
        <v>3.19087E7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20.0</v>
      </c>
      <c r="F77" s="22" t="n">
        <f>0</f>
        <v>0.0</v>
      </c>
      <c r="G77" s="21" t="n">
        <v>7267000.0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11.0</v>
      </c>
      <c r="F78" s="22" t="n">
        <f>0</f>
        <v>0.0</v>
      </c>
      <c r="G78" s="21" t="n">
        <v>4053000.0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31.0</v>
      </c>
      <c r="F79" s="26" t="n">
        <f>0</f>
        <v>0.0</v>
      </c>
      <c r="G79" s="25" t="n">
        <v>1.132E7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30.0</v>
      </c>
      <c r="F92" s="18" t="n">
        <f>0</f>
        <v>0.0</v>
      </c>
      <c r="G92" s="17" t="n">
        <v>4.84244E7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103.0</v>
      </c>
      <c r="F93" s="22" t="n">
        <f>0</f>
        <v>0.0</v>
      </c>
      <c r="G93" s="21" t="n">
        <v>1.658522E8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133.0</v>
      </c>
      <c r="F95" s="26" t="n">
        <f>0</f>
        <v>0.0</v>
      </c>
      <c r="G95" s="25" t="n">
        <v>2.142766E8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111.0</v>
      </c>
      <c r="F96" s="18" t="n">
        <f>0</f>
        <v>0.0</v>
      </c>
      <c r="G96" s="17" t="n">
        <v>2.648718E8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190.0</v>
      </c>
      <c r="F97" s="22" t="n">
        <f>0</f>
        <v>0.0</v>
      </c>
      <c r="G97" s="21" t="n">
        <v>4.52323E8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85.0</v>
      </c>
      <c r="F98" s="22" t="n">
        <f>0</f>
        <v>0.0</v>
      </c>
      <c r="G98" s="21" t="n">
        <v>2.023725E8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386.0</v>
      </c>
      <c r="F99" s="26" t="n">
        <f>0</f>
        <v>0.0</v>
      </c>
      <c r="G99" s="25" t="n">
        <v>9.195673E8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2.0</v>
      </c>
      <c r="F100" s="18" t="n">
        <f>0</f>
        <v>0.0</v>
      </c>
      <c r="G100" s="17" t="n">
        <v>3697000.0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24.0</v>
      </c>
      <c r="F101" s="22" t="n">
        <f>0</f>
        <v>0.0</v>
      </c>
      <c r="G101" s="21" t="n">
        <v>4.4365E7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26.0</v>
      </c>
      <c r="F103" s="26" t="n">
        <f>0</f>
        <v>0.0</v>
      </c>
      <c r="G103" s="25" t="n">
        <v>4.8062E7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9148.0</v>
      </c>
      <c r="F108" s="18" t="n">
        <f>379</f>
        <v>379.0</v>
      </c>
      <c r="G108" s="17" t="n">
        <v>1.16194972E12</v>
      </c>
      <c r="H108" s="18" t="n">
        <f>48152860000</f>
        <v>4.815286E10</v>
      </c>
    </row>
    <row r="109" spans="1:8" ht="24.9" customHeight="1">
      <c r="A109" s="51"/>
      <c r="B109" s="57"/>
      <c r="C109" s="39"/>
      <c r="D109" s="20" t="s">
        <v>16</v>
      </c>
      <c r="E109" s="21" t="n">
        <v>11441.0</v>
      </c>
      <c r="F109" s="22" t="n">
        <f>768</f>
        <v>768.0</v>
      </c>
      <c r="G109" s="21" t="n">
        <v>1.45307325E12</v>
      </c>
      <c r="H109" s="22" t="n">
        <f>97556910000</f>
        <v>9.755691E10</v>
      </c>
    </row>
    <row r="110" spans="1:8" ht="24.9" customHeight="1">
      <c r="A110" s="51"/>
      <c r="B110" s="57"/>
      <c r="C110" s="39"/>
      <c r="D110" s="20" t="s">
        <v>17</v>
      </c>
      <c r="E110" s="21" t="n">
        <v>28797.0</v>
      </c>
      <c r="F110" s="22" t="n">
        <f>1116</f>
        <v>1116.0</v>
      </c>
      <c r="G110" s="21" t="n">
        <v>3.65448491E12</v>
      </c>
      <c r="H110" s="22" t="n">
        <f>141566500000</f>
        <v>1.415665E11</v>
      </c>
    </row>
    <row r="111" spans="1:8" ht="24.9" customHeight="1">
      <c r="A111" s="51"/>
      <c r="B111" s="57"/>
      <c r="C111" s="39"/>
      <c r="D111" s="24" t="s">
        <v>18</v>
      </c>
      <c r="E111" s="25" t="n">
        <v>49386.0</v>
      </c>
      <c r="F111" s="26" t="n">
        <f>2263</f>
        <v>2263.0</v>
      </c>
      <c r="G111" s="25" t="n">
        <v>6.26950788E12</v>
      </c>
      <c r="H111" s="26" t="n">
        <f>287276270000</f>
        <v>2.8727627E11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2.0</v>
      </c>
      <c r="F114" s="22" t="n">
        <f>0</f>
        <v>0.0</v>
      </c>
      <c r="G114" s="21" t="n">
        <v>2.537E7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2.0</v>
      </c>
      <c r="F115" s="26" t="n">
        <f>0</f>
        <v>0.0</v>
      </c>
      <c r="G115" s="25" t="n">
        <v>2.537E7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51.0</v>
      </c>
      <c r="F118" s="22" t="n">
        <f>0</f>
        <v>0.0</v>
      </c>
      <c r="G118" s="21" t="n">
        <v>4.57327E8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51.0</v>
      </c>
      <c r="F119" s="26" t="n">
        <f>0</f>
        <v>0.0</v>
      </c>
      <c r="G119" s="25" t="n">
        <v>4.57327E8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107.0</v>
      </c>
      <c r="F120" s="18" t="n">
        <f>0</f>
        <v>0.0</v>
      </c>
      <c r="G120" s="17" t="n">
        <v>2.6450925E9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108.0</v>
      </c>
      <c r="F121" s="22" t="n">
        <f>0</f>
        <v>0.0</v>
      </c>
      <c r="G121" s="21" t="n">
        <v>2.66840125E9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811.0</v>
      </c>
      <c r="F122" s="22" t="n">
        <f>0</f>
        <v>0.0</v>
      </c>
      <c r="G122" s="21" t="n">
        <v>2.0040399375E10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1026.0</v>
      </c>
      <c r="F123" s="26" t="n">
        <f>0</f>
        <v>0.0</v>
      </c>
      <c r="G123" s="25" t="n">
        <v>2.5353893125E10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3386.0</v>
      </c>
      <c r="F124" s="18" t="n">
        <f>0</f>
        <v>0.0</v>
      </c>
      <c r="G124" s="17" t="n">
        <v>7.4952355E10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2337.0</v>
      </c>
      <c r="F125" s="22" t="n">
        <f>0</f>
        <v>0.0</v>
      </c>
      <c r="G125" s="21" t="n">
        <v>5.1640142E10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3747.0</v>
      </c>
      <c r="F126" s="22" t="n">
        <f>0</f>
        <v>0.0</v>
      </c>
      <c r="G126" s="21" t="n">
        <v>8.2318585E10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9470.0</v>
      </c>
      <c r="F127" s="26" t="n">
        <f>0</f>
        <v>0.0</v>
      </c>
      <c r="G127" s="25" t="n">
        <v>2.08911082E11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58.0</v>
      </c>
      <c r="F128" s="18" t="n">
        <f>0</f>
        <v>0.0</v>
      </c>
      <c r="G128" s="17" t="n">
        <v>1.278218E8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23.0</v>
      </c>
      <c r="F129" s="22" t="n">
        <f>0</f>
        <v>0.0</v>
      </c>
      <c r="G129" s="21" t="n">
        <v>5.06356E7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93.0</v>
      </c>
      <c r="F130" s="22" t="n">
        <f>0</f>
        <v>0.0</v>
      </c>
      <c r="G130" s="21" t="n">
        <v>2.034833E8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174.0</v>
      </c>
      <c r="F131" s="26" t="n">
        <f>0</f>
        <v>0.0</v>
      </c>
      <c r="G131" s="25" t="n">
        <v>3.819407E8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5139.0</v>
      </c>
      <c r="F132" s="18" t="n">
        <f>0</f>
        <v>0.0</v>
      </c>
      <c r="G132" s="17" t="n">
        <v>1.13769984E10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1208.0</v>
      </c>
      <c r="F133" s="22" t="n">
        <f>0</f>
        <v>0.0</v>
      </c>
      <c r="G133" s="21" t="n">
        <v>2.67063975E9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1835.0</v>
      </c>
      <c r="F134" s="22" t="n">
        <f>0</f>
        <v>0.0</v>
      </c>
      <c r="G134" s="21" t="n">
        <v>4.034073E9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8182.0</v>
      </c>
      <c r="F135" s="26" t="n">
        <f>0</f>
        <v>0.0</v>
      </c>
      <c r="G135" s="25" t="n">
        <v>1.808171115E10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45.0</v>
      </c>
      <c r="F136" s="18" t="n">
        <f>0</f>
        <v>0.0</v>
      </c>
      <c r="G136" s="17" t="n">
        <v>9.93864E7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21.0</v>
      </c>
      <c r="F137" s="22" t="n">
        <f>0</f>
        <v>0.0</v>
      </c>
      <c r="G137" s="21" t="n">
        <v>4.57806E7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31.0</v>
      </c>
      <c r="F138" s="22" t="n">
        <f>0</f>
        <v>0.0</v>
      </c>
      <c r="G138" s="21" t="n">
        <v>6.73836E7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97.0</v>
      </c>
      <c r="F139" s="26" t="n">
        <f>0</f>
        <v>0.0</v>
      </c>
      <c r="G139" s="25" t="n">
        <v>2.125506E8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1.0</v>
      </c>
      <c r="F140" s="18" t="n">
        <f>0</f>
        <v>0.0</v>
      </c>
      <c r="G140" s="17" t="n">
        <v>9900000.0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9900000.0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519.0</v>
      </c>
      <c r="F144" s="18" t="n">
        <f>0</f>
        <v>0.0</v>
      </c>
      <c r="G144" s="17" t="n">
        <v>2.147822E9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1196.0</v>
      </c>
      <c r="F145" s="22" t="n">
        <f>0</f>
        <v>0.0</v>
      </c>
      <c r="G145" s="21" t="n">
        <v>4.9326945E9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1290.0</v>
      </c>
      <c r="F146" s="22" t="n">
        <f>0</f>
        <v>0.0</v>
      </c>
      <c r="G146" s="21" t="n">
        <v>5.2818665E9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3005.0</v>
      </c>
      <c r="F147" s="26" t="n">
        <f>0</f>
        <v>0.0</v>
      </c>
      <c r="G147" s="25" t="n">
        <v>1.2362383E10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43.0</v>
      </c>
      <c r="F148" s="18" t="n">
        <f>0</f>
        <v>0.0</v>
      </c>
      <c r="G148" s="17" t="n">
        <v>3.6528E7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102.0</v>
      </c>
      <c r="F149" s="22" t="n">
        <f>0</f>
        <v>0.0</v>
      </c>
      <c r="G149" s="21" t="n">
        <v>8.59769E7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120.0</v>
      </c>
      <c r="F150" s="22" t="n">
        <f>0</f>
        <v>0.0</v>
      </c>
      <c r="G150" s="21" t="n">
        <v>1.004528E8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265.0</v>
      </c>
      <c r="F151" s="26" t="n">
        <f>0</f>
        <v>0.0</v>
      </c>
      <c r="G151" s="25" t="n">
        <v>2.229577E8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323.0</v>
      </c>
      <c r="F152" s="18" t="n">
        <f>0</f>
        <v>0.0</v>
      </c>
      <c r="G152" s="17" t="n">
        <v>2.670255E8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261.0</v>
      </c>
      <c r="F153" s="22" t="n">
        <f>0</f>
        <v>0.0</v>
      </c>
      <c r="G153" s="21" t="n">
        <v>2.1427415E8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296.0</v>
      </c>
      <c r="F154" s="22" t="n">
        <f>0</f>
        <v>0.0</v>
      </c>
      <c r="G154" s="21" t="n">
        <v>2.4073545E8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880.0</v>
      </c>
      <c r="F155" s="26" t="n">
        <f>0</f>
        <v>0.0</v>
      </c>
      <c r="G155" s="25" t="n">
        <v>7.220351E8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353.0</v>
      </c>
      <c r="F156" s="18" t="n">
        <f>0</f>
        <v>0.0</v>
      </c>
      <c r="G156" s="17" t="n">
        <v>2.929138E8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451.0</v>
      </c>
      <c r="F157" s="22" t="n">
        <f>0</f>
        <v>0.0</v>
      </c>
      <c r="G157" s="21" t="n">
        <v>3.691362E8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412.0</v>
      </c>
      <c r="F158" s="22" t="n">
        <f>0</f>
        <v>0.0</v>
      </c>
      <c r="G158" s="21" t="n">
        <v>3.355161E8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1216.0</v>
      </c>
      <c r="F159" s="26" t="n">
        <f>0</f>
        <v>0.0</v>
      </c>
      <c r="G159" s="25" t="n">
        <v>9.975661E8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47.0</v>
      </c>
      <c r="F168" s="18" t="n">
        <f>0</f>
        <v>0.0</v>
      </c>
      <c r="G168" s="17" t="n">
        <v>9.85785E7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157.0</v>
      </c>
      <c r="F169" s="22" t="n">
        <f>0</f>
        <v>0.0</v>
      </c>
      <c r="G169" s="21" t="n">
        <v>3.28201E8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407.0</v>
      </c>
      <c r="F170" s="22" t="n">
        <f>0</f>
        <v>0.0</v>
      </c>
      <c r="G170" s="21" t="n">
        <v>8.480595E8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611.0</v>
      </c>
      <c r="F171" s="26" t="n">
        <f>0</f>
        <v>0.0</v>
      </c>
      <c r="G171" s="25" t="n">
        <v>1.274839E9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12.0</v>
      </c>
      <c r="F176" s="18" t="n">
        <f>0</f>
        <v>0.0</v>
      </c>
      <c r="G176" s="17" t="n">
        <v>2.029E7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44.0</v>
      </c>
      <c r="F177" s="22" t="n">
        <f>0</f>
        <v>0.0</v>
      </c>
      <c r="G177" s="21" t="n">
        <v>7.4764E7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56.0</v>
      </c>
      <c r="F179" s="26" t="n">
        <f>0</f>
        <v>0.0</v>
      </c>
      <c r="G179" s="25" t="n">
        <v>9.5054E7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370.0</v>
      </c>
      <c r="F204" s="18" t="n">
        <f>0</f>
        <v>0.0</v>
      </c>
      <c r="G204" s="17" t="n">
        <v>1.2837745E9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143.0</v>
      </c>
      <c r="F205" s="22" t="n">
        <f>0</f>
        <v>0.0</v>
      </c>
      <c r="G205" s="21" t="n">
        <v>4.99524E8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2700.0</v>
      </c>
      <c r="F206" s="22" t="n">
        <f>0</f>
        <v>0.0</v>
      </c>
      <c r="G206" s="21" t="n">
        <v>9.4900735E9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3213.0</v>
      </c>
      <c r="F207" s="26" t="n">
        <f>0</f>
        <v>0.0</v>
      </c>
      <c r="G207" s="25" t="n">
        <v>1.1273372E10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7.0</v>
      </c>
      <c r="F208" s="18" t="n">
        <f>7</f>
        <v>7.0</v>
      </c>
      <c r="G208" s="17" t="n">
        <v>9270240.0</v>
      </c>
      <c r="H208" s="18" t="n">
        <f>9270240</f>
        <v>9270240.0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7.0</v>
      </c>
      <c r="F211" s="26" t="n">
        <f>7</f>
        <v>7.0</v>
      </c>
      <c r="G211" s="25" t="n">
        <v>9270240.0</v>
      </c>
      <c r="H211" s="26" t="n">
        <f>9270240</f>
        <v>9270240.0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120.0</v>
      </c>
      <c r="F222" s="22" t="n">
        <f>120</f>
        <v>120.0</v>
      </c>
      <c r="G222" s="21" t="n">
        <v>5.59872E7</v>
      </c>
      <c r="H222" s="22" t="n">
        <f>55987200</f>
        <v>5.59872E7</v>
      </c>
    </row>
    <row r="223" spans="1:8" ht="24.9" customHeight="1">
      <c r="A223" s="57"/>
      <c r="B223" s="59"/>
      <c r="C223" s="39"/>
      <c r="D223" s="24" t="s">
        <v>18</v>
      </c>
      <c r="E223" s="25" t="n">
        <v>120.0</v>
      </c>
      <c r="F223" s="26" t="n">
        <f>120</f>
        <v>120.0</v>
      </c>
      <c r="G223" s="25" t="n">
        <v>5.59872E7</v>
      </c>
      <c r="H223" s="26" t="n">
        <f>55987200</f>
        <v>5.59872E7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46210.0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46210.0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2284</f>
        <v>2284.0</v>
      </c>
      <c r="E12" s="35" t="n">
        <f>559</f>
        <v>559.0</v>
      </c>
      <c r="F12" s="17" t="n">
        <f>2270</f>
        <v>2270.0</v>
      </c>
      <c r="G12" s="35" t="n">
        <f>820</f>
        <v>820.0</v>
      </c>
      <c r="H12" s="17" t="n">
        <f>4554</f>
        <v>4554.0</v>
      </c>
      <c r="I12" s="35" t="n">
        <f>1379</f>
        <v>1379.0</v>
      </c>
      <c r="J12" s="17" t="n">
        <f>561376380</f>
        <v>5.6137638E8</v>
      </c>
      <c r="K12" s="35" t="n">
        <f>179924380</f>
        <v>1.7992438E8</v>
      </c>
      <c r="L12" s="17" t="n">
        <f>953354730</f>
        <v>9.5335473E8</v>
      </c>
      <c r="M12" s="35" t="n">
        <f>345349730</f>
        <v>3.4534973E8</v>
      </c>
      <c r="N12" s="17" t="n">
        <f>1514731110</f>
        <v>1.51473111E9</v>
      </c>
      <c r="O12" s="35" t="n">
        <f>525274110</f>
        <v>5.2527411E8</v>
      </c>
    </row>
    <row r="13" spans="1:15" ht="24.9" customHeight="1">
      <c r="A13" s="38"/>
      <c r="B13" s="62"/>
      <c r="C13" s="20" t="s">
        <v>16</v>
      </c>
      <c r="D13" s="21" t="n">
        <f>4915</f>
        <v>4915.0</v>
      </c>
      <c r="E13" s="36" t="n">
        <f>1162</f>
        <v>1162.0</v>
      </c>
      <c r="F13" s="21" t="n">
        <f>4572</f>
        <v>4572.0</v>
      </c>
      <c r="G13" s="36" t="n">
        <f>1239</f>
        <v>1239.0</v>
      </c>
      <c r="H13" s="21" t="n">
        <f>9487</f>
        <v>9487.0</v>
      </c>
      <c r="I13" s="36" t="n">
        <f>2401</f>
        <v>2401.0</v>
      </c>
      <c r="J13" s="21" t="n">
        <f>1708693130</f>
        <v>1.70869313E9</v>
      </c>
      <c r="K13" s="36" t="n">
        <f>670776130</f>
        <v>6.7077613E8</v>
      </c>
      <c r="L13" s="21" t="n">
        <f>1157561840</f>
        <v>1.15756184E9</v>
      </c>
      <c r="M13" s="36" t="n">
        <f>260490840</f>
        <v>2.6049084E8</v>
      </c>
      <c r="N13" s="21" t="n">
        <f>2866254970</f>
        <v>2.86625497E9</v>
      </c>
      <c r="O13" s="36" t="n">
        <f>931266970</f>
        <v>9.3126697E8</v>
      </c>
    </row>
    <row r="14" spans="1:15" ht="24.9" customHeight="1">
      <c r="A14" s="38"/>
      <c r="B14" s="62"/>
      <c r="C14" s="20" t="s">
        <v>17</v>
      </c>
      <c r="D14" s="21" t="n">
        <f>14378</f>
        <v>14378.0</v>
      </c>
      <c r="E14" s="36" t="n">
        <f>7643</f>
        <v>7643.0</v>
      </c>
      <c r="F14" s="21" t="n">
        <f>8017</f>
        <v>8017.0</v>
      </c>
      <c r="G14" s="36" t="n">
        <f>3447</f>
        <v>3447.0</v>
      </c>
      <c r="H14" s="21" t="n">
        <f>22395</f>
        <v>22395.0</v>
      </c>
      <c r="I14" s="36" t="n">
        <f>11090</f>
        <v>11090.0</v>
      </c>
      <c r="J14" s="21" t="n">
        <f>13969783830</f>
        <v>1.396978383E10</v>
      </c>
      <c r="K14" s="36" t="n">
        <f>11839043830</f>
        <v>1.183904383E10</v>
      </c>
      <c r="L14" s="21" t="n">
        <f>2267934050</f>
        <v>2.26793405E9</v>
      </c>
      <c r="M14" s="36" t="n">
        <f>1280562050</f>
        <v>1.28056205E9</v>
      </c>
      <c r="N14" s="21" t="n">
        <f>16237717880</f>
        <v>1.623771788E10</v>
      </c>
      <c r="O14" s="36" t="n">
        <f>13119605880</f>
        <v>1.311960588E10</v>
      </c>
    </row>
    <row r="15" spans="1:15" ht="24.9" customHeight="1">
      <c r="A15" s="38"/>
      <c r="B15" s="62"/>
      <c r="C15" s="24" t="s">
        <v>18</v>
      </c>
      <c r="D15" s="25" t="n">
        <f>21577</f>
        <v>21577.0</v>
      </c>
      <c r="E15" s="37" t="n">
        <f>9364</f>
        <v>9364.0</v>
      </c>
      <c r="F15" s="25" t="n">
        <f>14859</f>
        <v>14859.0</v>
      </c>
      <c r="G15" s="37" t="n">
        <f>5506</f>
        <v>5506.0</v>
      </c>
      <c r="H15" s="25" t="n">
        <f>36436</f>
        <v>36436.0</v>
      </c>
      <c r="I15" s="37" t="n">
        <f>14870</f>
        <v>14870.0</v>
      </c>
      <c r="J15" s="25" t="n">
        <f>16239853340</f>
        <v>1.623985334E10</v>
      </c>
      <c r="K15" s="37" t="n">
        <f>12689744340</f>
        <v>1.268974434E10</v>
      </c>
      <c r="L15" s="25" t="n">
        <f>4378850620</f>
        <v>4.37885062E9</v>
      </c>
      <c r="M15" s="37" t="n">
        <f>1886402620</f>
        <v>1.88640262E9</v>
      </c>
      <c r="N15" s="25" t="n">
        <f>20618703960</f>
        <v>2.061870396E10</v>
      </c>
      <c r="O15" s="37" t="n">
        <f>14576146960</f>
        <v>1.457614696E10</v>
      </c>
    </row>
    <row r="16" spans="1:15" ht="24.9" customHeight="1">
      <c r="A16" s="38"/>
      <c r="B16" s="61" t="s">
        <v>105</v>
      </c>
      <c r="C16" s="16" t="s">
        <v>15</v>
      </c>
      <c r="D16" s="17" t="n">
        <f>5295</f>
        <v>5295.0</v>
      </c>
      <c r="E16" s="35" t="n">
        <f>440</f>
        <v>440.0</v>
      </c>
      <c r="F16" s="17" t="n">
        <f>4226</f>
        <v>4226.0</v>
      </c>
      <c r="G16" s="35" t="n">
        <f>410</f>
        <v>410.0</v>
      </c>
      <c r="H16" s="17" t="n">
        <f>9521</f>
        <v>9521.0</v>
      </c>
      <c r="I16" s="35" t="n">
        <f>850</f>
        <v>850.0</v>
      </c>
      <c r="J16" s="17" t="n">
        <f>201041700</f>
        <v>2.010417E8</v>
      </c>
      <c r="K16" s="35" t="n">
        <f>5266200</f>
        <v>5266200.0</v>
      </c>
      <c r="L16" s="17" t="n">
        <f>218668890</f>
        <v>2.1866889E8</v>
      </c>
      <c r="M16" s="35" t="n">
        <f>6942290</f>
        <v>6942290.0</v>
      </c>
      <c r="N16" s="17" t="n">
        <f>419710590</f>
        <v>4.1971059E8</v>
      </c>
      <c r="O16" s="35" t="n">
        <f>12208490</f>
        <v>1.220849E7</v>
      </c>
    </row>
    <row r="17" spans="1:15" ht="24.9" customHeight="1">
      <c r="A17" s="38"/>
      <c r="B17" s="62"/>
      <c r="C17" s="20" t="s">
        <v>16</v>
      </c>
      <c r="D17" s="21" t="n">
        <f>5695</f>
        <v>5695.0</v>
      </c>
      <c r="E17" s="36" t="n">
        <f>230</f>
        <v>230.0</v>
      </c>
      <c r="F17" s="21" t="n">
        <f>5081</f>
        <v>5081.0</v>
      </c>
      <c r="G17" s="36" t="n">
        <f>310</f>
        <v>310.0</v>
      </c>
      <c r="H17" s="21" t="n">
        <f>10776</f>
        <v>10776.0</v>
      </c>
      <c r="I17" s="36" t="n">
        <f>540</f>
        <v>540.0</v>
      </c>
      <c r="J17" s="21" t="n">
        <f>203766980</f>
        <v>2.0376698E8</v>
      </c>
      <c r="K17" s="36" t="n">
        <f>6622580</f>
        <v>6622580.0</v>
      </c>
      <c r="L17" s="21" t="n">
        <f>183653200</f>
        <v>1.836532E8</v>
      </c>
      <c r="M17" s="36" t="n">
        <f>5603100</f>
        <v>5603100.0</v>
      </c>
      <c r="N17" s="21" t="n">
        <f>387420180</f>
        <v>3.8742018E8</v>
      </c>
      <c r="O17" s="36" t="n">
        <f>12225680</f>
        <v>1.222568E7</v>
      </c>
    </row>
    <row r="18" spans="1:15" ht="24.9" customHeight="1">
      <c r="A18" s="38"/>
      <c r="B18" s="62"/>
      <c r="C18" s="20" t="s">
        <v>17</v>
      </c>
      <c r="D18" s="21" t="n">
        <f>6848</f>
        <v>6848.0</v>
      </c>
      <c r="E18" s="36" t="n">
        <f>670</f>
        <v>670.0</v>
      </c>
      <c r="F18" s="21" t="n">
        <f>7362</f>
        <v>7362.0</v>
      </c>
      <c r="G18" s="36" t="n">
        <f>620</f>
        <v>620.0</v>
      </c>
      <c r="H18" s="21" t="n">
        <f>14210</f>
        <v>14210.0</v>
      </c>
      <c r="I18" s="36" t="n">
        <f>1290</f>
        <v>1290.0</v>
      </c>
      <c r="J18" s="21" t="n">
        <f>307666460</f>
        <v>3.0766646E8</v>
      </c>
      <c r="K18" s="36" t="n">
        <f>6056760</f>
        <v>6056760.0</v>
      </c>
      <c r="L18" s="21" t="n">
        <f>231236580</f>
        <v>2.3123658E8</v>
      </c>
      <c r="M18" s="36" t="n">
        <f>7285580</f>
        <v>7285580.0</v>
      </c>
      <c r="N18" s="21" t="n">
        <f>538903040</f>
        <v>5.3890304E8</v>
      </c>
      <c r="O18" s="36" t="n">
        <f>13342340</f>
        <v>1.334234E7</v>
      </c>
    </row>
    <row r="19" spans="1:15" ht="24.9" customHeight="1">
      <c r="A19" s="38"/>
      <c r="B19" s="62"/>
      <c r="C19" s="24" t="s">
        <v>18</v>
      </c>
      <c r="D19" s="25" t="n">
        <f>17838</f>
        <v>17838.0</v>
      </c>
      <c r="E19" s="37" t="n">
        <f>1340</f>
        <v>1340.0</v>
      </c>
      <c r="F19" s="25" t="n">
        <f>16669</f>
        <v>16669.0</v>
      </c>
      <c r="G19" s="37" t="n">
        <f>1340</f>
        <v>1340.0</v>
      </c>
      <c r="H19" s="25" t="n">
        <f>34507</f>
        <v>34507.0</v>
      </c>
      <c r="I19" s="37" t="n">
        <f>2680</f>
        <v>2680.0</v>
      </c>
      <c r="J19" s="25" t="n">
        <f>712475140</f>
        <v>7.1247514E8</v>
      </c>
      <c r="K19" s="37" t="n">
        <f>17945540</f>
        <v>1.794554E7</v>
      </c>
      <c r="L19" s="25" t="n">
        <f>633558670</f>
        <v>6.3355867E8</v>
      </c>
      <c r="M19" s="37" t="n">
        <f>19830970</f>
        <v>1.983097E7</v>
      </c>
      <c r="N19" s="25" t="n">
        <f>1346033810</f>
        <v>1.34603381E9</v>
      </c>
      <c r="O19" s="37" t="n">
        <f>37776510</f>
        <v>3.777651E7</v>
      </c>
    </row>
    <row r="20" spans="1:15" ht="24.9" customHeight="1">
      <c r="A20" s="38"/>
      <c r="B20" s="61" t="s">
        <v>106</v>
      </c>
      <c r="C20" s="16" t="s">
        <v>15</v>
      </c>
      <c r="D20" s="17" t="n">
        <f>60</f>
        <v>60.0</v>
      </c>
      <c r="E20" s="35" t="n">
        <f>60</f>
        <v>60.0</v>
      </c>
      <c r="F20" s="17" t="n">
        <f>0</f>
        <v>0.0</v>
      </c>
      <c r="G20" s="35" t="n">
        <f>0</f>
        <v>0.0</v>
      </c>
      <c r="H20" s="17" t="n">
        <f>60</f>
        <v>60.0</v>
      </c>
      <c r="I20" s="35" t="n">
        <f>60</f>
        <v>60.0</v>
      </c>
      <c r="J20" s="17" t="n">
        <f>44367750</f>
        <v>4.436775E7</v>
      </c>
      <c r="K20" s="35" t="n">
        <f>44367750</f>
        <v>4.436775E7</v>
      </c>
      <c r="L20" s="17" t="n">
        <f>0</f>
        <v>0.0</v>
      </c>
      <c r="M20" s="35" t="n">
        <f>0</f>
        <v>0.0</v>
      </c>
      <c r="N20" s="17" t="n">
        <f>44367750</f>
        <v>4.436775E7</v>
      </c>
      <c r="O20" s="35" t="n">
        <f>44367750</f>
        <v>4.436775E7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620</f>
        <v>620.0</v>
      </c>
      <c r="G21" s="36" t="n">
        <f>600</f>
        <v>600.0</v>
      </c>
      <c r="H21" s="21" t="n">
        <f>620</f>
        <v>620.0</v>
      </c>
      <c r="I21" s="36" t="n">
        <f>600</f>
        <v>600.0</v>
      </c>
      <c r="J21" s="21" t="n">
        <f>0</f>
        <v>0.0</v>
      </c>
      <c r="K21" s="36" t="n">
        <f>0</f>
        <v>0.0</v>
      </c>
      <c r="L21" s="21" t="n">
        <f>370005000</f>
        <v>3.70005E8</v>
      </c>
      <c r="M21" s="36" t="n">
        <f>365805000</f>
        <v>3.65805E8</v>
      </c>
      <c r="N21" s="21" t="n">
        <f>370005000</f>
        <v>3.70005E8</v>
      </c>
      <c r="O21" s="36" t="n">
        <f>365805000</f>
        <v>3.65805E8</v>
      </c>
    </row>
    <row r="22" spans="1:15" ht="24.9" customHeight="1">
      <c r="A22" s="38"/>
      <c r="B22" s="62"/>
      <c r="C22" s="20" t="s">
        <v>17</v>
      </c>
      <c r="D22" s="21" t="n">
        <f>650</f>
        <v>650.0</v>
      </c>
      <c r="E22" s="36" t="n">
        <f>650</f>
        <v>650.0</v>
      </c>
      <c r="F22" s="21" t="n">
        <f>112</f>
        <v>112.0</v>
      </c>
      <c r="G22" s="36" t="n">
        <f>100</f>
        <v>100.0</v>
      </c>
      <c r="H22" s="21" t="n">
        <f>762</f>
        <v>762.0</v>
      </c>
      <c r="I22" s="36" t="n">
        <f>750</f>
        <v>750.0</v>
      </c>
      <c r="J22" s="21" t="n">
        <f>768900000</f>
        <v>7.689E8</v>
      </c>
      <c r="K22" s="36" t="n">
        <f>768900000</f>
        <v>7.689E8</v>
      </c>
      <c r="L22" s="21" t="n">
        <f>12520000</f>
        <v>1.252E7</v>
      </c>
      <c r="M22" s="36" t="n">
        <f>10050000</f>
        <v>1.005E7</v>
      </c>
      <c r="N22" s="21" t="n">
        <f>781420000</f>
        <v>7.8142E8</v>
      </c>
      <c r="O22" s="36" t="n">
        <f>778950000</f>
        <v>7.7895E8</v>
      </c>
    </row>
    <row r="23" spans="1:15" ht="24.9" customHeight="1">
      <c r="A23" s="38"/>
      <c r="B23" s="62"/>
      <c r="C23" s="24" t="s">
        <v>18</v>
      </c>
      <c r="D23" s="25" t="n">
        <f>710</f>
        <v>710.0</v>
      </c>
      <c r="E23" s="37" t="n">
        <f>710</f>
        <v>710.0</v>
      </c>
      <c r="F23" s="25" t="n">
        <f>732</f>
        <v>732.0</v>
      </c>
      <c r="G23" s="37" t="n">
        <f>700</f>
        <v>700.0</v>
      </c>
      <c r="H23" s="25" t="n">
        <f>1442</f>
        <v>1442.0</v>
      </c>
      <c r="I23" s="37" t="n">
        <f>1410</f>
        <v>1410.0</v>
      </c>
      <c r="J23" s="25" t="n">
        <f>813267750</f>
        <v>8.1326775E8</v>
      </c>
      <c r="K23" s="37" t="n">
        <f>813267750</f>
        <v>8.1326775E8</v>
      </c>
      <c r="L23" s="25" t="n">
        <f>382525000</f>
        <v>3.82525E8</v>
      </c>
      <c r="M23" s="37" t="n">
        <f>375855000</f>
        <v>3.75855E8</v>
      </c>
      <c r="N23" s="25" t="n">
        <f>1195792750</f>
        <v>1.19579275E9</v>
      </c>
      <c r="O23" s="37" t="n">
        <f>1189122750</f>
        <v>1.18912275E9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11</f>
        <v>11.0</v>
      </c>
      <c r="E37" s="22" t="n">
        <f>0</f>
        <v>0.0</v>
      </c>
      <c r="F37" s="21" t="n">
        <f>8</f>
        <v>8.0</v>
      </c>
      <c r="G37" s="22" t="n">
        <f>0</f>
        <v>0.0</v>
      </c>
      <c r="H37" s="21" t="n">
        <f>19</f>
        <v>19.0</v>
      </c>
      <c r="I37" s="22" t="n">
        <f>0</f>
        <v>0.0</v>
      </c>
      <c r="J37" s="21" t="n">
        <f>4360000</f>
        <v>4360000.0</v>
      </c>
      <c r="K37" s="22" t="n">
        <f>0</f>
        <v>0.0</v>
      </c>
      <c r="L37" s="21" t="n">
        <f>1220000</f>
        <v>1220000.0</v>
      </c>
      <c r="M37" s="22" t="n">
        <f>0</f>
        <v>0.0</v>
      </c>
      <c r="N37" s="21" t="n">
        <f>5580000</f>
        <v>5580000.0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57</f>
        <v>57.0</v>
      </c>
      <c r="E38" s="36" t="n">
        <f>45</f>
        <v>45.0</v>
      </c>
      <c r="F38" s="21" t="n">
        <f>33</f>
        <v>33.0</v>
      </c>
      <c r="G38" s="36" t="n">
        <f>0</f>
        <v>0.0</v>
      </c>
      <c r="H38" s="21" t="n">
        <f>90</f>
        <v>90.0</v>
      </c>
      <c r="I38" s="36" t="n">
        <f>45</f>
        <v>45.0</v>
      </c>
      <c r="J38" s="21" t="n">
        <f>8540000</f>
        <v>8540000.0</v>
      </c>
      <c r="K38" s="36" t="n">
        <f>7050000</f>
        <v>7050000.0</v>
      </c>
      <c r="L38" s="21" t="n">
        <f>2530000</f>
        <v>2530000.0</v>
      </c>
      <c r="M38" s="36" t="n">
        <f>0</f>
        <v>0.0</v>
      </c>
      <c r="N38" s="21" t="n">
        <f>11070000</f>
        <v>1.107E7</v>
      </c>
      <c r="O38" s="36" t="n">
        <f>7050000</f>
        <v>7050000.0</v>
      </c>
    </row>
    <row r="39" spans="1:15" ht="24.9" customHeight="1">
      <c r="A39" s="38"/>
      <c r="B39" s="62"/>
      <c r="C39" s="24" t="s">
        <v>18</v>
      </c>
      <c r="D39" s="25" t="n">
        <f>68</f>
        <v>68.0</v>
      </c>
      <c r="E39" s="37" t="n">
        <f>45</f>
        <v>45.0</v>
      </c>
      <c r="F39" s="25" t="n">
        <f>41</f>
        <v>41.0</v>
      </c>
      <c r="G39" s="37" t="n">
        <f>0</f>
        <v>0.0</v>
      </c>
      <c r="H39" s="25" t="n">
        <f>109</f>
        <v>109.0</v>
      </c>
      <c r="I39" s="37" t="n">
        <f>45</f>
        <v>45.0</v>
      </c>
      <c r="J39" s="25" t="n">
        <f>12900000</f>
        <v>1.29E7</v>
      </c>
      <c r="K39" s="37" t="n">
        <f>7050000</f>
        <v>7050000.0</v>
      </c>
      <c r="L39" s="25" t="n">
        <f>3750000</f>
        <v>3750000.0</v>
      </c>
      <c r="M39" s="37" t="n">
        <f>0</f>
        <v>0.0</v>
      </c>
      <c r="N39" s="25" t="n">
        <f>16650000</f>
        <v>1.665E7</v>
      </c>
      <c r="O39" s="37" t="n">
        <f>7050000</f>
        <v>7050000.0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5883</f>
        <v>5883.0</v>
      </c>
      <c r="E41" s="36" t="n">
        <f>0</f>
        <v>0.0</v>
      </c>
      <c r="F41" s="21" t="n">
        <f>42049</f>
        <v>42049.0</v>
      </c>
      <c r="G41" s="36" t="n">
        <f>0</f>
        <v>0.0</v>
      </c>
      <c r="H41" s="21" t="n">
        <f>47932</f>
        <v>47932.0</v>
      </c>
      <c r="I41" s="36" t="n">
        <f>0</f>
        <v>0.0</v>
      </c>
      <c r="J41" s="21" t="n">
        <f>10084074</f>
        <v>1.0084074E7</v>
      </c>
      <c r="K41" s="36" t="n">
        <f>0</f>
        <v>0.0</v>
      </c>
      <c r="L41" s="21" t="n">
        <f>97665230</f>
        <v>9.766523E7</v>
      </c>
      <c r="M41" s="36" t="n">
        <f>0</f>
        <v>0.0</v>
      </c>
      <c r="N41" s="21" t="n">
        <f>107749304</f>
        <v>1.07749304E8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12108</f>
        <v>12108.0</v>
      </c>
      <c r="E42" s="36" t="n">
        <f>800</f>
        <v>800.0</v>
      </c>
      <c r="F42" s="21" t="n">
        <f>30646</f>
        <v>30646.0</v>
      </c>
      <c r="G42" s="36" t="n">
        <f>0</f>
        <v>0.0</v>
      </c>
      <c r="H42" s="21" t="n">
        <f>42754</f>
        <v>42754.0</v>
      </c>
      <c r="I42" s="36" t="n">
        <f>800</f>
        <v>800.0</v>
      </c>
      <c r="J42" s="21" t="n">
        <f>20704395</f>
        <v>2.0704395E7</v>
      </c>
      <c r="K42" s="36" t="n">
        <f>400000</f>
        <v>400000.0</v>
      </c>
      <c r="L42" s="21" t="n">
        <f>91776540</f>
        <v>9.177654E7</v>
      </c>
      <c r="M42" s="36" t="n">
        <f>0</f>
        <v>0.0</v>
      </c>
      <c r="N42" s="21" t="n">
        <f>112480935</f>
        <v>1.12480935E8</v>
      </c>
      <c r="O42" s="36" t="n">
        <f>400000</f>
        <v>400000.0</v>
      </c>
    </row>
    <row r="43" spans="1:15" ht="24.9" customHeight="1">
      <c r="A43" s="38"/>
      <c r="B43" s="62"/>
      <c r="C43" s="24" t="s">
        <v>18</v>
      </c>
      <c r="D43" s="25" t="n">
        <f>17991</f>
        <v>17991.0</v>
      </c>
      <c r="E43" s="37" t="n">
        <f>800</f>
        <v>800.0</v>
      </c>
      <c r="F43" s="25" t="n">
        <f>72695</f>
        <v>72695.0</v>
      </c>
      <c r="G43" s="37" t="n">
        <f>0</f>
        <v>0.0</v>
      </c>
      <c r="H43" s="25" t="n">
        <f>90686</f>
        <v>90686.0</v>
      </c>
      <c r="I43" s="37" t="n">
        <f>800</f>
        <v>800.0</v>
      </c>
      <c r="J43" s="25" t="n">
        <f>30788469</f>
        <v>3.0788469E7</v>
      </c>
      <c r="K43" s="37" t="n">
        <f>400000</f>
        <v>400000.0</v>
      </c>
      <c r="L43" s="25" t="n">
        <f>189441770</f>
        <v>1.8944177E8</v>
      </c>
      <c r="M43" s="37" t="n">
        <f>0</f>
        <v>0.0</v>
      </c>
      <c r="N43" s="25" t="n">
        <f>220230239</f>
        <v>2.20230239E8</v>
      </c>
      <c r="O43" s="37" t="n">
        <f>400000</f>
        <v>400000.0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