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<sst xmlns="http://schemas.openxmlformats.org/spreadsheetml/2006/main" count="528" uniqueCount="129">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</sst>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DATE(2026,07,29)</f>
        <v>46232.0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DATE(2026,07,29)</f>
        <v>46232.0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917794.0</f>
        <v>917794.0</v>
      </c>
      <c r="E12" s="18" t="n">
        <f>41852.0</f>
        <v>41852.0</v>
      </c>
      <c r="F12" s="19" t="n">
        <f>1.0</f>
        <v>1.0</v>
      </c>
      <c r="G12" s="17" t="n">
        <f>5337000712273.0</f>
        <v>5.337000712273E12</v>
      </c>
      <c r="H12" s="18" t="n">
        <f>353111732598.0</f>
        <v>3.53111732598E11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661871.0</f>
        <v>661871.0</v>
      </c>
      <c r="E13" s="22" t="n">
        <f>25740.0</f>
        <v>25740.0</v>
      </c>
      <c r="F13" s="23" t="n">
        <f>1.0</f>
        <v>1.0</v>
      </c>
      <c r="G13" s="21" t="n">
        <f>5291346872555.0</f>
        <v>5.291346872555E12</v>
      </c>
      <c r="H13" s="22" t="n">
        <f>423902884480.0</f>
        <v>4.2390288448E11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1084685.0</f>
        <v>1084685.0</v>
      </c>
      <c r="E14" s="22" t="n">
        <f>57022.0</f>
        <v>57022.0</v>
      </c>
      <c r="F14" s="23" t="n">
        <f>1.0</f>
        <v>1.0</v>
      </c>
      <c r="G14" s="21" t="n">
        <f>9951914187284.0</f>
        <v>9.951914187284E12</v>
      </c>
      <c r="H14" s="22" t="n">
        <f>1445670735459.0</f>
        <v>1.445670735459E12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2664350.0</f>
        <v>2664350.0</v>
      </c>
      <c r="E15" s="26" t="n">
        <f>124614.0</f>
        <v>124614.0</v>
      </c>
      <c r="F15" s="27" t="n">
        <f>1.0</f>
        <v>1.0</v>
      </c>
      <c r="G15" s="25" t="n">
        <f>20580261772112.0</f>
        <v>2.0580261772112E13</v>
      </c>
      <c r="H15" s="26" t="n">
        <f>2222685352537.0</f>
        <v>2.222685352537E12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13767.0</f>
        <v>13767.0</v>
      </c>
      <c r="E16" s="18" t="n">
        <f>63.0</f>
        <v>63.0</v>
      </c>
      <c r="F16" s="19" t="n">
        <f>0.015</f>
        <v>0.015</v>
      </c>
      <c r="G16" s="17" t="n">
        <f>1231166640625.0</f>
        <v>1.231166640625E12</v>
      </c>
      <c r="H16" s="18" t="n">
        <f>8016150000.0</f>
        <v>8.01615E9</v>
      </c>
      <c r="I16" s="19" t="n">
        <f>0.231</f>
        <v>0.231</v>
      </c>
    </row>
    <row r="17" spans="1:9" ht="24.9" customHeight="1">
      <c r="A17" s="41"/>
      <c r="B17" s="39"/>
      <c r="C17" s="20" t="s">
        <v>16</v>
      </c>
      <c r="D17" s="21" t="n">
        <f>11500.0</f>
        <v>11500.0</v>
      </c>
      <c r="E17" s="22" t="n">
        <f>1270.0</f>
        <v>1270.0</v>
      </c>
      <c r="F17" s="23" t="n">
        <f>0.017</f>
        <v>0.017</v>
      </c>
      <c r="G17" s="21" t="n">
        <f>1340172406625.0</f>
        <v>1.340172406625E12</v>
      </c>
      <c r="H17" s="22" t="n">
        <f>161639365000.0</f>
        <v>1.61639365E11</v>
      </c>
      <c r="I17" s="23" t="n">
        <f>0.253</f>
        <v>0.253</v>
      </c>
    </row>
    <row r="18" spans="1:9" ht="24.9" customHeight="1">
      <c r="A18" s="41"/>
      <c r="B18" s="39"/>
      <c r="C18" s="20" t="s">
        <v>17</v>
      </c>
      <c r="D18" s="21" t="n">
        <f>15911.0</f>
        <v>15911.0</v>
      </c>
      <c r="E18" s="22" t="n">
        <f>937.0</f>
        <v>937.0</v>
      </c>
      <c r="F18" s="23" t="n">
        <f>0.015</f>
        <v>0.015</v>
      </c>
      <c r="G18" s="21" t="n">
        <f>1762652965625.0</f>
        <v>1.762652965625E12</v>
      </c>
      <c r="H18" s="22" t="n">
        <f>119429745000.0</f>
        <v>1.19429745E11</v>
      </c>
      <c r="I18" s="23" t="n">
        <f>0.177</f>
        <v>0.177</v>
      </c>
    </row>
    <row r="19" spans="1:9" ht="24.9" customHeight="1">
      <c r="A19" s="41"/>
      <c r="B19" s="39"/>
      <c r="C19" s="24" t="s">
        <v>18</v>
      </c>
      <c r="D19" s="25" t="n">
        <f>41178.0</f>
        <v>41178.0</v>
      </c>
      <c r="E19" s="26" t="n">
        <f>2270.0</f>
        <v>2270.0</v>
      </c>
      <c r="F19" s="27" t="n">
        <f>0.015</f>
        <v>0.015</v>
      </c>
      <c r="G19" s="25" t="n">
        <f>4333992012875.0</f>
        <v>4.333992012875E12</v>
      </c>
      <c r="H19" s="26" t="n">
        <f>289085260000.0</f>
        <v>2.8908526E11</v>
      </c>
      <c r="I19" s="27" t="n">
        <f>0.211</f>
        <v>0.211</v>
      </c>
    </row>
    <row r="20" spans="1:9" ht="24.9" customHeight="1">
      <c r="A20" s="41"/>
      <c r="B20" s="39" t="s">
        <v>21</v>
      </c>
      <c r="C20" s="16" t="s">
        <v>15</v>
      </c>
      <c r="D20" s="17" t="n">
        <f>893152.0</f>
        <v>893152.0</v>
      </c>
      <c r="E20" s="18" t="n">
        <f>41789.0</f>
        <v>41789.0</v>
      </c>
      <c r="F20" s="19" t="n">
        <f>0.973</f>
        <v>0.973</v>
      </c>
      <c r="G20" s="17" t="n">
        <f>3980095221898.0</f>
        <v>3.980095221898E12</v>
      </c>
      <c r="H20" s="18" t="n">
        <f>345095582598.0</f>
        <v>3.45095582598E11</v>
      </c>
      <c r="I20" s="19" t="n">
        <f>0.746</f>
        <v>0.746</v>
      </c>
    </row>
    <row r="21" spans="1:9" ht="24.9" customHeight="1">
      <c r="A21" s="41"/>
      <c r="B21" s="39"/>
      <c r="C21" s="20" t="s">
        <v>16</v>
      </c>
      <c r="D21" s="21" t="n">
        <f>644342.0</f>
        <v>644342.0</v>
      </c>
      <c r="E21" s="22" t="n">
        <f>24470.0</f>
        <v>24470.0</v>
      </c>
      <c r="F21" s="23" t="n">
        <f>0.974</f>
        <v>0.974</v>
      </c>
      <c r="G21" s="21" t="n">
        <f>3888409159480.0</f>
        <v>3.88840915948E12</v>
      </c>
      <c r="H21" s="22" t="n">
        <f>262263519480.0</f>
        <v>2.6226351948E11</v>
      </c>
      <c r="I21" s="23" t="n">
        <f>0.735</f>
        <v>0.735</v>
      </c>
    </row>
    <row r="22" spans="1:9" ht="24.9" customHeight="1">
      <c r="A22" s="41"/>
      <c r="B22" s="39"/>
      <c r="C22" s="20" t="s">
        <v>17</v>
      </c>
      <c r="D22" s="21" t="n">
        <f>1062450.0</f>
        <v>1062450.0</v>
      </c>
      <c r="E22" s="22" t="n">
        <f>56084.0</f>
        <v>56084.0</v>
      </c>
      <c r="F22" s="23" t="n">
        <f>0.98</f>
        <v>0.98</v>
      </c>
      <c r="G22" s="21" t="n">
        <f>8137194572879.0</f>
        <v>8.137194572879E12</v>
      </c>
      <c r="H22" s="22" t="n">
        <f>1326239487579.0</f>
        <v>1.326239487579E12</v>
      </c>
      <c r="I22" s="23" t="n">
        <f>0.818</f>
        <v>0.818</v>
      </c>
    </row>
    <row r="23" spans="1:9" ht="24.9" customHeight="1">
      <c r="A23" s="41"/>
      <c r="B23" s="39"/>
      <c r="C23" s="24" t="s">
        <v>18</v>
      </c>
      <c r="D23" s="25" t="n">
        <f>2599944.0</f>
        <v>2599944.0</v>
      </c>
      <c r="E23" s="26" t="n">
        <f>122343.0</f>
        <v>122343.0</v>
      </c>
      <c r="F23" s="27" t="n">
        <f>0.976</f>
        <v>0.976</v>
      </c>
      <c r="G23" s="25" t="n">
        <f>16005698954257.0</f>
        <v>1.6005698954257E13</v>
      </c>
      <c r="H23" s="26" t="n">
        <f>1933598589657.0</f>
        <v>1.933598589657E12</v>
      </c>
      <c r="I23" s="27" t="n">
        <f>0.778</f>
        <v>0.778</v>
      </c>
    </row>
    <row r="24" spans="1:9" ht="24.9" customHeight="1">
      <c r="A24" s="41"/>
      <c r="B24" s="39" t="s">
        <v>22</v>
      </c>
      <c r="C24" s="16" t="s">
        <v>15</v>
      </c>
      <c r="D24" s="17" t="n">
        <f>10206.0</f>
        <v>10206.0</v>
      </c>
      <c r="E24" s="18" t="n">
        <f>0.0</f>
        <v>0.0</v>
      </c>
      <c r="F24" s="19" t="n">
        <f>0.011</f>
        <v>0.011</v>
      </c>
      <c r="G24" s="17" t="n">
        <f>123231303250.0</f>
        <v>1.2323130325E11</v>
      </c>
      <c r="H24" s="18" t="n">
        <f>0.0</f>
        <v>0.0</v>
      </c>
      <c r="I24" s="19" t="n">
        <f>0.023</f>
        <v>0.023</v>
      </c>
    </row>
    <row r="25" spans="1:9" ht="24.9" customHeight="1">
      <c r="A25" s="41"/>
      <c r="B25" s="39"/>
      <c r="C25" s="20" t="s">
        <v>16</v>
      </c>
      <c r="D25" s="21" t="n">
        <f>5631.0</f>
        <v>5631.0</v>
      </c>
      <c r="E25" s="22" t="n">
        <f>0.0</f>
        <v>0.0</v>
      </c>
      <c r="F25" s="23" t="n">
        <f>0.009</f>
        <v>0.009</v>
      </c>
      <c r="G25" s="21" t="n">
        <f>61259958950.0</f>
        <v>6.125995895E10</v>
      </c>
      <c r="H25" s="22" t="n">
        <f>0.0</f>
        <v>0.0</v>
      </c>
      <c r="I25" s="23" t="n">
        <f>0.012</f>
        <v>0.012</v>
      </c>
    </row>
    <row r="26" spans="1:9" ht="24.9" customHeight="1">
      <c r="A26" s="41"/>
      <c r="B26" s="39"/>
      <c r="C26" s="20" t="s">
        <v>17</v>
      </c>
      <c r="D26" s="21" t="n">
        <f>5357.0</f>
        <v>5357.0</v>
      </c>
      <c r="E26" s="22" t="n">
        <f>0.0</f>
        <v>0.0</v>
      </c>
      <c r="F26" s="23" t="n">
        <f>0.005</f>
        <v>0.005</v>
      </c>
      <c r="G26" s="21" t="n">
        <f>48426163900.0</f>
        <v>4.84261639E10</v>
      </c>
      <c r="H26" s="22" t="n">
        <f>0.0</f>
        <v>0.0</v>
      </c>
      <c r="I26" s="23" t="n">
        <f>0.005</f>
        <v>0.005</v>
      </c>
    </row>
    <row r="27" spans="1:9" ht="24.9" customHeight="1">
      <c r="A27" s="42"/>
      <c r="B27" s="39"/>
      <c r="C27" s="24" t="s">
        <v>18</v>
      </c>
      <c r="D27" s="25" t="n">
        <f>21194.0</f>
        <v>21194.0</v>
      </c>
      <c r="E27" s="26" t="n">
        <f>0.0</f>
        <v>0.0</v>
      </c>
      <c r="F27" s="27" t="n">
        <f>0.008</f>
        <v>0.008</v>
      </c>
      <c r="G27" s="25" t="n">
        <f>232917426100.0</f>
        <v>2.329174261E11</v>
      </c>
      <c r="H27" s="26" t="n">
        <f>0.0</f>
        <v>0.0</v>
      </c>
      <c r="I27" s="27" t="n">
        <f>0.011</f>
        <v>0.011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669.0</f>
        <v>669.0</v>
      </c>
      <c r="E28" s="18" t="n">
        <f>0.0</f>
        <v>0.0</v>
      </c>
      <c r="F28" s="19" t="n">
        <f>0.001</f>
        <v>0.001</v>
      </c>
      <c r="G28" s="17" t="n">
        <f>2507546500.0</f>
        <v>2.5075465E9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398.0</f>
        <v>398.0</v>
      </c>
      <c r="E29" s="22" t="n">
        <f>0.0</f>
        <v>0.0</v>
      </c>
      <c r="F29" s="23" t="n">
        <f>0.001</f>
        <v>0.001</v>
      </c>
      <c r="G29" s="21" t="n">
        <f>1505347500.0</f>
        <v>1.5053475E9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967.0</f>
        <v>967.0</v>
      </c>
      <c r="E30" s="22" t="n">
        <f>1.0</f>
        <v>1.0</v>
      </c>
      <c r="F30" s="23" t="n">
        <f>0.001</f>
        <v>0.001</v>
      </c>
      <c r="G30" s="21" t="n">
        <f>3640484880.0</f>
        <v>3.64048488E9</v>
      </c>
      <c r="H30" s="22" t="n">
        <f>1502880.0</f>
        <v>1502880.0</v>
      </c>
      <c r="I30" s="23" t="n">
        <f>0.0</f>
        <v>0.0</v>
      </c>
    </row>
    <row r="31" spans="1:9" ht="24.9" customHeight="1">
      <c r="A31" s="38"/>
      <c r="B31" s="39"/>
      <c r="C31" s="24" t="s">
        <v>18</v>
      </c>
      <c r="D31" s="25" t="n">
        <f>2034.0</f>
        <v>2034.0</v>
      </c>
      <c r="E31" s="26" t="n">
        <f>1.0</f>
        <v>1.0</v>
      </c>
      <c r="F31" s="27" t="n">
        <f>0.001</f>
        <v>0.001</v>
      </c>
      <c r="G31" s="25" t="n">
        <f>7653378880.0</f>
        <v>7.65337888E9</v>
      </c>
      <c r="H31" s="26" t="n">
        <f>1502880.0</f>
        <v>1502880.0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46232.0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46232.0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19977</f>
        <v>19977.0</v>
      </c>
      <c r="E11" s="18" t="n">
        <f>3473</f>
        <v>3473.0</v>
      </c>
      <c r="F11" s="19" t="n">
        <f>1</f>
        <v>1.0</v>
      </c>
      <c r="G11" s="17" t="n">
        <f>7684625810</f>
        <v>7.68462581E9</v>
      </c>
      <c r="H11" s="18" t="n">
        <f>5381597610</f>
        <v>5.38159761E9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28964</f>
        <v>28964.0</v>
      </c>
      <c r="E12" s="22" t="n">
        <f>4856</f>
        <v>4856.0</v>
      </c>
      <c r="F12" s="23" t="n">
        <f>1</f>
        <v>1.0</v>
      </c>
      <c r="G12" s="21" t="n">
        <f>5489355092</f>
        <v>5.489355092E9</v>
      </c>
      <c r="H12" s="22" t="n">
        <f>2740867440</f>
        <v>2.74086744E9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122245</f>
        <v>122245.0</v>
      </c>
      <c r="E13" s="22" t="n">
        <f>37067</f>
        <v>37067.0</v>
      </c>
      <c r="F13" s="23" t="n">
        <f>1</f>
        <v>1.0</v>
      </c>
      <c r="G13" s="21" t="n">
        <f>59108135986</f>
        <v>5.9108135986E10</v>
      </c>
      <c r="H13" s="22" t="n">
        <f>41360855115</f>
        <v>4.1360855115E10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171186</f>
        <v>171186.0</v>
      </c>
      <c r="E14" s="26" t="n">
        <f>45396</f>
        <v>45396.0</v>
      </c>
      <c r="F14" s="27" t="n">
        <f>1</f>
        <v>1.0</v>
      </c>
      <c r="G14" s="25" t="n">
        <f>72282116888</f>
        <v>7.2282116888E10</v>
      </c>
      <c r="H14" s="26" t="n">
        <f>49483320165</f>
        <v>4.9483320165E10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171</f>
        <v>171.0</v>
      </c>
      <c r="E16" s="22" t="n">
        <f>24</f>
        <v>24.0</v>
      </c>
      <c r="F16" s="23" t="n">
        <f>0.006</f>
        <v>0.006</v>
      </c>
      <c r="G16" s="21" t="n">
        <f>23840000</f>
        <v>2.384E7</v>
      </c>
      <c r="H16" s="22" t="n">
        <f>11880000</f>
        <v>1.188E7</v>
      </c>
      <c r="I16" s="23" t="n">
        <f>0.004</f>
        <v>0.004</v>
      </c>
    </row>
    <row r="17" spans="1:9" ht="24.9" customHeight="1">
      <c r="A17" s="41"/>
      <c r="B17" s="39"/>
      <c r="C17" s="20" t="s">
        <v>17</v>
      </c>
      <c r="D17" s="21" t="n">
        <f>140</f>
        <v>140.0</v>
      </c>
      <c r="E17" s="22" t="n">
        <f>50</f>
        <v>50.0</v>
      </c>
      <c r="F17" s="23" t="n">
        <f>0.001</f>
        <v>0.001</v>
      </c>
      <c r="G17" s="21" t="n">
        <f>11175000</f>
        <v>1.1175E7</v>
      </c>
      <c r="H17" s="22" t="n">
        <f>4625000</f>
        <v>4625000.0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311</f>
        <v>311.0</v>
      </c>
      <c r="E18" s="26" t="n">
        <f>74</f>
        <v>74.0</v>
      </c>
      <c r="F18" s="27" t="n">
        <f>0.002</f>
        <v>0.002</v>
      </c>
      <c r="G18" s="25" t="n">
        <f>35015000</f>
        <v>3.5015E7</v>
      </c>
      <c r="H18" s="26" t="n">
        <f>16505000</f>
        <v>1.6505E7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19977</f>
        <v>19977.0</v>
      </c>
      <c r="E19" s="18" t="n">
        <f>3473</f>
        <v>3473.0</v>
      </c>
      <c r="F19" s="19" t="n">
        <f>1</f>
        <v>1.0</v>
      </c>
      <c r="G19" s="17" t="n">
        <f>7684625810</f>
        <v>7.68462581E9</v>
      </c>
      <c r="H19" s="18" t="n">
        <f>5381597610</f>
        <v>5.38159761E9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22564</f>
        <v>22564.0</v>
      </c>
      <c r="E20" s="22" t="n">
        <f>4832</f>
        <v>4832.0</v>
      </c>
      <c r="F20" s="23" t="n">
        <f>0.779</f>
        <v>0.779</v>
      </c>
      <c r="G20" s="21" t="n">
        <f>5436025140</f>
        <v>5.43602514E9</v>
      </c>
      <c r="H20" s="22" t="n">
        <f>2728987440</f>
        <v>2.72898744E9</v>
      </c>
      <c r="I20" s="23" t="n">
        <f>0.99</f>
        <v>0.99</v>
      </c>
    </row>
    <row r="21" spans="1:9" ht="24.9" customHeight="1">
      <c r="A21" s="41"/>
      <c r="B21" s="39"/>
      <c r="C21" s="20" t="s">
        <v>17</v>
      </c>
      <c r="D21" s="21" t="n">
        <f>73149</f>
        <v>73149.0</v>
      </c>
      <c r="E21" s="22" t="n">
        <f>26659</f>
        <v>26659.0</v>
      </c>
      <c r="F21" s="23" t="n">
        <f>0.598</f>
        <v>0.598</v>
      </c>
      <c r="G21" s="21" t="n">
        <f>58775493835</f>
        <v>5.8775493835E10</v>
      </c>
      <c r="H21" s="22" t="n">
        <f>41106358435</f>
        <v>4.1106358435E10</v>
      </c>
      <c r="I21" s="23" t="n">
        <f>0.994</f>
        <v>0.994</v>
      </c>
    </row>
    <row r="22" spans="1:9" ht="24.9" customHeight="1">
      <c r="A22" s="41"/>
      <c r="B22" s="39"/>
      <c r="C22" s="24" t="s">
        <v>18</v>
      </c>
      <c r="D22" s="25" t="n">
        <f>115690</f>
        <v>115690.0</v>
      </c>
      <c r="E22" s="26" t="n">
        <f>34964</f>
        <v>34964.0</v>
      </c>
      <c r="F22" s="27" t="n">
        <f>0.676</f>
        <v>0.676</v>
      </c>
      <c r="G22" s="25" t="n">
        <f>71896144785</f>
        <v>7.1896144785E10</v>
      </c>
      <c r="H22" s="26" t="n">
        <f>49216943485</f>
        <v>4.9216943485E10</v>
      </c>
      <c r="I22" s="27" t="n">
        <f>0.995</f>
        <v>0.995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6229</f>
        <v>6229.0</v>
      </c>
      <c r="E24" s="22" t="n">
        <f>0</f>
        <v>0.0</v>
      </c>
      <c r="F24" s="23" t="n">
        <f>0.215</f>
        <v>0.215</v>
      </c>
      <c r="G24" s="21" t="n">
        <f>29489952</f>
        <v>2.9489952E7</v>
      </c>
      <c r="H24" s="22" t="n">
        <f>0</f>
        <v>0.0</v>
      </c>
      <c r="I24" s="23" t="n">
        <f>0.005</f>
        <v>0.005</v>
      </c>
    </row>
    <row r="25" spans="1:9" ht="24.9" customHeight="1">
      <c r="A25" s="41"/>
      <c r="B25" s="39"/>
      <c r="C25" s="20" t="s">
        <v>17</v>
      </c>
      <c r="D25" s="21" t="n">
        <f>48956</f>
        <v>48956.0</v>
      </c>
      <c r="E25" s="22" t="n">
        <f>10358</f>
        <v>10358.0</v>
      </c>
      <c r="F25" s="23" t="n">
        <f>0.4</f>
        <v>0.4</v>
      </c>
      <c r="G25" s="21" t="n">
        <f>321467151</f>
        <v>3.21467151E8</v>
      </c>
      <c r="H25" s="22" t="n">
        <f>249871680</f>
        <v>2.4987168E8</v>
      </c>
      <c r="I25" s="23" t="n">
        <f>0.005</f>
        <v>0.005</v>
      </c>
    </row>
    <row r="26" spans="1:9" ht="24.9" customHeight="1">
      <c r="A26" s="41"/>
      <c r="B26" s="39"/>
      <c r="C26" s="24" t="s">
        <v>18</v>
      </c>
      <c r="D26" s="25" t="n">
        <f>55185</f>
        <v>55185.0</v>
      </c>
      <c r="E26" s="26" t="n">
        <f>10358</f>
        <v>10358.0</v>
      </c>
      <c r="F26" s="27" t="n">
        <f>0.322</f>
        <v>0.322</v>
      </c>
      <c r="G26" s="25" t="n">
        <f>350957103</f>
        <v>3.50957103E8</v>
      </c>
      <c r="H26" s="26" t="n">
        <f>249871680</f>
        <v>2.4987168E8</v>
      </c>
      <c r="I26" s="27" t="n">
        <f>0.005</f>
        <v>0.005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46232.0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46232.0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13895.0</v>
      </c>
      <c r="F12" s="18" t="n">
        <f>1459</f>
        <v>1459.0</v>
      </c>
      <c r="G12" s="17" t="n">
        <v>8.68194914058E11</v>
      </c>
      <c r="H12" s="18" t="n">
        <f>91317623058</f>
        <v>9.1317623058E10</v>
      </c>
    </row>
    <row r="13" spans="1:8" ht="24.9" customHeight="1">
      <c r="A13" s="51"/>
      <c r="B13" s="57"/>
      <c r="C13" s="39"/>
      <c r="D13" s="20" t="s">
        <v>16</v>
      </c>
      <c r="E13" s="21" t="n">
        <v>18089.0</v>
      </c>
      <c r="F13" s="22" t="n">
        <f>1867</f>
        <v>1867.0</v>
      </c>
      <c r="G13" s="21" t="n">
        <v>1.1322649317E12</v>
      </c>
      <c r="H13" s="22" t="n">
        <f>117366620700</f>
        <v>1.173666207E11</v>
      </c>
    </row>
    <row r="14" spans="1:8" ht="24.9" customHeight="1">
      <c r="A14" s="51"/>
      <c r="B14" s="57"/>
      <c r="C14" s="39"/>
      <c r="D14" s="20" t="s">
        <v>17</v>
      </c>
      <c r="E14" s="21" t="n">
        <v>50057.0</v>
      </c>
      <c r="F14" s="22" t="n">
        <f>11627</f>
        <v>11627.0</v>
      </c>
      <c r="G14" s="21" t="n">
        <v>3.072396798243E12</v>
      </c>
      <c r="H14" s="22" t="n">
        <f>715652189243</f>
        <v>7.15652189243E11</v>
      </c>
    </row>
    <row r="15" spans="1:8" ht="24.9" customHeight="1">
      <c r="A15" s="51"/>
      <c r="B15" s="57"/>
      <c r="C15" s="39"/>
      <c r="D15" s="24" t="s">
        <v>18</v>
      </c>
      <c r="E15" s="25" t="n">
        <v>82041.0</v>
      </c>
      <c r="F15" s="26" t="n">
        <f>14953</f>
        <v>14953.0</v>
      </c>
      <c r="G15" s="25" t="n">
        <v>5.072856644001E12</v>
      </c>
      <c r="H15" s="26" t="n">
        <f>924336433001</f>
        <v>9.24336433001E11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339364.0</v>
      </c>
      <c r="F16" s="18" t="n">
        <f>39891</f>
        <v>39891.0</v>
      </c>
      <c r="G16" s="17" t="n">
        <v>2.11931165837E12</v>
      </c>
      <c r="H16" s="18" t="n">
        <f>249009444870</f>
        <v>2.4900944487E11</v>
      </c>
    </row>
    <row r="17" spans="1:8" ht="24.9" customHeight="1">
      <c r="A17" s="51"/>
      <c r="B17" s="57"/>
      <c r="C17" s="39"/>
      <c r="D17" s="20" t="s">
        <v>16</v>
      </c>
      <c r="E17" s="21" t="n">
        <v>256800.0</v>
      </c>
      <c r="F17" s="22" t="n">
        <f>22161</f>
        <v>22161.0</v>
      </c>
      <c r="G17" s="21" t="n">
        <v>1.60602152348E12</v>
      </c>
      <c r="H17" s="22" t="n">
        <f>138579709480</f>
        <v>1.3857970948E11</v>
      </c>
    </row>
    <row r="18" spans="1:8" ht="24.9" customHeight="1">
      <c r="A18" s="51"/>
      <c r="B18" s="57"/>
      <c r="C18" s="39"/>
      <c r="D18" s="20" t="s">
        <v>17</v>
      </c>
      <c r="E18" s="21" t="n">
        <v>423774.0</v>
      </c>
      <c r="F18" s="22" t="n">
        <f>31449</f>
        <v>31449.0</v>
      </c>
      <c r="G18" s="21" t="n">
        <v>2.596798350896E12</v>
      </c>
      <c r="H18" s="22" t="n">
        <f>192763404396</f>
        <v>1.92763404396E11</v>
      </c>
    </row>
    <row r="19" spans="1:8" ht="24.9" customHeight="1">
      <c r="A19" s="51"/>
      <c r="B19" s="57"/>
      <c r="C19" s="39"/>
      <c r="D19" s="24" t="s">
        <v>18</v>
      </c>
      <c r="E19" s="25" t="n">
        <v>1019938.0</v>
      </c>
      <c r="F19" s="26" t="n">
        <f>93501</f>
        <v>93501.0</v>
      </c>
      <c r="G19" s="25" t="n">
        <v>6.322131532746E12</v>
      </c>
      <c r="H19" s="26" t="n">
        <f>580352558746</f>
        <v>5.80352558746E11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517606.0</v>
      </c>
      <c r="F20" s="18" t="str">
        <f>"－"</f>
        <v>－</v>
      </c>
      <c r="G20" s="17" t="n">
        <v>3.2321711695E11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333785.0</v>
      </c>
      <c r="F21" s="22" t="str">
        <f>"－"</f>
        <v>－</v>
      </c>
      <c r="G21" s="21" t="n">
        <v>2.0875415135E11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515748.0</v>
      </c>
      <c r="F22" s="22" t="str">
        <f>"－"</f>
        <v>－</v>
      </c>
      <c r="G22" s="21" t="n">
        <v>3.1584188955E11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1367139.0</v>
      </c>
      <c r="F23" s="26" t="str">
        <f>"－"</f>
        <v>－</v>
      </c>
      <c r="G23" s="25" t="n">
        <v>8.4781315785E11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16263.0</v>
      </c>
      <c r="F24" s="18" t="n">
        <f>87</f>
        <v>87.0</v>
      </c>
      <c r="G24" s="17" t="n">
        <v>6.47391623E11</v>
      </c>
      <c r="H24" s="18" t="n">
        <f>3453543000</f>
        <v>3.453543E9</v>
      </c>
    </row>
    <row r="25" spans="1:8" ht="24.9" customHeight="1">
      <c r="A25" s="51"/>
      <c r="B25" s="57"/>
      <c r="C25" s="39"/>
      <c r="D25" s="20" t="s">
        <v>16</v>
      </c>
      <c r="E25" s="21" t="n">
        <v>22433.0</v>
      </c>
      <c r="F25" s="22" t="n">
        <f>132</f>
        <v>132.0</v>
      </c>
      <c r="G25" s="21" t="n">
        <v>8.927289645E11</v>
      </c>
      <c r="H25" s="22" t="n">
        <f>5258554500</f>
        <v>5.2585545E9</v>
      </c>
    </row>
    <row r="26" spans="1:8" ht="24.9" customHeight="1">
      <c r="A26" s="51"/>
      <c r="B26" s="57"/>
      <c r="C26" s="39"/>
      <c r="D26" s="20" t="s">
        <v>17</v>
      </c>
      <c r="E26" s="21" t="n">
        <v>52474.0</v>
      </c>
      <c r="F26" s="22" t="n">
        <f>10342</f>
        <v>10342.0</v>
      </c>
      <c r="G26" s="21" t="n">
        <v>2.0817091078E12</v>
      </c>
      <c r="H26" s="22" t="n">
        <f>411524537800</f>
        <v>4.115245378E11</v>
      </c>
    </row>
    <row r="27" spans="1:8" ht="24.9" customHeight="1">
      <c r="A27" s="51"/>
      <c r="B27" s="57"/>
      <c r="C27" s="39"/>
      <c r="D27" s="24" t="s">
        <v>18</v>
      </c>
      <c r="E27" s="25" t="n">
        <v>91170.0</v>
      </c>
      <c r="F27" s="26" t="n">
        <f>10561</f>
        <v>10561.0</v>
      </c>
      <c r="G27" s="25" t="n">
        <v>3.6218296953E12</v>
      </c>
      <c r="H27" s="26" t="n">
        <f>420236635300</f>
        <v>4.202366353E11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4563.0</v>
      </c>
      <c r="F28" s="18" t="n">
        <f>296</f>
        <v>296.0</v>
      </c>
      <c r="G28" s="17" t="n">
        <v>1.815567115E10</v>
      </c>
      <c r="H28" s="18" t="n">
        <f>1177458400</f>
        <v>1.1774584E9</v>
      </c>
    </row>
    <row r="29" spans="1:8" ht="24.9" customHeight="1">
      <c r="A29" s="51"/>
      <c r="B29" s="57"/>
      <c r="C29" s="39"/>
      <c r="D29" s="20" t="s">
        <v>16</v>
      </c>
      <c r="E29" s="21" t="n">
        <v>10780.0</v>
      </c>
      <c r="F29" s="22" t="n">
        <f>242</f>
        <v>242.0</v>
      </c>
      <c r="G29" s="21" t="n">
        <v>4.291471865E10</v>
      </c>
      <c r="H29" s="22" t="n">
        <f>963171900</f>
        <v>9.631719E8</v>
      </c>
    </row>
    <row r="30" spans="1:8" ht="24.9" customHeight="1">
      <c r="A30" s="51"/>
      <c r="B30" s="57"/>
      <c r="C30" s="39"/>
      <c r="D30" s="20" t="s">
        <v>17</v>
      </c>
      <c r="E30" s="21" t="n">
        <v>14717.0</v>
      </c>
      <c r="F30" s="22" t="n">
        <f>421</f>
        <v>421.0</v>
      </c>
      <c r="G30" s="21" t="n">
        <v>5.83602412E10</v>
      </c>
      <c r="H30" s="22" t="n">
        <f>1668147950</f>
        <v>1.66814795E9</v>
      </c>
    </row>
    <row r="31" spans="1:8" ht="24.9" customHeight="1">
      <c r="A31" s="51"/>
      <c r="B31" s="57"/>
      <c r="C31" s="39"/>
      <c r="D31" s="24" t="s">
        <v>18</v>
      </c>
      <c r="E31" s="25" t="n">
        <v>30060.0</v>
      </c>
      <c r="F31" s="26" t="n">
        <f>959</f>
        <v>959.0</v>
      </c>
      <c r="G31" s="25" t="n">
        <v>1.19430631E11</v>
      </c>
      <c r="H31" s="26" t="n">
        <f>3808778250</f>
        <v>3.80877825E9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432.0</v>
      </c>
      <c r="F36" s="18" t="n">
        <f>0</f>
        <v>0.0</v>
      </c>
      <c r="G36" s="17" t="n">
        <v>1.550915E9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962.0</v>
      </c>
      <c r="F37" s="22" t="n">
        <f>0</f>
        <v>0.0</v>
      </c>
      <c r="G37" s="21" t="n">
        <v>3.453479E9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1890.0</v>
      </c>
      <c r="F38" s="22" t="n">
        <f>264</f>
        <v>264.0</v>
      </c>
      <c r="G38" s="21" t="n">
        <v>6.75283245E9</v>
      </c>
      <c r="H38" s="22" t="n">
        <f>946963950</f>
        <v>9.4696395E8</v>
      </c>
    </row>
    <row r="39" spans="1:8" ht="24.9" customHeight="1">
      <c r="A39" s="51"/>
      <c r="B39" s="57"/>
      <c r="C39" s="39"/>
      <c r="D39" s="24" t="s">
        <v>18</v>
      </c>
      <c r="E39" s="25" t="n">
        <v>3284.0</v>
      </c>
      <c r="F39" s="26" t="n">
        <f>264</f>
        <v>264.0</v>
      </c>
      <c r="G39" s="25" t="n">
        <v>1.175722645E10</v>
      </c>
      <c r="H39" s="26" t="n">
        <f>946963950</f>
        <v>9.4696395E8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4.0</v>
      </c>
      <c r="F45" s="22" t="n">
        <f>4</f>
        <v>4.0</v>
      </c>
      <c r="G45" s="21" t="n">
        <v>2.95792E7</v>
      </c>
      <c r="H45" s="22" t="n">
        <f>29579200</f>
        <v>2.95792E7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4.0</v>
      </c>
      <c r="F47" s="26" t="n">
        <f>4</f>
        <v>4.0</v>
      </c>
      <c r="G47" s="25" t="n">
        <v>2.95792E7</v>
      </c>
      <c r="H47" s="26" t="n">
        <f>29579200</f>
        <v>2.95792E7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22.0</v>
      </c>
      <c r="F48" s="18" t="n">
        <f>22</f>
        <v>22.0</v>
      </c>
      <c r="G48" s="17" t="n">
        <v>4.104327E7</v>
      </c>
      <c r="H48" s="18" t="n">
        <f>41043270</f>
        <v>4.104327E7</v>
      </c>
    </row>
    <row r="49" spans="1:8" ht="24.9" customHeight="1">
      <c r="A49" s="51"/>
      <c r="B49" s="57"/>
      <c r="C49" s="39"/>
      <c r="D49" s="20" t="s">
        <v>16</v>
      </c>
      <c r="E49" s="21" t="n">
        <v>240.0</v>
      </c>
      <c r="F49" s="22" t="n">
        <f>0</f>
        <v>0.0</v>
      </c>
      <c r="G49" s="21" t="n">
        <v>4.50828E8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2013.0</v>
      </c>
      <c r="F50" s="22" t="n">
        <f>1921</f>
        <v>1921.0</v>
      </c>
      <c r="G50" s="21" t="n">
        <v>3.81333184E9</v>
      </c>
      <c r="H50" s="22" t="n">
        <f>3639859340</f>
        <v>3.63985934E9</v>
      </c>
    </row>
    <row r="51" spans="1:8" ht="24.9" customHeight="1">
      <c r="A51" s="51"/>
      <c r="B51" s="57"/>
      <c r="C51" s="39"/>
      <c r="D51" s="24" t="s">
        <v>18</v>
      </c>
      <c r="E51" s="25" t="n">
        <v>2275.0</v>
      </c>
      <c r="F51" s="26" t="n">
        <f>1943</f>
        <v>1943.0</v>
      </c>
      <c r="G51" s="25" t="n">
        <v>4.30520311E9</v>
      </c>
      <c r="H51" s="26" t="n">
        <f>3680902610</f>
        <v>3.68090261E9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644.0</v>
      </c>
      <c r="F56" s="18" t="n">
        <f>18</f>
        <v>18.0</v>
      </c>
      <c r="G56" s="17" t="n">
        <v>4.33061E8</v>
      </c>
      <c r="H56" s="18" t="n">
        <f>12164000</f>
        <v>1.2164E7</v>
      </c>
    </row>
    <row r="57" spans="1:8" ht="24.9" customHeight="1">
      <c r="A57" s="51"/>
      <c r="B57" s="57"/>
      <c r="C57" s="39"/>
      <c r="D57" s="20" t="s">
        <v>16</v>
      </c>
      <c r="E57" s="21" t="n">
        <v>970.0</v>
      </c>
      <c r="F57" s="22" t="n">
        <f>59</f>
        <v>59.0</v>
      </c>
      <c r="G57" s="21" t="n">
        <v>6.46552E8</v>
      </c>
      <c r="H57" s="22" t="n">
        <f>39395000</f>
        <v>3.9395E7</v>
      </c>
    </row>
    <row r="58" spans="1:8" ht="24.9" customHeight="1">
      <c r="A58" s="51"/>
      <c r="B58" s="57"/>
      <c r="C58" s="39"/>
      <c r="D58" s="20" t="s">
        <v>17</v>
      </c>
      <c r="E58" s="21" t="n">
        <v>1597.0</v>
      </c>
      <c r="F58" s="22" t="n">
        <f>59</f>
        <v>59.0</v>
      </c>
      <c r="G58" s="21" t="n">
        <v>1.053661E9</v>
      </c>
      <c r="H58" s="22" t="n">
        <f>39097000</f>
        <v>3.9097E7</v>
      </c>
    </row>
    <row r="59" spans="1:8" ht="24.9" customHeight="1">
      <c r="A59" s="51"/>
      <c r="B59" s="57"/>
      <c r="C59" s="39"/>
      <c r="D59" s="24" t="s">
        <v>18</v>
      </c>
      <c r="E59" s="25" t="n">
        <v>3211.0</v>
      </c>
      <c r="F59" s="26" t="n">
        <f>136</f>
        <v>136.0</v>
      </c>
      <c r="G59" s="25" t="n">
        <v>2.133274E9</v>
      </c>
      <c r="H59" s="26" t="n">
        <f>90656000</f>
        <v>9.0656E7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331.0</v>
      </c>
      <c r="F60" s="18" t="n">
        <f>16</f>
        <v>16.0</v>
      </c>
      <c r="G60" s="17" t="n">
        <v>1.7482792E9</v>
      </c>
      <c r="H60" s="18" t="n">
        <f>84306000</f>
        <v>8.4306E7</v>
      </c>
    </row>
    <row r="61" spans="1:8" ht="24.9" customHeight="1">
      <c r="A61" s="51"/>
      <c r="B61" s="57"/>
      <c r="C61" s="39"/>
      <c r="D61" s="20" t="s">
        <v>16</v>
      </c>
      <c r="E61" s="21" t="n">
        <v>169.0</v>
      </c>
      <c r="F61" s="22" t="n">
        <f>5</f>
        <v>5.0</v>
      </c>
      <c r="G61" s="21" t="n">
        <v>8.95071E8</v>
      </c>
      <c r="H61" s="22" t="n">
        <f>26488700</f>
        <v>2.64887E7</v>
      </c>
    </row>
    <row r="62" spans="1:8" ht="24.9" customHeight="1">
      <c r="A62" s="51"/>
      <c r="B62" s="57"/>
      <c r="C62" s="39"/>
      <c r="D62" s="20" t="s">
        <v>17</v>
      </c>
      <c r="E62" s="21" t="n">
        <v>52.0</v>
      </c>
      <c r="F62" s="22" t="n">
        <f>1</f>
        <v>1.0</v>
      </c>
      <c r="G62" s="21" t="n">
        <v>2.750125E8</v>
      </c>
      <c r="H62" s="22" t="n">
        <f>5287900</f>
        <v>5287900.0</v>
      </c>
    </row>
    <row r="63" spans="1:8" ht="24.9" customHeight="1">
      <c r="A63" s="51"/>
      <c r="B63" s="57"/>
      <c r="C63" s="39"/>
      <c r="D63" s="24" t="s">
        <v>18</v>
      </c>
      <c r="E63" s="25" t="n">
        <v>552.0</v>
      </c>
      <c r="F63" s="26" t="n">
        <f>22</f>
        <v>22.0</v>
      </c>
      <c r="G63" s="25" t="n">
        <v>2.9183627E9</v>
      </c>
      <c r="H63" s="26" t="n">
        <f>116082600</f>
        <v>1.160826E8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15.0</v>
      </c>
      <c r="F74" s="22" t="n">
        <f>0</f>
        <v>0.0</v>
      </c>
      <c r="G74" s="21" t="n">
        <v>1.6815E7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15.0</v>
      </c>
      <c r="F75" s="26" t="n">
        <f>0</f>
        <v>0.0</v>
      </c>
      <c r="G75" s="25" t="n">
        <v>1.6815E7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1.0</v>
      </c>
      <c r="F76" s="18" t="n">
        <f>0</f>
        <v>0.0</v>
      </c>
      <c r="G76" s="17" t="n">
        <v>340000.0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7.0</v>
      </c>
      <c r="F77" s="22" t="n">
        <f>0</f>
        <v>0.0</v>
      </c>
      <c r="G77" s="21" t="n">
        <v>2764000.0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20.0</v>
      </c>
      <c r="F78" s="22" t="n">
        <f>0</f>
        <v>0.0</v>
      </c>
      <c r="G78" s="21" t="n">
        <v>8011000.0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28.0</v>
      </c>
      <c r="F79" s="26" t="n">
        <f>0</f>
        <v>0.0</v>
      </c>
      <c r="G79" s="25" t="n">
        <v>1.1115E7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31.0</v>
      </c>
      <c r="F92" s="18" t="n">
        <f>0</f>
        <v>0.0</v>
      </c>
      <c r="G92" s="17" t="n">
        <v>5.05999E7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3.0</v>
      </c>
      <c r="F93" s="22" t="n">
        <f>0</f>
        <v>0.0</v>
      </c>
      <c r="G93" s="21" t="n">
        <v>4891600.0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36.0</v>
      </c>
      <c r="F94" s="22" t="n">
        <f>0</f>
        <v>0.0</v>
      </c>
      <c r="G94" s="21" t="n">
        <v>5.86086E7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70.0</v>
      </c>
      <c r="F95" s="26" t="n">
        <f>0</f>
        <v>0.0</v>
      </c>
      <c r="G95" s="25" t="n">
        <v>1.141001E8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100.0</v>
      </c>
      <c r="F97" s="22" t="n">
        <f>0</f>
        <v>0.0</v>
      </c>
      <c r="G97" s="21" t="n">
        <v>2.41705E8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7.0</v>
      </c>
      <c r="F98" s="22" t="n">
        <f>0</f>
        <v>0.0</v>
      </c>
      <c r="G98" s="21" t="n">
        <v>1.68878E7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107.0</v>
      </c>
      <c r="F99" s="26" t="n">
        <f>0</f>
        <v>0.0</v>
      </c>
      <c r="G99" s="25" t="n">
        <v>2.585928E8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50.0</v>
      </c>
      <c r="F102" s="22" t="n">
        <f>0</f>
        <v>0.0</v>
      </c>
      <c r="G102" s="21" t="n">
        <v>9.3025E7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50.0</v>
      </c>
      <c r="F103" s="26" t="n">
        <f>0</f>
        <v>0.0</v>
      </c>
      <c r="G103" s="25" t="n">
        <v>9.3025E7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8685.0</v>
      </c>
      <c r="F108" s="18" t="n">
        <f>63</f>
        <v>63.0</v>
      </c>
      <c r="G108" s="17" t="n">
        <v>1.10551298E12</v>
      </c>
      <c r="H108" s="18" t="n">
        <f>8016150000</f>
        <v>8.01615E9</v>
      </c>
    </row>
    <row r="109" spans="1:8" ht="24.9" customHeight="1">
      <c r="A109" s="51"/>
      <c r="B109" s="57"/>
      <c r="C109" s="39"/>
      <c r="D109" s="20" t="s">
        <v>16</v>
      </c>
      <c r="E109" s="21" t="n">
        <v>10355.0</v>
      </c>
      <c r="F109" s="22" t="n">
        <f>1270</f>
        <v>1270.0</v>
      </c>
      <c r="G109" s="21" t="n">
        <v>1.318958215E12</v>
      </c>
      <c r="H109" s="22" t="n">
        <f>161639365000</f>
        <v>1.61639365E11</v>
      </c>
    </row>
    <row r="110" spans="1:8" ht="24.9" customHeight="1">
      <c r="A110" s="51"/>
      <c r="B110" s="57"/>
      <c r="C110" s="39"/>
      <c r="D110" s="20" t="s">
        <v>17</v>
      </c>
      <c r="E110" s="21" t="n">
        <v>13519.0</v>
      </c>
      <c r="F110" s="22" t="n">
        <f>937</f>
        <v>937.0</v>
      </c>
      <c r="G110" s="21" t="n">
        <v>1.723195655E12</v>
      </c>
      <c r="H110" s="22" t="n">
        <f>119429745000</f>
        <v>1.19429745E11</v>
      </c>
    </row>
    <row r="111" spans="1:8" ht="24.9" customHeight="1">
      <c r="A111" s="51"/>
      <c r="B111" s="57"/>
      <c r="C111" s="39"/>
      <c r="D111" s="24" t="s">
        <v>18</v>
      </c>
      <c r="E111" s="25" t="n">
        <v>32559.0</v>
      </c>
      <c r="F111" s="26" t="n">
        <f>2270</f>
        <v>2270.0</v>
      </c>
      <c r="G111" s="25" t="n">
        <v>4.14766685E12</v>
      </c>
      <c r="H111" s="26" t="n">
        <f>289085260000</f>
        <v>2.8908526E11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590.0</v>
      </c>
      <c r="F113" s="22" t="n">
        <f>0</f>
        <v>0.0</v>
      </c>
      <c r="G113" s="21" t="n">
        <v>7.515931E9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1054.0</v>
      </c>
      <c r="F114" s="22" t="n">
        <f>0</f>
        <v>0.0</v>
      </c>
      <c r="G114" s="21" t="n">
        <v>1.343562E10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1644.0</v>
      </c>
      <c r="F115" s="26" t="n">
        <f>0</f>
        <v>0.0</v>
      </c>
      <c r="G115" s="25" t="n">
        <v>2.0951551E10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450.0</v>
      </c>
      <c r="F118" s="22" t="n">
        <f>0</f>
        <v>0.0</v>
      </c>
      <c r="G118" s="21" t="n">
        <v>4.08526E9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450.0</v>
      </c>
      <c r="F119" s="26" t="n">
        <f>0</f>
        <v>0.0</v>
      </c>
      <c r="G119" s="25" t="n">
        <v>4.08526E9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5082.0</v>
      </c>
      <c r="F120" s="18" t="n">
        <f>0</f>
        <v>0.0</v>
      </c>
      <c r="G120" s="17" t="n">
        <v>1.25653660625E11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555.0</v>
      </c>
      <c r="F121" s="22" t="n">
        <f>0</f>
        <v>0.0</v>
      </c>
      <c r="G121" s="21" t="n">
        <v>1.3698260625E10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888.0</v>
      </c>
      <c r="F122" s="22" t="n">
        <f>0</f>
        <v>0.0</v>
      </c>
      <c r="G122" s="21" t="n">
        <v>2.1936430625E10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6525.0</v>
      </c>
      <c r="F123" s="26" t="n">
        <f>0</f>
        <v>0.0</v>
      </c>
      <c r="G123" s="25" t="n">
        <v>1.61288351875E11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5148.0</v>
      </c>
      <c r="F124" s="18" t="n">
        <f>0</f>
        <v>0.0</v>
      </c>
      <c r="G124" s="17" t="n">
        <v>1.11827065E11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2492.0</v>
      </c>
      <c r="F125" s="22" t="n">
        <f>0</f>
        <v>0.0</v>
      </c>
      <c r="G125" s="21" t="n">
        <v>5.3937365E10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1843.0</v>
      </c>
      <c r="F126" s="22" t="n">
        <f>0</f>
        <v>0.0</v>
      </c>
      <c r="G126" s="21" t="n">
        <v>3.9921103E10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9483.0</v>
      </c>
      <c r="F127" s="26" t="n">
        <f>0</f>
        <v>0.0</v>
      </c>
      <c r="G127" s="25" t="n">
        <v>2.05685533E11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89.0</v>
      </c>
      <c r="F128" s="18" t="n">
        <f>0</f>
        <v>0.0</v>
      </c>
      <c r="G128" s="17" t="n">
        <v>1.926635E8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170.0</v>
      </c>
      <c r="F129" s="22" t="n">
        <f>0</f>
        <v>0.0</v>
      </c>
      <c r="G129" s="21" t="n">
        <v>3.667947E8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143.0</v>
      </c>
      <c r="F130" s="22" t="n">
        <f>0</f>
        <v>0.0</v>
      </c>
      <c r="G130" s="21" t="n">
        <v>3.080045E8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402.0</v>
      </c>
      <c r="F131" s="26" t="n">
        <f>0</f>
        <v>0.0</v>
      </c>
      <c r="G131" s="25" t="n">
        <v>8.674627E8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3189.0</v>
      </c>
      <c r="F132" s="18" t="n">
        <f>0</f>
        <v>0.0</v>
      </c>
      <c r="G132" s="17" t="n">
        <v>6.92860575E9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1757.0</v>
      </c>
      <c r="F133" s="22" t="n">
        <f>0</f>
        <v>0.0</v>
      </c>
      <c r="G133" s="21" t="n">
        <v>3.80671425E9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1540.0</v>
      </c>
      <c r="F134" s="22" t="n">
        <f>0</f>
        <v>0.0</v>
      </c>
      <c r="G134" s="21" t="n">
        <v>3.34064545E9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6486.0</v>
      </c>
      <c r="F135" s="26" t="n">
        <f>0</f>
        <v>0.0</v>
      </c>
      <c r="G135" s="25" t="n">
        <v>1.407596545E10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29.0</v>
      </c>
      <c r="F136" s="18" t="n">
        <f>0</f>
        <v>0.0</v>
      </c>
      <c r="G136" s="17" t="n">
        <v>6.22555E7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20.0</v>
      </c>
      <c r="F137" s="22" t="n">
        <f>0</f>
        <v>0.0</v>
      </c>
      <c r="G137" s="21" t="n">
        <v>4.28982E7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63.0</v>
      </c>
      <c r="F138" s="22" t="n">
        <f>0</f>
        <v>0.0</v>
      </c>
      <c r="G138" s="21" t="n">
        <v>1.351793E8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112.0</v>
      </c>
      <c r="F139" s="26" t="n">
        <f>0</f>
        <v>0.0</v>
      </c>
      <c r="G139" s="25" t="n">
        <v>2.40333E8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795.0</v>
      </c>
      <c r="F144" s="18" t="n">
        <f>0</f>
        <v>0.0</v>
      </c>
      <c r="G144" s="17" t="n">
        <v>3.3019925E9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519.0</v>
      </c>
      <c r="F145" s="22" t="n">
        <f>0</f>
        <v>0.0</v>
      </c>
      <c r="G145" s="21" t="n">
        <v>2.1569095E9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836.0</v>
      </c>
      <c r="F146" s="22" t="n">
        <f>0</f>
        <v>0.0</v>
      </c>
      <c r="G146" s="21" t="n">
        <v>3.4638025E9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2150.0</v>
      </c>
      <c r="F147" s="26" t="n">
        <f>0</f>
        <v>0.0</v>
      </c>
      <c r="G147" s="25" t="n">
        <v>8.9227045E9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93.0</v>
      </c>
      <c r="F148" s="18" t="n">
        <f>0</f>
        <v>0.0</v>
      </c>
      <c r="G148" s="17" t="n">
        <v>7.92133E7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60.0</v>
      </c>
      <c r="F149" s="22" t="n">
        <f>0</f>
        <v>0.0</v>
      </c>
      <c r="G149" s="21" t="n">
        <v>5.12133E7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221.0</v>
      </c>
      <c r="F150" s="22" t="n">
        <f>0</f>
        <v>0.0</v>
      </c>
      <c r="G150" s="21" t="n">
        <v>1.872994E8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374.0</v>
      </c>
      <c r="F151" s="26" t="n">
        <f>0</f>
        <v>0.0</v>
      </c>
      <c r="G151" s="25" t="n">
        <v>3.17726E8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496.0</v>
      </c>
      <c r="F152" s="18" t="n">
        <f>0</f>
        <v>0.0</v>
      </c>
      <c r="G152" s="17" t="n">
        <v>4.116916E8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182.0</v>
      </c>
      <c r="F153" s="22" t="n">
        <f>0</f>
        <v>0.0</v>
      </c>
      <c r="G153" s="21" t="n">
        <v>1.511759E8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123.0</v>
      </c>
      <c r="F154" s="22" t="n">
        <f>0</f>
        <v>0.0</v>
      </c>
      <c r="G154" s="21" t="n">
        <v>1.0174355E8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801.0</v>
      </c>
      <c r="F155" s="26" t="n">
        <f>0</f>
        <v>0.0</v>
      </c>
      <c r="G155" s="25" t="n">
        <v>6.6461105E8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270.0</v>
      </c>
      <c r="F156" s="18" t="n">
        <f>0</f>
        <v>0.0</v>
      </c>
      <c r="G156" s="17" t="n">
        <v>2.252471E8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114.0</v>
      </c>
      <c r="F157" s="22" t="n">
        <f>0</f>
        <v>0.0</v>
      </c>
      <c r="G157" s="21" t="n">
        <v>9.46686E7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196.0</v>
      </c>
      <c r="F158" s="22" t="n">
        <f>0</f>
        <v>0.0</v>
      </c>
      <c r="G158" s="21" t="n">
        <v>1.621412E8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580.0</v>
      </c>
      <c r="F159" s="26" t="n">
        <f>0</f>
        <v>0.0</v>
      </c>
      <c r="G159" s="25" t="n">
        <v>4.820569E8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97.0</v>
      </c>
      <c r="F168" s="18" t="n">
        <f>0</f>
        <v>0.0</v>
      </c>
      <c r="G168" s="17" t="n">
        <v>2.02569E8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317.0</v>
      </c>
      <c r="F169" s="22" t="n">
        <f>0</f>
        <v>0.0</v>
      </c>
      <c r="G169" s="21" t="n">
        <v>6.522195E8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391.0</v>
      </c>
      <c r="F170" s="22" t="n">
        <f>0</f>
        <v>0.0</v>
      </c>
      <c r="G170" s="21" t="n">
        <v>8.046055E8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805.0</v>
      </c>
      <c r="F171" s="26" t="n">
        <f>0</f>
        <v>0.0</v>
      </c>
      <c r="G171" s="25" t="n">
        <v>1.659394E9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1.0</v>
      </c>
      <c r="F178" s="22" t="n">
        <f>0</f>
        <v>0.0</v>
      </c>
      <c r="G178" s="21" t="n">
        <v>1639500.0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1.0</v>
      </c>
      <c r="F179" s="26" t="n">
        <f>0</f>
        <v>0.0</v>
      </c>
      <c r="G179" s="25" t="n">
        <v>1639500.0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669.0</v>
      </c>
      <c r="F204" s="18" t="n">
        <f>0</f>
        <v>0.0</v>
      </c>
      <c r="G204" s="17" t="n">
        <v>2.5075465E9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398.0</v>
      </c>
      <c r="F205" s="22" t="n">
        <f>0</f>
        <v>0.0</v>
      </c>
      <c r="G205" s="21" t="n">
        <v>1.5053475E9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966.0</v>
      </c>
      <c r="F206" s="22" t="n">
        <f>0</f>
        <v>0.0</v>
      </c>
      <c r="G206" s="21" t="n">
        <v>3.638982E9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2033.0</v>
      </c>
      <c r="F207" s="26" t="n">
        <f>0</f>
        <v>0.0</v>
      </c>
      <c r="G207" s="25" t="n">
        <v>7.651876E9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1.0</v>
      </c>
      <c r="F214" s="22" t="n">
        <f>1</f>
        <v>1.0</v>
      </c>
      <c r="G214" s="21" t="n">
        <v>1502880.0</v>
      </c>
      <c r="H214" s="22" t="n">
        <f>1502880</f>
        <v>1502880.0</v>
      </c>
    </row>
    <row r="215" spans="1:8" ht="24.9" customHeight="1">
      <c r="A215" s="57"/>
      <c r="B215" s="59"/>
      <c r="C215" s="39"/>
      <c r="D215" s="24" t="s">
        <v>18</v>
      </c>
      <c r="E215" s="25" t="n">
        <v>1.0</v>
      </c>
      <c r="F215" s="26" t="n">
        <f>1</f>
        <v>1.0</v>
      </c>
      <c r="G215" s="25" t="n">
        <v>1502880.0</v>
      </c>
      <c r="H215" s="26" t="n">
        <f>1502880</f>
        <v>1502880.0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46232.0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46232.0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3809</f>
        <v>3809.0</v>
      </c>
      <c r="E12" s="35" t="n">
        <f>2283</f>
        <v>2283.0</v>
      </c>
      <c r="F12" s="17" t="n">
        <f>1927</f>
        <v>1927.0</v>
      </c>
      <c r="G12" s="35" t="n">
        <f>580</f>
        <v>580.0</v>
      </c>
      <c r="H12" s="17" t="n">
        <f>5736</f>
        <v>5736.0</v>
      </c>
      <c r="I12" s="35" t="n">
        <f>2863</f>
        <v>2863.0</v>
      </c>
      <c r="J12" s="17" t="n">
        <f>5665804630</f>
        <v>5.66580463E9</v>
      </c>
      <c r="K12" s="35" t="n">
        <f>4885333630</f>
        <v>4.88533363E9</v>
      </c>
      <c r="L12" s="17" t="n">
        <f>1050001890</f>
        <v>1.05000189E9</v>
      </c>
      <c r="M12" s="35" t="n">
        <f>481613890</f>
        <v>4.8161389E8</v>
      </c>
      <c r="N12" s="17" t="n">
        <f>6715806520</f>
        <v>6.71580652E9</v>
      </c>
      <c r="O12" s="35" t="n">
        <f>5366947520</f>
        <v>5.36694752E9</v>
      </c>
    </row>
    <row r="13" spans="1:15" ht="24.9" customHeight="1">
      <c r="A13" s="38"/>
      <c r="B13" s="62"/>
      <c r="C13" s="20" t="s">
        <v>16</v>
      </c>
      <c r="D13" s="21" t="n">
        <f>3027</f>
        <v>3027.0</v>
      </c>
      <c r="E13" s="36" t="n">
        <f>1031</f>
        <v>1031.0</v>
      </c>
      <c r="F13" s="21" t="n">
        <f>4603</f>
        <v>4603.0</v>
      </c>
      <c r="G13" s="36" t="n">
        <f>2491</f>
        <v>2491.0</v>
      </c>
      <c r="H13" s="21" t="n">
        <f>7630</f>
        <v>7630.0</v>
      </c>
      <c r="I13" s="36" t="n">
        <f>3522</f>
        <v>3522.0</v>
      </c>
      <c r="J13" s="21" t="n">
        <f>2601608620</f>
        <v>2.60160862E9</v>
      </c>
      <c r="K13" s="36" t="n">
        <f>1159620620</f>
        <v>1.15962062E9</v>
      </c>
      <c r="L13" s="21" t="n">
        <f>2194473650</f>
        <v>2.19447365E9</v>
      </c>
      <c r="M13" s="36" t="n">
        <f>1484507650</f>
        <v>1.48450765E9</v>
      </c>
      <c r="N13" s="21" t="n">
        <f>4796082270</f>
        <v>4.79608227E9</v>
      </c>
      <c r="O13" s="36" t="n">
        <f>2644128270</f>
        <v>2.64412827E9</v>
      </c>
    </row>
    <row r="14" spans="1:15" ht="24.9" customHeight="1">
      <c r="A14" s="38"/>
      <c r="B14" s="62"/>
      <c r="C14" s="20" t="s">
        <v>17</v>
      </c>
      <c r="D14" s="21" t="n">
        <f>25089</f>
        <v>25089.0</v>
      </c>
      <c r="E14" s="36" t="n">
        <f>12260</f>
        <v>12260.0</v>
      </c>
      <c r="F14" s="21" t="n">
        <f>19780</f>
        <v>19780.0</v>
      </c>
      <c r="G14" s="36" t="n">
        <f>12769</f>
        <v>12769.0</v>
      </c>
      <c r="H14" s="21" t="n">
        <f>44869</f>
        <v>44869.0</v>
      </c>
      <c r="I14" s="36" t="n">
        <f>25029</f>
        <v>25029.0</v>
      </c>
      <c r="J14" s="21" t="n">
        <f>40360037585</f>
        <v>4.0360037585E10</v>
      </c>
      <c r="K14" s="36" t="n">
        <f>27265186585</f>
        <v>2.7265186585E10</v>
      </c>
      <c r="L14" s="21" t="n">
        <f>16807142220</f>
        <v>1.680714222E10</v>
      </c>
      <c r="M14" s="36" t="n">
        <f>13806224220</f>
        <v>1.380622422E10</v>
      </c>
      <c r="N14" s="21" t="n">
        <f>57167179805</f>
        <v>5.7167179805E10</v>
      </c>
      <c r="O14" s="36" t="n">
        <f>41071410805</f>
        <v>4.1071410805E10</v>
      </c>
    </row>
    <row r="15" spans="1:15" ht="24.9" customHeight="1">
      <c r="A15" s="38"/>
      <c r="B15" s="62"/>
      <c r="C15" s="24" t="s">
        <v>18</v>
      </c>
      <c r="D15" s="25" t="n">
        <f>31925</f>
        <v>31925.0</v>
      </c>
      <c r="E15" s="37" t="n">
        <f>15574</f>
        <v>15574.0</v>
      </c>
      <c r="F15" s="25" t="n">
        <f>26310</f>
        <v>26310.0</v>
      </c>
      <c r="G15" s="37" t="n">
        <f>15840</f>
        <v>15840.0</v>
      </c>
      <c r="H15" s="25" t="n">
        <f>58235</f>
        <v>58235.0</v>
      </c>
      <c r="I15" s="37" t="n">
        <f>31414</f>
        <v>31414.0</v>
      </c>
      <c r="J15" s="25" t="n">
        <f>48627450835</f>
        <v>4.8627450835E10</v>
      </c>
      <c r="K15" s="37" t="n">
        <f>33310140835</f>
        <v>3.3310140835E10</v>
      </c>
      <c r="L15" s="25" t="n">
        <f>20051617760</f>
        <v>2.005161776E10</v>
      </c>
      <c r="M15" s="37" t="n">
        <f>15772345760</f>
        <v>1.577234576E10</v>
      </c>
      <c r="N15" s="25" t="n">
        <f>68679068595</f>
        <v>6.8679068595E10</v>
      </c>
      <c r="O15" s="37" t="n">
        <f>49082486595</f>
        <v>4.9082486595E10</v>
      </c>
    </row>
    <row r="16" spans="1:15" ht="24.9" customHeight="1">
      <c r="A16" s="38"/>
      <c r="B16" s="61" t="s">
        <v>105</v>
      </c>
      <c r="C16" s="16" t="s">
        <v>15</v>
      </c>
      <c r="D16" s="17" t="n">
        <f>4165</f>
        <v>4165.0</v>
      </c>
      <c r="E16" s="35" t="n">
        <f>100</f>
        <v>100.0</v>
      </c>
      <c r="F16" s="17" t="n">
        <f>10076</f>
        <v>10076.0</v>
      </c>
      <c r="G16" s="35" t="n">
        <f>510</f>
        <v>510.0</v>
      </c>
      <c r="H16" s="17" t="n">
        <f>14241</f>
        <v>14241.0</v>
      </c>
      <c r="I16" s="35" t="n">
        <f>610</f>
        <v>610.0</v>
      </c>
      <c r="J16" s="17" t="n">
        <f>454554620</f>
        <v>4.5455462E8</v>
      </c>
      <c r="K16" s="35" t="n">
        <f>6857620</f>
        <v>6857620.0</v>
      </c>
      <c r="L16" s="17" t="n">
        <f>514264670</f>
        <v>5.1426467E8</v>
      </c>
      <c r="M16" s="35" t="n">
        <f>7792470</f>
        <v>7792470.0</v>
      </c>
      <c r="N16" s="17" t="n">
        <f>968819290</f>
        <v>9.6881929E8</v>
      </c>
      <c r="O16" s="35" t="n">
        <f>14650090</f>
        <v>1.465009E7</v>
      </c>
    </row>
    <row r="17" spans="1:15" ht="24.9" customHeight="1">
      <c r="A17" s="38"/>
      <c r="B17" s="62"/>
      <c r="C17" s="20" t="s">
        <v>16</v>
      </c>
      <c r="D17" s="21" t="n">
        <f>5176</f>
        <v>5176.0</v>
      </c>
      <c r="E17" s="36" t="n">
        <f>270</f>
        <v>270.0</v>
      </c>
      <c r="F17" s="21" t="n">
        <f>9243</f>
        <v>9243.0</v>
      </c>
      <c r="G17" s="36" t="n">
        <f>540</f>
        <v>540.0</v>
      </c>
      <c r="H17" s="21" t="n">
        <f>14419</f>
        <v>14419.0</v>
      </c>
      <c r="I17" s="36" t="n">
        <f>810</f>
        <v>810.0</v>
      </c>
      <c r="J17" s="21" t="n">
        <f>319066930</f>
        <v>3.1906693E8</v>
      </c>
      <c r="K17" s="36" t="n">
        <f>23861630</f>
        <v>2.386163E7</v>
      </c>
      <c r="L17" s="21" t="n">
        <f>255200940</f>
        <v>2.5520094E8</v>
      </c>
      <c r="M17" s="36" t="n">
        <f>5747540</f>
        <v>5747540.0</v>
      </c>
      <c r="N17" s="21" t="n">
        <f>574267870</f>
        <v>5.7426787E8</v>
      </c>
      <c r="O17" s="36" t="n">
        <f>29609170</f>
        <v>2.960917E7</v>
      </c>
    </row>
    <row r="18" spans="1:15" ht="24.9" customHeight="1">
      <c r="A18" s="38"/>
      <c r="B18" s="62"/>
      <c r="C18" s="20" t="s">
        <v>17</v>
      </c>
      <c r="D18" s="21" t="n">
        <f>8559</f>
        <v>8559.0</v>
      </c>
      <c r="E18" s="36" t="n">
        <f>140</f>
        <v>140.0</v>
      </c>
      <c r="F18" s="21" t="n">
        <f>19601</f>
        <v>19601.0</v>
      </c>
      <c r="G18" s="36" t="n">
        <f>1490</f>
        <v>1490.0</v>
      </c>
      <c r="H18" s="21" t="n">
        <f>28160</f>
        <v>28160.0</v>
      </c>
      <c r="I18" s="36" t="n">
        <f>1630</f>
        <v>1630.0</v>
      </c>
      <c r="J18" s="21" t="n">
        <f>943857280</f>
        <v>9.4385728E8</v>
      </c>
      <c r="K18" s="36" t="n">
        <f>11877480</f>
        <v>1.187748E7</v>
      </c>
      <c r="L18" s="21" t="n">
        <f>612721750</f>
        <v>6.1272175E8</v>
      </c>
      <c r="M18" s="36" t="n">
        <f>23070150</f>
        <v>2.307015E7</v>
      </c>
      <c r="N18" s="21" t="n">
        <f>1556579030</f>
        <v>1.55657903E9</v>
      </c>
      <c r="O18" s="36" t="n">
        <f>34947630</f>
        <v>3.494763E7</v>
      </c>
    </row>
    <row r="19" spans="1:15" ht="24.9" customHeight="1">
      <c r="A19" s="38"/>
      <c r="B19" s="62"/>
      <c r="C19" s="24" t="s">
        <v>18</v>
      </c>
      <c r="D19" s="25" t="n">
        <f>17900</f>
        <v>17900.0</v>
      </c>
      <c r="E19" s="37" t="n">
        <f>510</f>
        <v>510.0</v>
      </c>
      <c r="F19" s="25" t="n">
        <f>38920</f>
        <v>38920.0</v>
      </c>
      <c r="G19" s="37" t="n">
        <f>2540</f>
        <v>2540.0</v>
      </c>
      <c r="H19" s="25" t="n">
        <f>56820</f>
        <v>56820.0</v>
      </c>
      <c r="I19" s="37" t="n">
        <f>3050</f>
        <v>3050.0</v>
      </c>
      <c r="J19" s="25" t="n">
        <f>1717478830</f>
        <v>1.71747883E9</v>
      </c>
      <c r="K19" s="37" t="n">
        <f>42596730</f>
        <v>4.259673E7</v>
      </c>
      <c r="L19" s="25" t="n">
        <f>1382187360</f>
        <v>1.38218736E9</v>
      </c>
      <c r="M19" s="37" t="n">
        <f>36610160</f>
        <v>3.661016E7</v>
      </c>
      <c r="N19" s="25" t="n">
        <f>3099666190</f>
        <v>3.09966619E9</v>
      </c>
      <c r="O19" s="37" t="n">
        <f>79206890</f>
        <v>7.920689E7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15</f>
        <v>15.0</v>
      </c>
      <c r="E21" s="36" t="n">
        <f>0</f>
        <v>0.0</v>
      </c>
      <c r="F21" s="21" t="n">
        <f>500</f>
        <v>500.0</v>
      </c>
      <c r="G21" s="36" t="n">
        <f>500</f>
        <v>500.0</v>
      </c>
      <c r="H21" s="21" t="n">
        <f>515</f>
        <v>515.0</v>
      </c>
      <c r="I21" s="36" t="n">
        <f>500</f>
        <v>500.0</v>
      </c>
      <c r="J21" s="21" t="n">
        <f>10425000</f>
        <v>1.0425E7</v>
      </c>
      <c r="K21" s="36" t="n">
        <f>0</f>
        <v>0.0</v>
      </c>
      <c r="L21" s="21" t="n">
        <f>55250000</f>
        <v>5.525E7</v>
      </c>
      <c r="M21" s="36" t="n">
        <f>55250000</f>
        <v>5.525E7</v>
      </c>
      <c r="N21" s="21" t="n">
        <f>65675000</f>
        <v>6.5675E7</v>
      </c>
      <c r="O21" s="36" t="n">
        <f>55250000</f>
        <v>5.525E7</v>
      </c>
    </row>
    <row r="22" spans="1:15" ht="24.9" customHeight="1">
      <c r="A22" s="38"/>
      <c r="B22" s="62"/>
      <c r="C22" s="20" t="s">
        <v>17</v>
      </c>
      <c r="D22" s="21" t="n">
        <f>75</f>
        <v>75.0</v>
      </c>
      <c r="E22" s="36" t="n">
        <f>0</f>
        <v>0.0</v>
      </c>
      <c r="F22" s="21" t="n">
        <f>45</f>
        <v>45.0</v>
      </c>
      <c r="G22" s="36" t="n">
        <f>0</f>
        <v>0.0</v>
      </c>
      <c r="H22" s="21" t="n">
        <f>120</f>
        <v>120.0</v>
      </c>
      <c r="I22" s="36" t="n">
        <f>0</f>
        <v>0.0</v>
      </c>
      <c r="J22" s="21" t="n">
        <f>44985000</f>
        <v>4.4985E7</v>
      </c>
      <c r="K22" s="36" t="n">
        <f>0</f>
        <v>0.0</v>
      </c>
      <c r="L22" s="21" t="n">
        <f>6750000</f>
        <v>6750000.0</v>
      </c>
      <c r="M22" s="36" t="n">
        <f>0</f>
        <v>0.0</v>
      </c>
      <c r="N22" s="21" t="n">
        <f>51735000</f>
        <v>5.1735E7</v>
      </c>
      <c r="O22" s="36" t="n">
        <f>0</f>
        <v>0.0</v>
      </c>
    </row>
    <row r="23" spans="1:15" ht="24.9" customHeight="1">
      <c r="A23" s="38"/>
      <c r="B23" s="62"/>
      <c r="C23" s="24" t="s">
        <v>18</v>
      </c>
      <c r="D23" s="25" t="n">
        <f>90</f>
        <v>90.0</v>
      </c>
      <c r="E23" s="37" t="n">
        <f>0</f>
        <v>0.0</v>
      </c>
      <c r="F23" s="25" t="n">
        <f>545</f>
        <v>545.0</v>
      </c>
      <c r="G23" s="37" t="n">
        <f>500</f>
        <v>500.0</v>
      </c>
      <c r="H23" s="25" t="n">
        <f>635</f>
        <v>635.0</v>
      </c>
      <c r="I23" s="37" t="n">
        <f>500</f>
        <v>500.0</v>
      </c>
      <c r="J23" s="25" t="n">
        <f>55410000</f>
        <v>5.541E7</v>
      </c>
      <c r="K23" s="37" t="n">
        <f>0</f>
        <v>0.0</v>
      </c>
      <c r="L23" s="25" t="n">
        <f>62000000</f>
        <v>6.2E7</v>
      </c>
      <c r="M23" s="37" t="n">
        <f>55250000</f>
        <v>5.525E7</v>
      </c>
      <c r="N23" s="25" t="n">
        <f>117410000</f>
        <v>1.1741E8</v>
      </c>
      <c r="O23" s="37" t="n">
        <f>55250000</f>
        <v>5.525E7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36</f>
        <v>36.0</v>
      </c>
      <c r="E37" s="22" t="n">
        <f>24</f>
        <v>24.0</v>
      </c>
      <c r="F37" s="21" t="n">
        <f>135</f>
        <v>135.0</v>
      </c>
      <c r="G37" s="22" t="n">
        <f>0</f>
        <v>0.0</v>
      </c>
      <c r="H37" s="21" t="n">
        <f>171</f>
        <v>171.0</v>
      </c>
      <c r="I37" s="22" t="n">
        <f>24</f>
        <v>24.0</v>
      </c>
      <c r="J37" s="21" t="n">
        <f>16460000</f>
        <v>1.646E7</v>
      </c>
      <c r="K37" s="22" t="n">
        <f>11880000</f>
        <v>1.188E7</v>
      </c>
      <c r="L37" s="21" t="n">
        <f>7380000</f>
        <v>7380000.0</v>
      </c>
      <c r="M37" s="22" t="n">
        <f>0</f>
        <v>0.0</v>
      </c>
      <c r="N37" s="21" t="n">
        <f>23840000</f>
        <v>2.384E7</v>
      </c>
      <c r="O37" s="22" t="n">
        <f>11880000</f>
        <v>1.188E7</v>
      </c>
    </row>
    <row r="38" spans="1:15" ht="24.9" customHeight="1">
      <c r="A38" s="38"/>
      <c r="B38" s="62"/>
      <c r="C38" s="20" t="s">
        <v>17</v>
      </c>
      <c r="D38" s="21" t="n">
        <f>30</f>
        <v>30.0</v>
      </c>
      <c r="E38" s="36" t="n">
        <f>0</f>
        <v>0.0</v>
      </c>
      <c r="F38" s="21" t="n">
        <f>110</f>
        <v>110.0</v>
      </c>
      <c r="G38" s="36" t="n">
        <f>50</f>
        <v>50.0</v>
      </c>
      <c r="H38" s="21" t="n">
        <f>140</f>
        <v>140.0</v>
      </c>
      <c r="I38" s="36" t="n">
        <f>50</f>
        <v>50.0</v>
      </c>
      <c r="J38" s="21" t="n">
        <f>1730000</f>
        <v>1730000.0</v>
      </c>
      <c r="K38" s="36" t="n">
        <f>0</f>
        <v>0.0</v>
      </c>
      <c r="L38" s="21" t="n">
        <f>9445000</f>
        <v>9445000.0</v>
      </c>
      <c r="M38" s="36" t="n">
        <f>4625000</f>
        <v>4625000.0</v>
      </c>
      <c r="N38" s="21" t="n">
        <f>11175000</f>
        <v>1.1175E7</v>
      </c>
      <c r="O38" s="36" t="n">
        <f>4625000</f>
        <v>4625000.0</v>
      </c>
    </row>
    <row r="39" spans="1:15" ht="24.9" customHeight="1">
      <c r="A39" s="38"/>
      <c r="B39" s="62"/>
      <c r="C39" s="24" t="s">
        <v>18</v>
      </c>
      <c r="D39" s="25" t="n">
        <f>66</f>
        <v>66.0</v>
      </c>
      <c r="E39" s="37" t="n">
        <f>24</f>
        <v>24.0</v>
      </c>
      <c r="F39" s="25" t="n">
        <f>245</f>
        <v>245.0</v>
      </c>
      <c r="G39" s="37" t="n">
        <f>50</f>
        <v>50.0</v>
      </c>
      <c r="H39" s="25" t="n">
        <f>311</f>
        <v>311.0</v>
      </c>
      <c r="I39" s="37" t="n">
        <f>74</f>
        <v>74.0</v>
      </c>
      <c r="J39" s="25" t="n">
        <f>18190000</f>
        <v>1.819E7</v>
      </c>
      <c r="K39" s="37" t="n">
        <f>11880000</f>
        <v>1.188E7</v>
      </c>
      <c r="L39" s="25" t="n">
        <f>16825000</f>
        <v>1.6825E7</v>
      </c>
      <c r="M39" s="37" t="n">
        <f>4625000</f>
        <v>4625000.0</v>
      </c>
      <c r="N39" s="25" t="n">
        <f>35015000</f>
        <v>3.5015E7</v>
      </c>
      <c r="O39" s="37" t="n">
        <f>16505000</f>
        <v>1.6505E7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5374</f>
        <v>5374.0</v>
      </c>
      <c r="E41" s="36" t="n">
        <f>0</f>
        <v>0.0</v>
      </c>
      <c r="F41" s="21" t="n">
        <f>855</f>
        <v>855.0</v>
      </c>
      <c r="G41" s="36" t="n">
        <f>0</f>
        <v>0.0</v>
      </c>
      <c r="H41" s="21" t="n">
        <f>6229</f>
        <v>6229.0</v>
      </c>
      <c r="I41" s="36" t="n">
        <f>0</f>
        <v>0.0</v>
      </c>
      <c r="J41" s="21" t="n">
        <f>24511138</f>
        <v>2.4511138E7</v>
      </c>
      <c r="K41" s="36" t="n">
        <f>0</f>
        <v>0.0</v>
      </c>
      <c r="L41" s="21" t="n">
        <f>4978814</f>
        <v>4978814.0</v>
      </c>
      <c r="M41" s="36" t="n">
        <f>0</f>
        <v>0.0</v>
      </c>
      <c r="N41" s="21" t="n">
        <f>29489952</f>
        <v>2.9489952E7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37488</f>
        <v>37488.0</v>
      </c>
      <c r="E42" s="36" t="n">
        <f>9358</f>
        <v>9358.0</v>
      </c>
      <c r="F42" s="21" t="n">
        <f>11468</f>
        <v>11468.0</v>
      </c>
      <c r="G42" s="36" t="n">
        <f>1000</f>
        <v>1000.0</v>
      </c>
      <c r="H42" s="21" t="n">
        <f>48956</f>
        <v>48956.0</v>
      </c>
      <c r="I42" s="36" t="n">
        <f>10358</f>
        <v>10358.0</v>
      </c>
      <c r="J42" s="21" t="n">
        <f>270717451</f>
        <v>2.70717451E8</v>
      </c>
      <c r="K42" s="36" t="n">
        <f>215871680</f>
        <v>2.1587168E8</v>
      </c>
      <c r="L42" s="21" t="n">
        <f>50749700</f>
        <v>5.07497E7</v>
      </c>
      <c r="M42" s="36" t="n">
        <f>34000000</f>
        <v>3.4E7</v>
      </c>
      <c r="N42" s="21" t="n">
        <f>321467151</f>
        <v>3.21467151E8</v>
      </c>
      <c r="O42" s="36" t="n">
        <f>249871680</f>
        <v>2.4987168E8</v>
      </c>
    </row>
    <row r="43" spans="1:15" ht="24.9" customHeight="1">
      <c r="A43" s="38"/>
      <c r="B43" s="62"/>
      <c r="C43" s="24" t="s">
        <v>18</v>
      </c>
      <c r="D43" s="25" t="n">
        <f>42862</f>
        <v>42862.0</v>
      </c>
      <c r="E43" s="37" t="n">
        <f>9358</f>
        <v>9358.0</v>
      </c>
      <c r="F43" s="25" t="n">
        <f>12323</f>
        <v>12323.0</v>
      </c>
      <c r="G43" s="37" t="n">
        <f>1000</f>
        <v>1000.0</v>
      </c>
      <c r="H43" s="25" t="n">
        <f>55185</f>
        <v>55185.0</v>
      </c>
      <c r="I43" s="37" t="n">
        <f>10358</f>
        <v>10358.0</v>
      </c>
      <c r="J43" s="25" t="n">
        <f>295228589</f>
        <v>2.95228589E8</v>
      </c>
      <c r="K43" s="37" t="n">
        <f>215871680</f>
        <v>2.1587168E8</v>
      </c>
      <c r="L43" s="25" t="n">
        <f>55728514</f>
        <v>5.5728514E7</v>
      </c>
      <c r="M43" s="37" t="n">
        <f>34000000</f>
        <v>3.4E7</v>
      </c>
      <c r="N43" s="25" t="n">
        <f>350957103</f>
        <v>3.50957103E8</v>
      </c>
      <c r="O43" s="37" t="n">
        <f>249871680</f>
        <v>2.4987168E8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