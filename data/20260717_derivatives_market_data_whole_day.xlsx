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<sst xmlns="http://schemas.openxmlformats.org/spreadsheetml/2006/main" count="528" uniqueCount="129">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</sst>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DATE(2026,07,17)</f>
        <v>46220.0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DATE(2026,07,17)</f>
        <v>46220.0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857955.0</f>
        <v>857955.0</v>
      </c>
      <c r="E12" s="18" t="n">
        <f>46229.0</f>
        <v>46229.0</v>
      </c>
      <c r="F12" s="19" t="n">
        <f>1.0</f>
        <v>1.0</v>
      </c>
      <c r="G12" s="17" t="n">
        <f>5501890718077.0</f>
        <v>5.501890718077E12</v>
      </c>
      <c r="H12" s="18" t="n">
        <f>440382391352.0</f>
        <v>4.40382391352E11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652869.0</f>
        <v>652869.0</v>
      </c>
      <c r="E13" s="22" t="n">
        <f>30451.0</f>
        <v>30451.0</v>
      </c>
      <c r="F13" s="23" t="n">
        <f>1.0</f>
        <v>1.0</v>
      </c>
      <c r="G13" s="21" t="n">
        <f>6111389994980.0</f>
        <v>6.11138999498E12</v>
      </c>
      <c r="H13" s="22" t="n">
        <f>632377820855.0</f>
        <v>6.32377820855E11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880405.0</f>
        <v>880405.0</v>
      </c>
      <c r="E14" s="22" t="n">
        <f>51838.0</f>
        <v>51838.0</v>
      </c>
      <c r="F14" s="23" t="n">
        <f>1.0</f>
        <v>1.0</v>
      </c>
      <c r="G14" s="21" t="n">
        <f>9122497727725.0</f>
        <v>9.122497727725E12</v>
      </c>
      <c r="H14" s="22" t="n">
        <f>1123264100750.0</f>
        <v>1.12326410075E12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2391229.0</f>
        <v>2391229.0</v>
      </c>
      <c r="E15" s="26" t="n">
        <f>128518.0</f>
        <v>128518.0</v>
      </c>
      <c r="F15" s="27" t="n">
        <f>1.0</f>
        <v>1.0</v>
      </c>
      <c r="G15" s="25" t="n">
        <f>20735778440782.0</f>
        <v>2.0735778440782E13</v>
      </c>
      <c r="H15" s="26" t="n">
        <f>2196024312957.0</f>
        <v>2.196024312957E12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15819.0</f>
        <v>15819.0</v>
      </c>
      <c r="E16" s="18" t="n">
        <f>99.0</f>
        <v>99.0</v>
      </c>
      <c r="F16" s="19" t="n">
        <f>0.018</f>
        <v>0.018</v>
      </c>
      <c r="G16" s="17" t="n">
        <f>1273654044375.0</f>
        <v>1.273654044375E12</v>
      </c>
      <c r="H16" s="18" t="n">
        <f>12635680000.0</f>
        <v>1.263568E10</v>
      </c>
      <c r="I16" s="19" t="n">
        <f>0.231</f>
        <v>0.231</v>
      </c>
    </row>
    <row r="17" spans="1:9" ht="24.9" customHeight="1">
      <c r="A17" s="41"/>
      <c r="B17" s="39"/>
      <c r="C17" s="20" t="s">
        <v>16</v>
      </c>
      <c r="D17" s="21" t="n">
        <f>14962.0</f>
        <v>14962.0</v>
      </c>
      <c r="E17" s="22" t="n">
        <f>2894.0</f>
        <v>2894.0</v>
      </c>
      <c r="F17" s="23" t="n">
        <f>0.023</f>
        <v>0.023</v>
      </c>
      <c r="G17" s="21" t="n">
        <f>1847461401875.0</f>
        <v>1.847461401875E12</v>
      </c>
      <c r="H17" s="22" t="n">
        <f>369410330000.0</f>
        <v>3.6941033E11</v>
      </c>
      <c r="I17" s="23" t="n">
        <f>0.302</f>
        <v>0.302</v>
      </c>
    </row>
    <row r="18" spans="1:9" ht="24.9" customHeight="1">
      <c r="A18" s="41"/>
      <c r="B18" s="39"/>
      <c r="C18" s="20" t="s">
        <v>17</v>
      </c>
      <c r="D18" s="21" t="n">
        <f>21538.0</f>
        <v>21538.0</v>
      </c>
      <c r="E18" s="22" t="n">
        <f>1090.0</f>
        <v>1090.0</v>
      </c>
      <c r="F18" s="23" t="n">
        <f>0.024</f>
        <v>0.024</v>
      </c>
      <c r="G18" s="21" t="n">
        <f>2318130743125.0</f>
        <v>2.318130743125E12</v>
      </c>
      <c r="H18" s="22" t="n">
        <f>139266435000.0</f>
        <v>1.39266435E11</v>
      </c>
      <c r="I18" s="23" t="n">
        <f>0.254</f>
        <v>0.254</v>
      </c>
    </row>
    <row r="19" spans="1:9" ht="24.9" customHeight="1">
      <c r="A19" s="41"/>
      <c r="B19" s="39"/>
      <c r="C19" s="24" t="s">
        <v>18</v>
      </c>
      <c r="D19" s="25" t="n">
        <f>52319.0</f>
        <v>52319.0</v>
      </c>
      <c r="E19" s="26" t="n">
        <f>4083.0</f>
        <v>4083.0</v>
      </c>
      <c r="F19" s="27" t="n">
        <f>0.022</f>
        <v>0.022</v>
      </c>
      <c r="G19" s="25" t="n">
        <f>5439246189375.0</f>
        <v>5.439246189375E12</v>
      </c>
      <c r="H19" s="26" t="n">
        <f>521312445000.0</f>
        <v>5.21312445E11</v>
      </c>
      <c r="I19" s="27" t="n">
        <f>0.262</f>
        <v>0.262</v>
      </c>
    </row>
    <row r="20" spans="1:9" ht="24.9" customHeight="1">
      <c r="A20" s="41"/>
      <c r="B20" s="39" t="s">
        <v>21</v>
      </c>
      <c r="C20" s="16" t="s">
        <v>15</v>
      </c>
      <c r="D20" s="17" t="n">
        <f>826062.0</f>
        <v>826062.0</v>
      </c>
      <c r="E20" s="18" t="n">
        <f>46130.0</f>
        <v>46130.0</v>
      </c>
      <c r="F20" s="19" t="n">
        <f>0.963</f>
        <v>0.963</v>
      </c>
      <c r="G20" s="17" t="n">
        <f>4080635024102.0</f>
        <v>4.080635024102E12</v>
      </c>
      <c r="H20" s="18" t="n">
        <f>427746711352.0</f>
        <v>4.27746711352E11</v>
      </c>
      <c r="I20" s="19" t="n">
        <f>0.742</f>
        <v>0.742</v>
      </c>
    </row>
    <row r="21" spans="1:9" ht="24.9" customHeight="1">
      <c r="A21" s="41"/>
      <c r="B21" s="39"/>
      <c r="C21" s="20" t="s">
        <v>16</v>
      </c>
      <c r="D21" s="21" t="n">
        <f>632910.0</f>
        <v>632910.0</v>
      </c>
      <c r="E21" s="22" t="n">
        <f>27547.0</f>
        <v>27547.0</v>
      </c>
      <c r="F21" s="23" t="n">
        <f>0.969</f>
        <v>0.969</v>
      </c>
      <c r="G21" s="21" t="n">
        <f>4211802335605.0</f>
        <v>4.211802335605E12</v>
      </c>
      <c r="H21" s="22" t="n">
        <f>262953726855.0</f>
        <v>2.62953726855E11</v>
      </c>
      <c r="I21" s="23" t="n">
        <f>0.689</f>
        <v>0.689</v>
      </c>
    </row>
    <row r="22" spans="1:9" ht="24.9" customHeight="1">
      <c r="A22" s="41"/>
      <c r="B22" s="39"/>
      <c r="C22" s="20" t="s">
        <v>17</v>
      </c>
      <c r="D22" s="21" t="n">
        <f>848215.0</f>
        <v>848215.0</v>
      </c>
      <c r="E22" s="22" t="n">
        <f>50436.0</f>
        <v>50436.0</v>
      </c>
      <c r="F22" s="23" t="n">
        <f>0.963</f>
        <v>0.963</v>
      </c>
      <c r="G22" s="21" t="n">
        <f>6716235959100.0</f>
        <v>6.7162359591E12</v>
      </c>
      <c r="H22" s="22" t="n">
        <f>983568936150.0</f>
        <v>9.8356893615E11</v>
      </c>
      <c r="I22" s="23" t="n">
        <f>0.736</f>
        <v>0.736</v>
      </c>
    </row>
    <row r="23" spans="1:9" ht="24.9" customHeight="1">
      <c r="A23" s="41"/>
      <c r="B23" s="39"/>
      <c r="C23" s="24" t="s">
        <v>18</v>
      </c>
      <c r="D23" s="25" t="n">
        <f>2307187.0</f>
        <v>2307187.0</v>
      </c>
      <c r="E23" s="26" t="n">
        <f>124113.0</f>
        <v>124113.0</v>
      </c>
      <c r="F23" s="27" t="n">
        <f>0.965</f>
        <v>0.965</v>
      </c>
      <c r="G23" s="25" t="n">
        <f>15008673318807.0</f>
        <v>1.5008673318807E13</v>
      </c>
      <c r="H23" s="26" t="n">
        <f>1674269374357.0</f>
        <v>1.674269374357E12</v>
      </c>
      <c r="I23" s="27" t="n">
        <f>0.724</f>
        <v>0.724</v>
      </c>
    </row>
    <row r="24" spans="1:9" ht="24.9" customHeight="1">
      <c r="A24" s="41"/>
      <c r="B24" s="39" t="s">
        <v>22</v>
      </c>
      <c r="C24" s="16" t="s">
        <v>15</v>
      </c>
      <c r="D24" s="17" t="n">
        <f>15572.0</f>
        <v>15572.0</v>
      </c>
      <c r="E24" s="18" t="n">
        <f>0.0</f>
        <v>0.0</v>
      </c>
      <c r="F24" s="19" t="n">
        <f>0.018</f>
        <v>0.018</v>
      </c>
      <c r="G24" s="17" t="n">
        <f>145655508100.0</f>
        <v>1.456555081E11</v>
      </c>
      <c r="H24" s="18" t="n">
        <f>0.0</f>
        <v>0.0</v>
      </c>
      <c r="I24" s="19" t="n">
        <f>0.026</f>
        <v>0.026</v>
      </c>
    </row>
    <row r="25" spans="1:9" ht="24.9" customHeight="1">
      <c r="A25" s="41"/>
      <c r="B25" s="39"/>
      <c r="C25" s="20" t="s">
        <v>16</v>
      </c>
      <c r="D25" s="21" t="n">
        <f>4817.0</f>
        <v>4817.0</v>
      </c>
      <c r="E25" s="22" t="n">
        <f>0.0</f>
        <v>0.0</v>
      </c>
      <c r="F25" s="23" t="n">
        <f>0.007</f>
        <v>0.007</v>
      </c>
      <c r="G25" s="21" t="n">
        <f>51452375500.0</f>
        <v>5.14523755E10</v>
      </c>
      <c r="H25" s="22" t="n">
        <f>0.0</f>
        <v>0.0</v>
      </c>
      <c r="I25" s="23" t="n">
        <f>0.008</f>
        <v>0.008</v>
      </c>
    </row>
    <row r="26" spans="1:9" ht="24.9" customHeight="1">
      <c r="A26" s="41"/>
      <c r="B26" s="39"/>
      <c r="C26" s="20" t="s">
        <v>17</v>
      </c>
      <c r="D26" s="21" t="n">
        <f>9545.0</f>
        <v>9545.0</v>
      </c>
      <c r="E26" s="22" t="n">
        <f>0.0</f>
        <v>0.0</v>
      </c>
      <c r="F26" s="23" t="n">
        <f>0.011</f>
        <v>0.011</v>
      </c>
      <c r="G26" s="21" t="n">
        <f>84631166400.0</f>
        <v>8.46311664E10</v>
      </c>
      <c r="H26" s="22" t="n">
        <f>0.0</f>
        <v>0.0</v>
      </c>
      <c r="I26" s="23" t="n">
        <f>0.009</f>
        <v>0.009</v>
      </c>
    </row>
    <row r="27" spans="1:9" ht="24.9" customHeight="1">
      <c r="A27" s="42"/>
      <c r="B27" s="39"/>
      <c r="C27" s="24" t="s">
        <v>18</v>
      </c>
      <c r="D27" s="25" t="n">
        <f>29934.0</f>
        <v>29934.0</v>
      </c>
      <c r="E27" s="26" t="n">
        <f>0.0</f>
        <v>0.0</v>
      </c>
      <c r="F27" s="27" t="n">
        <f>0.013</f>
        <v>0.013</v>
      </c>
      <c r="G27" s="25" t="n">
        <f>281739050000.0</f>
        <v>2.8173905E11</v>
      </c>
      <c r="H27" s="26" t="n">
        <f>0.0</f>
        <v>0.0</v>
      </c>
      <c r="I27" s="27" t="n">
        <f>0.014</f>
        <v>0.014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502.0</f>
        <v>502.0</v>
      </c>
      <c r="E28" s="18" t="n">
        <f>0.0</f>
        <v>0.0</v>
      </c>
      <c r="F28" s="19" t="n">
        <f>0.001</f>
        <v>0.001</v>
      </c>
      <c r="G28" s="17" t="n">
        <f>1946141500.0</f>
        <v>1.9461415E9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180.0</f>
        <v>180.0</v>
      </c>
      <c r="E29" s="22" t="n">
        <f>10.0</f>
        <v>10.0</v>
      </c>
      <c r="F29" s="23" t="n">
        <f>0.0</f>
        <v>0.0</v>
      </c>
      <c r="G29" s="21" t="n">
        <f>673882000.0</f>
        <v>6.73882E8</v>
      </c>
      <c r="H29" s="22" t="n">
        <f>13764000.0</f>
        <v>1.3764E7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1107.0</f>
        <v>1107.0</v>
      </c>
      <c r="E30" s="22" t="n">
        <f>312.0</f>
        <v>312.0</v>
      </c>
      <c r="F30" s="23" t="n">
        <f>0.001</f>
        <v>0.001</v>
      </c>
      <c r="G30" s="21" t="n">
        <f>3499859100.0</f>
        <v>3.4998591E9</v>
      </c>
      <c r="H30" s="22" t="n">
        <f>428729600.0</f>
        <v>4.287296E8</v>
      </c>
      <c r="I30" s="23" t="n">
        <f>0.0</f>
        <v>0.0</v>
      </c>
    </row>
    <row r="31" spans="1:9" ht="24.9" customHeight="1">
      <c r="A31" s="38"/>
      <c r="B31" s="39"/>
      <c r="C31" s="24" t="s">
        <v>18</v>
      </c>
      <c r="D31" s="25" t="n">
        <f>1789.0</f>
        <v>1789.0</v>
      </c>
      <c r="E31" s="26" t="n">
        <f>322.0</f>
        <v>322.0</v>
      </c>
      <c r="F31" s="27" t="n">
        <f>0.001</f>
        <v>0.001</v>
      </c>
      <c r="G31" s="25" t="n">
        <f>6119882600.0</f>
        <v>6.1198826E9</v>
      </c>
      <c r="H31" s="26" t="n">
        <f>442493600.0</f>
        <v>4.424936E8</v>
      </c>
      <c r="I31" s="27" t="n">
        <f>0.0</f>
        <v>0.0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46220.0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46220.0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20412</f>
        <v>20412.0</v>
      </c>
      <c r="E11" s="18" t="n">
        <f>4985</f>
        <v>4985.0</v>
      </c>
      <c r="F11" s="19" t="n">
        <f>1</f>
        <v>1.0</v>
      </c>
      <c r="G11" s="17" t="n">
        <f>7940632790</f>
        <v>7.94063279E9</v>
      </c>
      <c r="H11" s="18" t="n">
        <f>6259846190</f>
        <v>6.25984619E9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69868</f>
        <v>69868.0</v>
      </c>
      <c r="E12" s="22" t="n">
        <f>8419</f>
        <v>8419.0</v>
      </c>
      <c r="F12" s="23" t="n">
        <f>1</f>
        <v>1.0</v>
      </c>
      <c r="G12" s="21" t="n">
        <f>15175499333</f>
        <v>1.5175499333E10</v>
      </c>
      <c r="H12" s="22" t="n">
        <f>10409744400</f>
        <v>1.04097444E10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75287</f>
        <v>75287.0</v>
      </c>
      <c r="E13" s="22" t="n">
        <f>26178</f>
        <v>26178.0</v>
      </c>
      <c r="F13" s="23" t="n">
        <f>1</f>
        <v>1.0</v>
      </c>
      <c r="G13" s="21" t="n">
        <f>51964244490</f>
        <v>5.196424449E10</v>
      </c>
      <c r="H13" s="22" t="n">
        <f>42534821148</f>
        <v>4.2534821148E10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165567</f>
        <v>165567.0</v>
      </c>
      <c r="E14" s="26" t="n">
        <f>39582</f>
        <v>39582.0</v>
      </c>
      <c r="F14" s="27" t="n">
        <f>1</f>
        <v>1.0</v>
      </c>
      <c r="G14" s="25" t="n">
        <f>75080376613</f>
        <v>7.5080376613E10</v>
      </c>
      <c r="H14" s="26" t="n">
        <f>59204411738</f>
        <v>5.9204411738E10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51</f>
        <v>51.0</v>
      </c>
      <c r="E16" s="22" t="n">
        <f>0</f>
        <v>0.0</v>
      </c>
      <c r="F16" s="23" t="n">
        <f>0.001</f>
        <v>0.001</v>
      </c>
      <c r="G16" s="21" t="n">
        <f>9900000</f>
        <v>9900000.0</v>
      </c>
      <c r="H16" s="22" t="n">
        <f>0</f>
        <v>0.0</v>
      </c>
      <c r="I16" s="23" t="n">
        <f>0.001</f>
        <v>0.001</v>
      </c>
    </row>
    <row r="17" spans="1:9" ht="24.9" customHeight="1">
      <c r="A17" s="41"/>
      <c r="B17" s="39"/>
      <c r="C17" s="20" t="s">
        <v>17</v>
      </c>
      <c r="D17" s="21" t="n">
        <f>441</f>
        <v>441.0</v>
      </c>
      <c r="E17" s="22" t="n">
        <f>60</f>
        <v>60.0</v>
      </c>
      <c r="F17" s="23" t="n">
        <f>0.006</f>
        <v>0.006</v>
      </c>
      <c r="G17" s="21" t="n">
        <f>40890000</f>
        <v>4.089E7</v>
      </c>
      <c r="H17" s="22" t="n">
        <f>6900000</f>
        <v>6900000.0</v>
      </c>
      <c r="I17" s="23" t="n">
        <f>0.001</f>
        <v>0.001</v>
      </c>
    </row>
    <row r="18" spans="1:9" ht="24.9" customHeight="1">
      <c r="A18" s="41"/>
      <c r="B18" s="39"/>
      <c r="C18" s="24" t="s">
        <v>18</v>
      </c>
      <c r="D18" s="25" t="n">
        <f>492</f>
        <v>492.0</v>
      </c>
      <c r="E18" s="26" t="n">
        <f>60</f>
        <v>60.0</v>
      </c>
      <c r="F18" s="27" t="n">
        <f>0.003</f>
        <v>0.003</v>
      </c>
      <c r="G18" s="25" t="n">
        <f>50790000</f>
        <v>5.079E7</v>
      </c>
      <c r="H18" s="26" t="n">
        <f>6900000</f>
        <v>6900000.0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20412</f>
        <v>20412.0</v>
      </c>
      <c r="E19" s="18" t="n">
        <f>4985</f>
        <v>4985.0</v>
      </c>
      <c r="F19" s="19" t="n">
        <f>1</f>
        <v>1.0</v>
      </c>
      <c r="G19" s="17" t="n">
        <f>7940632790</f>
        <v>7.94063279E9</v>
      </c>
      <c r="H19" s="18" t="n">
        <f>6259846190</f>
        <v>6.25984619E9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33117</f>
        <v>33117.0</v>
      </c>
      <c r="E20" s="22" t="n">
        <f>8419</f>
        <v>8419.0</v>
      </c>
      <c r="F20" s="23" t="n">
        <f>0.474</f>
        <v>0.474</v>
      </c>
      <c r="G20" s="21" t="n">
        <f>15093795100</f>
        <v>1.50937951E10</v>
      </c>
      <c r="H20" s="22" t="n">
        <f>10409744400</f>
        <v>1.04097444E10</v>
      </c>
      <c r="I20" s="23" t="n">
        <f>0.995</f>
        <v>0.995</v>
      </c>
    </row>
    <row r="21" spans="1:9" ht="24.9" customHeight="1">
      <c r="A21" s="41"/>
      <c r="B21" s="39"/>
      <c r="C21" s="20" t="s">
        <v>17</v>
      </c>
      <c r="D21" s="21" t="n">
        <f>61297</f>
        <v>61297.0</v>
      </c>
      <c r="E21" s="22" t="n">
        <f>23618</f>
        <v>23618.0</v>
      </c>
      <c r="F21" s="23" t="n">
        <f>0.814</f>
        <v>0.814</v>
      </c>
      <c r="G21" s="21" t="n">
        <f>51610983148</f>
        <v>5.1610983148E10</v>
      </c>
      <c r="H21" s="22" t="n">
        <f>42388171148</f>
        <v>4.2388171148E10</v>
      </c>
      <c r="I21" s="23" t="n">
        <f>0.993</f>
        <v>0.993</v>
      </c>
    </row>
    <row r="22" spans="1:9" ht="24.9" customHeight="1">
      <c r="A22" s="41"/>
      <c r="B22" s="39"/>
      <c r="C22" s="24" t="s">
        <v>18</v>
      </c>
      <c r="D22" s="25" t="n">
        <f>114826</f>
        <v>114826.0</v>
      </c>
      <c r="E22" s="26" t="n">
        <f>37022</f>
        <v>37022.0</v>
      </c>
      <c r="F22" s="27" t="n">
        <f>0.694</f>
        <v>0.694</v>
      </c>
      <c r="G22" s="25" t="n">
        <f>74645411038</f>
        <v>7.4645411038E10</v>
      </c>
      <c r="H22" s="26" t="n">
        <f>59057761738</f>
        <v>5.9057761738E10</v>
      </c>
      <c r="I22" s="27" t="n">
        <f>0.994</f>
        <v>0.994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36700</f>
        <v>36700.0</v>
      </c>
      <c r="E24" s="22" t="n">
        <f>0</f>
        <v>0.0</v>
      </c>
      <c r="F24" s="23" t="n">
        <f>0.525</f>
        <v>0.525</v>
      </c>
      <c r="G24" s="21" t="n">
        <f>71804233</f>
        <v>7.1804233E7</v>
      </c>
      <c r="H24" s="22" t="n">
        <f>0</f>
        <v>0.0</v>
      </c>
      <c r="I24" s="23" t="n">
        <f>0.005</f>
        <v>0.005</v>
      </c>
    </row>
    <row r="25" spans="1:9" ht="24.9" customHeight="1">
      <c r="A25" s="41"/>
      <c r="B25" s="39"/>
      <c r="C25" s="20" t="s">
        <v>17</v>
      </c>
      <c r="D25" s="21" t="n">
        <f>13549</f>
        <v>13549.0</v>
      </c>
      <c r="E25" s="22" t="n">
        <f>2500</f>
        <v>2500.0</v>
      </c>
      <c r="F25" s="23" t="n">
        <f>0.18</f>
        <v>0.18</v>
      </c>
      <c r="G25" s="21" t="n">
        <f>312371342</f>
        <v>3.12371342E8</v>
      </c>
      <c r="H25" s="22" t="n">
        <f>139750000</f>
        <v>1.3975E8</v>
      </c>
      <c r="I25" s="23" t="n">
        <f>0.006</f>
        <v>0.006</v>
      </c>
    </row>
    <row r="26" spans="1:9" ht="24.9" customHeight="1">
      <c r="A26" s="41"/>
      <c r="B26" s="39"/>
      <c r="C26" s="24" t="s">
        <v>18</v>
      </c>
      <c r="D26" s="25" t="n">
        <f>50249</f>
        <v>50249.0</v>
      </c>
      <c r="E26" s="26" t="n">
        <f>2500</f>
        <v>2500.0</v>
      </c>
      <c r="F26" s="27" t="n">
        <f>0.303</f>
        <v>0.303</v>
      </c>
      <c r="G26" s="25" t="n">
        <f>384175575</f>
        <v>3.84175575E8</v>
      </c>
      <c r="H26" s="26" t="n">
        <f>139750000</f>
        <v>1.3975E8</v>
      </c>
      <c r="I26" s="27" t="n">
        <f>0.005</f>
        <v>0.005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46220.0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46220.0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16786.0</v>
      </c>
      <c r="F12" s="18" t="n">
        <f>2009</f>
        <v>2009.0</v>
      </c>
      <c r="G12" s="17" t="n">
        <v>1.113693914152E12</v>
      </c>
      <c r="H12" s="18" t="n">
        <f>133325977152</f>
        <v>1.33325977152E11</v>
      </c>
    </row>
    <row r="13" spans="1:8" ht="24.9" customHeight="1">
      <c r="A13" s="51"/>
      <c r="B13" s="57"/>
      <c r="C13" s="39"/>
      <c r="D13" s="20" t="s">
        <v>16</v>
      </c>
      <c r="E13" s="21" t="n">
        <v>19631.0</v>
      </c>
      <c r="F13" s="22" t="n">
        <f>1418</f>
        <v>1418.0</v>
      </c>
      <c r="G13" s="21" t="n">
        <v>1.274566914645E12</v>
      </c>
      <c r="H13" s="22" t="n">
        <f>92215257645</f>
        <v>9.2215257645E10</v>
      </c>
    </row>
    <row r="14" spans="1:8" ht="24.9" customHeight="1">
      <c r="A14" s="51"/>
      <c r="B14" s="57"/>
      <c r="C14" s="39"/>
      <c r="D14" s="20" t="s">
        <v>17</v>
      </c>
      <c r="E14" s="21" t="n">
        <v>41519.0</v>
      </c>
      <c r="F14" s="22" t="n">
        <f>10426</f>
        <v>10426.0</v>
      </c>
      <c r="G14" s="21" t="n">
        <v>2.65136674506E12</v>
      </c>
      <c r="H14" s="22" t="n">
        <f>668213617060</f>
        <v>6.6821361706E11</v>
      </c>
    </row>
    <row r="15" spans="1:8" ht="24.9" customHeight="1">
      <c r="A15" s="51"/>
      <c r="B15" s="57"/>
      <c r="C15" s="39"/>
      <c r="D15" s="24" t="s">
        <v>18</v>
      </c>
      <c r="E15" s="25" t="n">
        <v>77936.0</v>
      </c>
      <c r="F15" s="26" t="n">
        <f>13853</f>
        <v>13853.0</v>
      </c>
      <c r="G15" s="25" t="n">
        <v>5.039627573857E12</v>
      </c>
      <c r="H15" s="26" t="n">
        <f>893754851857</f>
        <v>8.93754851857E11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305881.0</v>
      </c>
      <c r="F16" s="18" t="n">
        <f>43541</f>
        <v>43541.0</v>
      </c>
      <c r="G16" s="17" t="n">
        <v>2.02964227401E12</v>
      </c>
      <c r="H16" s="18" t="n">
        <f>289028512010</f>
        <v>2.8902851201E11</v>
      </c>
    </row>
    <row r="17" spans="1:8" ht="24.9" customHeight="1">
      <c r="A17" s="51"/>
      <c r="B17" s="57"/>
      <c r="C17" s="39"/>
      <c r="D17" s="20" t="s">
        <v>16</v>
      </c>
      <c r="E17" s="21" t="n">
        <v>262701.0</v>
      </c>
      <c r="F17" s="22" t="n">
        <f>25560</f>
        <v>25560.0</v>
      </c>
      <c r="G17" s="21" t="n">
        <v>1.70444356941E12</v>
      </c>
      <c r="H17" s="22" t="n">
        <f>165857032510</f>
        <v>1.6585703251E11</v>
      </c>
    </row>
    <row r="18" spans="1:8" ht="24.9" customHeight="1">
      <c r="A18" s="51"/>
      <c r="B18" s="57"/>
      <c r="C18" s="39"/>
      <c r="D18" s="20" t="s">
        <v>17</v>
      </c>
      <c r="E18" s="21" t="n">
        <v>347876.0</v>
      </c>
      <c r="F18" s="22" t="n">
        <f>36800</f>
        <v>36800.0</v>
      </c>
      <c r="G18" s="21" t="n">
        <v>2.21705742794E12</v>
      </c>
      <c r="H18" s="22" t="n">
        <f>234448425940</f>
        <v>2.3444842594E11</v>
      </c>
    </row>
    <row r="19" spans="1:8" ht="24.9" customHeight="1">
      <c r="A19" s="51"/>
      <c r="B19" s="57"/>
      <c r="C19" s="39"/>
      <c r="D19" s="24" t="s">
        <v>18</v>
      </c>
      <c r="E19" s="25" t="n">
        <v>916458.0</v>
      </c>
      <c r="F19" s="26" t="n">
        <f>105901</f>
        <v>105901.0</v>
      </c>
      <c r="G19" s="25" t="n">
        <v>5.95114327136E12</v>
      </c>
      <c r="H19" s="26" t="n">
        <f>689333970460</f>
        <v>6.8933397046E11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482414.0</v>
      </c>
      <c r="F20" s="18" t="str">
        <f>"－"</f>
        <v>－</v>
      </c>
      <c r="G20" s="17" t="n">
        <v>3.201440385E11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311222.0</v>
      </c>
      <c r="F21" s="22" t="str">
        <f>"－"</f>
        <v>－</v>
      </c>
      <c r="G21" s="21" t="n">
        <v>2.0192062185E11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401179.0</v>
      </c>
      <c r="F22" s="22" t="str">
        <f>"－"</f>
        <v>－</v>
      </c>
      <c r="G22" s="21" t="n">
        <v>2.5559311575E11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1194815.0</v>
      </c>
      <c r="F23" s="26" t="str">
        <f>"－"</f>
        <v>－</v>
      </c>
      <c r="G23" s="25" t="n">
        <v>7.776577761E11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14781.0</v>
      </c>
      <c r="F24" s="18" t="n">
        <f>86</f>
        <v>86.0</v>
      </c>
      <c r="G24" s="17" t="n">
        <v>5.938513092E11</v>
      </c>
      <c r="H24" s="18" t="n">
        <f>3465519200</f>
        <v>3.4655192E9</v>
      </c>
    </row>
    <row r="25" spans="1:8" ht="24.9" customHeight="1">
      <c r="A25" s="51"/>
      <c r="B25" s="57"/>
      <c r="C25" s="39"/>
      <c r="D25" s="20" t="s">
        <v>16</v>
      </c>
      <c r="E25" s="21" t="n">
        <v>24594.0</v>
      </c>
      <c r="F25" s="22" t="n">
        <f>79</f>
        <v>79.0</v>
      </c>
      <c r="G25" s="21" t="n">
        <v>9.766713665E11</v>
      </c>
      <c r="H25" s="22" t="n">
        <f>3147571500</f>
        <v>3.1475715E9</v>
      </c>
    </row>
    <row r="26" spans="1:8" ht="24.9" customHeight="1">
      <c r="A26" s="51"/>
      <c r="B26" s="57"/>
      <c r="C26" s="39"/>
      <c r="D26" s="20" t="s">
        <v>17</v>
      </c>
      <c r="E26" s="21" t="n">
        <v>39061.0</v>
      </c>
      <c r="F26" s="22" t="n">
        <f>1979</f>
        <v>1979.0</v>
      </c>
      <c r="G26" s="21" t="n">
        <v>1.5272771302E12</v>
      </c>
      <c r="H26" s="22" t="n">
        <f>77421570200</f>
        <v>7.74215702E10</v>
      </c>
    </row>
    <row r="27" spans="1:8" ht="24.9" customHeight="1">
      <c r="A27" s="51"/>
      <c r="B27" s="57"/>
      <c r="C27" s="39"/>
      <c r="D27" s="24" t="s">
        <v>18</v>
      </c>
      <c r="E27" s="25" t="n">
        <v>78436.0</v>
      </c>
      <c r="F27" s="26" t="n">
        <f>2144</f>
        <v>2144.0</v>
      </c>
      <c r="G27" s="25" t="n">
        <v>3.0977998059E12</v>
      </c>
      <c r="H27" s="26" t="n">
        <f>84034660900</f>
        <v>8.40346609E10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4856.0</v>
      </c>
      <c r="F28" s="18" t="n">
        <f>472</f>
        <v>472.0</v>
      </c>
      <c r="G28" s="17" t="n">
        <v>1.950823165E10</v>
      </c>
      <c r="H28" s="18" t="n">
        <f>1896228400</f>
        <v>1.8962284E9</v>
      </c>
    </row>
    <row r="29" spans="1:8" ht="24.9" customHeight="1">
      <c r="A29" s="51"/>
      <c r="B29" s="57"/>
      <c r="C29" s="39"/>
      <c r="D29" s="20" t="s">
        <v>16</v>
      </c>
      <c r="E29" s="21" t="n">
        <v>12234.0</v>
      </c>
      <c r="F29" s="22" t="n">
        <f>425</f>
        <v>425.0</v>
      </c>
      <c r="G29" s="21" t="n">
        <v>4.85700644E10</v>
      </c>
      <c r="H29" s="22" t="n">
        <f>1688803400</f>
        <v>1.6888034E9</v>
      </c>
    </row>
    <row r="30" spans="1:8" ht="24.9" customHeight="1">
      <c r="A30" s="51"/>
      <c r="B30" s="57"/>
      <c r="C30" s="39"/>
      <c r="D30" s="20" t="s">
        <v>17</v>
      </c>
      <c r="E30" s="21" t="n">
        <v>14074.0</v>
      </c>
      <c r="F30" s="22" t="n">
        <f>501</f>
        <v>501.0</v>
      </c>
      <c r="G30" s="21" t="n">
        <v>5.499790105E10</v>
      </c>
      <c r="H30" s="22" t="n">
        <f>1957578550</f>
        <v>1.95757855E9</v>
      </c>
    </row>
    <row r="31" spans="1:8" ht="24.9" customHeight="1">
      <c r="A31" s="51"/>
      <c r="B31" s="57"/>
      <c r="C31" s="39"/>
      <c r="D31" s="24" t="s">
        <v>18</v>
      </c>
      <c r="E31" s="25" t="n">
        <v>31164.0</v>
      </c>
      <c r="F31" s="26" t="n">
        <f>1398</f>
        <v>1398.0</v>
      </c>
      <c r="G31" s="25" t="n">
        <v>1.230761971E11</v>
      </c>
      <c r="H31" s="26" t="n">
        <f>5542610350</f>
        <v>5.54261035E9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470.0</v>
      </c>
      <c r="F36" s="18" t="n">
        <f>0</f>
        <v>0.0</v>
      </c>
      <c r="G36" s="17" t="n">
        <v>1.7074715E9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1191.0</v>
      </c>
      <c r="F37" s="22" t="n">
        <f>0</f>
        <v>0.0</v>
      </c>
      <c r="G37" s="21" t="n">
        <v>4.274004E9</v>
      </c>
      <c r="H37" s="22" t="n">
        <f>0</f>
        <v>0.0</v>
      </c>
    </row>
    <row r="38" spans="1:8" ht="24.9" customHeight="1">
      <c r="A38" s="51"/>
      <c r="B38" s="57"/>
      <c r="C38" s="39"/>
      <c r="D38" s="20" t="s">
        <v>17</v>
      </c>
      <c r="E38" s="21" t="n">
        <v>1845.0</v>
      </c>
      <c r="F38" s="22" t="n">
        <f>32</f>
        <v>32.0</v>
      </c>
      <c r="G38" s="21" t="n">
        <v>6.52814698E9</v>
      </c>
      <c r="H38" s="22" t="n">
        <f>113577480</f>
        <v>1.1357748E8</v>
      </c>
    </row>
    <row r="39" spans="1:8" ht="24.9" customHeight="1">
      <c r="A39" s="51"/>
      <c r="B39" s="57"/>
      <c r="C39" s="39"/>
      <c r="D39" s="24" t="s">
        <v>18</v>
      </c>
      <c r="E39" s="25" t="n">
        <v>3506.0</v>
      </c>
      <c r="F39" s="26" t="n">
        <f>32</f>
        <v>32.0</v>
      </c>
      <c r="G39" s="25" t="n">
        <v>1.250962248E10</v>
      </c>
      <c r="H39" s="26" t="n">
        <f>113577480</f>
        <v>1.1357748E8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51.0</v>
      </c>
      <c r="F46" s="22" t="n">
        <f>51</f>
        <v>51.0</v>
      </c>
      <c r="G46" s="21" t="n">
        <v>3.60716E8</v>
      </c>
      <c r="H46" s="22" t="n">
        <f>360716000</f>
        <v>3.60716E8</v>
      </c>
    </row>
    <row r="47" spans="1:8" ht="24.9" customHeight="1">
      <c r="A47" s="51"/>
      <c r="B47" s="57"/>
      <c r="C47" s="39"/>
      <c r="D47" s="24" t="s">
        <v>18</v>
      </c>
      <c r="E47" s="25" t="n">
        <v>51.0</v>
      </c>
      <c r="F47" s="26" t="n">
        <f>51</f>
        <v>51.0</v>
      </c>
      <c r="G47" s="25" t="n">
        <v>3.60716E8</v>
      </c>
      <c r="H47" s="26" t="n">
        <f>360716000</f>
        <v>3.60716E8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1.0</v>
      </c>
      <c r="F48" s="18" t="n">
        <f>1</f>
        <v>1.0</v>
      </c>
      <c r="G48" s="17" t="n">
        <v>1805000.0</v>
      </c>
      <c r="H48" s="18" t="n">
        <f>1805000</f>
        <v>1805000.0</v>
      </c>
    </row>
    <row r="49" spans="1:8" ht="24.9" customHeight="1">
      <c r="A49" s="51"/>
      <c r="B49" s="57"/>
      <c r="C49" s="39"/>
      <c r="D49" s="20" t="s">
        <v>16</v>
      </c>
      <c r="E49" s="21" t="n">
        <v>125.0</v>
      </c>
      <c r="F49" s="22" t="n">
        <f>0</f>
        <v>0.0</v>
      </c>
      <c r="G49" s="21" t="n">
        <v>2.279085E8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634.0</v>
      </c>
      <c r="F50" s="22" t="n">
        <f>533</f>
        <v>533.0</v>
      </c>
      <c r="G50" s="21" t="n">
        <v>1.15488834E9</v>
      </c>
      <c r="H50" s="22" t="n">
        <f>970463840</f>
        <v>9.7046384E8</v>
      </c>
    </row>
    <row r="51" spans="1:8" ht="24.9" customHeight="1">
      <c r="A51" s="51"/>
      <c r="B51" s="57"/>
      <c r="C51" s="39"/>
      <c r="D51" s="24" t="s">
        <v>18</v>
      </c>
      <c r="E51" s="25" t="n">
        <v>760.0</v>
      </c>
      <c r="F51" s="26" t="n">
        <f>534</f>
        <v>534.0</v>
      </c>
      <c r="G51" s="25" t="n">
        <v>1.38460184E9</v>
      </c>
      <c r="H51" s="26" t="n">
        <f>972268840</f>
        <v>9.7226884E8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439.0</v>
      </c>
      <c r="F56" s="18" t="n">
        <f>18</f>
        <v>18.0</v>
      </c>
      <c r="G56" s="17" t="n">
        <v>3.11131E8</v>
      </c>
      <c r="H56" s="18" t="n">
        <f>12777000</f>
        <v>1.2777E7</v>
      </c>
    </row>
    <row r="57" spans="1:8" ht="24.9" customHeight="1">
      <c r="A57" s="51"/>
      <c r="B57" s="57"/>
      <c r="C57" s="39"/>
      <c r="D57" s="20" t="s">
        <v>16</v>
      </c>
      <c r="E57" s="21" t="n">
        <v>1084.0</v>
      </c>
      <c r="F57" s="22" t="n">
        <f>65</f>
        <v>65.0</v>
      </c>
      <c r="G57" s="21" t="n">
        <v>7.523008E8</v>
      </c>
      <c r="H57" s="22" t="n">
        <f>45061800</f>
        <v>4.50618E7</v>
      </c>
    </row>
    <row r="58" spans="1:8" ht="24.9" customHeight="1">
      <c r="A58" s="51"/>
      <c r="B58" s="57"/>
      <c r="C58" s="39"/>
      <c r="D58" s="20" t="s">
        <v>17</v>
      </c>
      <c r="E58" s="21" t="n">
        <v>1802.0</v>
      </c>
      <c r="F58" s="22" t="n">
        <f>113</f>
        <v>113.0</v>
      </c>
      <c r="G58" s="21" t="n">
        <v>1.23022408E9</v>
      </c>
      <c r="H58" s="22" t="n">
        <f>77734080</f>
        <v>7.773408E7</v>
      </c>
    </row>
    <row r="59" spans="1:8" ht="24.9" customHeight="1">
      <c r="A59" s="51"/>
      <c r="B59" s="57"/>
      <c r="C59" s="39"/>
      <c r="D59" s="24" t="s">
        <v>18</v>
      </c>
      <c r="E59" s="25" t="n">
        <v>3325.0</v>
      </c>
      <c r="F59" s="26" t="n">
        <f>196</f>
        <v>196.0</v>
      </c>
      <c r="G59" s="25" t="n">
        <v>2.29365588E9</v>
      </c>
      <c r="H59" s="26" t="n">
        <f>135572880</f>
        <v>1.3557288E8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266.0</v>
      </c>
      <c r="F60" s="18" t="n">
        <f>3</f>
        <v>3.0</v>
      </c>
      <c r="G60" s="17" t="n">
        <v>1.40820029E9</v>
      </c>
      <c r="H60" s="18" t="n">
        <f>15892590</f>
        <v>1.589259E7</v>
      </c>
    </row>
    <row r="61" spans="1:8" ht="24.9" customHeight="1">
      <c r="A61" s="51"/>
      <c r="B61" s="57"/>
      <c r="C61" s="39"/>
      <c r="D61" s="20" t="s">
        <v>16</v>
      </c>
      <c r="E61" s="21" t="n">
        <v>34.0</v>
      </c>
      <c r="F61" s="22" t="n">
        <f>0</f>
        <v>0.0</v>
      </c>
      <c r="G61" s="21" t="n">
        <v>1.789632E8</v>
      </c>
      <c r="H61" s="22" t="n">
        <f>0</f>
        <v>0.0</v>
      </c>
    </row>
    <row r="62" spans="1:8" ht="24.9" customHeight="1">
      <c r="A62" s="51"/>
      <c r="B62" s="57"/>
      <c r="C62" s="39"/>
      <c r="D62" s="20" t="s">
        <v>17</v>
      </c>
      <c r="E62" s="21" t="n">
        <v>121.0</v>
      </c>
      <c r="F62" s="22" t="n">
        <f>1</f>
        <v>1.0</v>
      </c>
      <c r="G62" s="21" t="n">
        <v>6.344587E8</v>
      </c>
      <c r="H62" s="22" t="n">
        <f>5253000</f>
        <v>5253000.0</v>
      </c>
    </row>
    <row r="63" spans="1:8" ht="24.9" customHeight="1">
      <c r="A63" s="51"/>
      <c r="B63" s="57"/>
      <c r="C63" s="39"/>
      <c r="D63" s="24" t="s">
        <v>18</v>
      </c>
      <c r="E63" s="25" t="n">
        <v>421.0</v>
      </c>
      <c r="F63" s="26" t="n">
        <f>4</f>
        <v>4.0</v>
      </c>
      <c r="G63" s="25" t="n">
        <v>2.22162219E9</v>
      </c>
      <c r="H63" s="26" t="n">
        <f>21145590</f>
        <v>2.114559E7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15.0</v>
      </c>
      <c r="F74" s="22" t="n">
        <f>0</f>
        <v>0.0</v>
      </c>
      <c r="G74" s="21" t="n">
        <v>1.85E7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15.0</v>
      </c>
      <c r="F75" s="26" t="n">
        <f>0</f>
        <v>0.0</v>
      </c>
      <c r="G75" s="25" t="n">
        <v>1.85E7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0.0</v>
      </c>
      <c r="F77" s="22" t="n">
        <f>0</f>
        <v>0.0</v>
      </c>
      <c r="G77" s="21" t="n">
        <v>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37.0</v>
      </c>
      <c r="F78" s="22" t="n">
        <f>0</f>
        <v>0.0</v>
      </c>
      <c r="G78" s="21" t="n">
        <v>1.431E7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37.0</v>
      </c>
      <c r="F79" s="26" t="n">
        <f>0</f>
        <v>0.0</v>
      </c>
      <c r="G79" s="25" t="n">
        <v>1.431E7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39.0</v>
      </c>
      <c r="F92" s="18" t="n">
        <f>0</f>
        <v>0.0</v>
      </c>
      <c r="G92" s="17" t="n">
        <v>6.30266E7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2.0</v>
      </c>
      <c r="F93" s="22" t="n">
        <f>0</f>
        <v>0.0</v>
      </c>
      <c r="G93" s="21" t="n">
        <v>3234500.0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0.0</v>
      </c>
      <c r="F94" s="22" t="n">
        <f>0</f>
        <v>0.0</v>
      </c>
      <c r="G94" s="21" t="n">
        <v>0.0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41.0</v>
      </c>
      <c r="F95" s="26" t="n">
        <f>0</f>
        <v>0.0</v>
      </c>
      <c r="G95" s="25" t="n">
        <v>6.62611E7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119.0</v>
      </c>
      <c r="F96" s="18" t="n">
        <f>0</f>
        <v>0.0</v>
      </c>
      <c r="G96" s="17" t="n">
        <v>2.850682E8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42.0</v>
      </c>
      <c r="F97" s="22" t="n">
        <f>0</f>
        <v>0.0</v>
      </c>
      <c r="G97" s="21" t="n">
        <v>1.006278E8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1.0</v>
      </c>
      <c r="F98" s="22" t="n">
        <f>0</f>
        <v>0.0</v>
      </c>
      <c r="G98" s="21" t="n">
        <v>2395000.0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162.0</v>
      </c>
      <c r="F99" s="26" t="n">
        <f>0</f>
        <v>0.0</v>
      </c>
      <c r="G99" s="25" t="n">
        <v>3.88091E8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10.0</v>
      </c>
      <c r="F100" s="18" t="n">
        <f>0</f>
        <v>0.0</v>
      </c>
      <c r="G100" s="17" t="n">
        <v>1.8554E7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50.0</v>
      </c>
      <c r="F101" s="22" t="n">
        <f>0</f>
        <v>0.0</v>
      </c>
      <c r="G101" s="21" t="n">
        <v>9.276E7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60.0</v>
      </c>
      <c r="F103" s="26" t="n">
        <f>0</f>
        <v>0.0</v>
      </c>
      <c r="G103" s="25" t="n">
        <v>1.11314E8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8583.0</v>
      </c>
      <c r="F108" s="18" t="n">
        <f>99</f>
        <v>99.0</v>
      </c>
      <c r="G108" s="17" t="n">
        <v>1.09521616E12</v>
      </c>
      <c r="H108" s="18" t="n">
        <f>12635680000</f>
        <v>1.263568E10</v>
      </c>
    </row>
    <row r="109" spans="1:8" ht="24.9" customHeight="1">
      <c r="A109" s="51"/>
      <c r="B109" s="57"/>
      <c r="C109" s="39"/>
      <c r="D109" s="20" t="s">
        <v>16</v>
      </c>
      <c r="E109" s="21" t="n">
        <v>14352.0</v>
      </c>
      <c r="F109" s="22" t="n">
        <f>2894</f>
        <v>2894.0</v>
      </c>
      <c r="G109" s="21" t="n">
        <v>1.83240173E12</v>
      </c>
      <c r="H109" s="22" t="n">
        <f>369410330000</f>
        <v>3.6941033E11</v>
      </c>
    </row>
    <row r="110" spans="1:8" ht="24.9" customHeight="1">
      <c r="A110" s="51"/>
      <c r="B110" s="57"/>
      <c r="C110" s="39"/>
      <c r="D110" s="20" t="s">
        <v>17</v>
      </c>
      <c r="E110" s="21" t="n">
        <v>17348.0</v>
      </c>
      <c r="F110" s="22" t="n">
        <f>1090</f>
        <v>1090.0</v>
      </c>
      <c r="G110" s="21" t="n">
        <v>2.216932165E12</v>
      </c>
      <c r="H110" s="22" t="n">
        <f>139266435000</f>
        <v>1.39266435E11</v>
      </c>
    </row>
    <row r="111" spans="1:8" ht="24.9" customHeight="1">
      <c r="A111" s="51"/>
      <c r="B111" s="57"/>
      <c r="C111" s="39"/>
      <c r="D111" s="24" t="s">
        <v>18</v>
      </c>
      <c r="E111" s="25" t="n">
        <v>40283.0</v>
      </c>
      <c r="F111" s="26" t="n">
        <f>4083</f>
        <v>4083.0</v>
      </c>
      <c r="G111" s="25" t="n">
        <v>5.144550055E12</v>
      </c>
      <c r="H111" s="26" t="n">
        <f>521312445000</f>
        <v>5.21312445E11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0.0</v>
      </c>
      <c r="F113" s="22" t="n">
        <f>0</f>
        <v>0.0</v>
      </c>
      <c r="G113" s="21" t="n">
        <v>0.0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0.0</v>
      </c>
      <c r="F114" s="22" t="n">
        <f>0</f>
        <v>0.0</v>
      </c>
      <c r="G114" s="21" t="n">
        <v>0.0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0.0</v>
      </c>
      <c r="F115" s="26" t="n">
        <f>0</f>
        <v>0.0</v>
      </c>
      <c r="G115" s="25" t="n">
        <v>0.0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150.0</v>
      </c>
      <c r="F118" s="22" t="n">
        <f>0</f>
        <v>0.0</v>
      </c>
      <c r="G118" s="21" t="n">
        <v>1.36595E9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150.0</v>
      </c>
      <c r="F119" s="26" t="n">
        <f>0</f>
        <v>0.0</v>
      </c>
      <c r="G119" s="25" t="n">
        <v>1.36595E9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7236.0</v>
      </c>
      <c r="F120" s="18" t="n">
        <f>0</f>
        <v>0.0</v>
      </c>
      <c r="G120" s="17" t="n">
        <v>1.78437884375E11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610.0</v>
      </c>
      <c r="F121" s="22" t="n">
        <f>0</f>
        <v>0.0</v>
      </c>
      <c r="G121" s="21" t="n">
        <v>1.5059671875E10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4040.0</v>
      </c>
      <c r="F122" s="22" t="n">
        <f>0</f>
        <v>0.0</v>
      </c>
      <c r="G122" s="21" t="n">
        <v>9.9832628125E10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11886.0</v>
      </c>
      <c r="F123" s="26" t="n">
        <f>0</f>
        <v>0.0</v>
      </c>
      <c r="G123" s="25" t="n">
        <v>2.93330184375E11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5753.0</v>
      </c>
      <c r="F124" s="18" t="n">
        <f>0</f>
        <v>0.0</v>
      </c>
      <c r="G124" s="17" t="n">
        <v>1.22989753E11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2125.0</v>
      </c>
      <c r="F125" s="22" t="n">
        <f>0</f>
        <v>0.0</v>
      </c>
      <c r="G125" s="21" t="n">
        <v>4.5195925E10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3324.0</v>
      </c>
      <c r="F126" s="22" t="n">
        <f>0</f>
        <v>0.0</v>
      </c>
      <c r="G126" s="21" t="n">
        <v>7.0739597E10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11202.0</v>
      </c>
      <c r="F127" s="26" t="n">
        <f>0</f>
        <v>0.0</v>
      </c>
      <c r="G127" s="25" t="n">
        <v>2.38925275E11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73.0</v>
      </c>
      <c r="F128" s="18" t="n">
        <f>0</f>
        <v>0.0</v>
      </c>
      <c r="G128" s="17" t="n">
        <v>1.550273E8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38.0</v>
      </c>
      <c r="F129" s="22" t="n">
        <f>0</f>
        <v>0.0</v>
      </c>
      <c r="G129" s="21" t="n">
        <v>8.04149E7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51.0</v>
      </c>
      <c r="F130" s="22" t="n">
        <f>0</f>
        <v>0.0</v>
      </c>
      <c r="G130" s="21" t="n">
        <v>1.081016E8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162.0</v>
      </c>
      <c r="F131" s="26" t="n">
        <f>0</f>
        <v>0.0</v>
      </c>
      <c r="G131" s="25" t="n">
        <v>3.435438E8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7797.0</v>
      </c>
      <c r="F132" s="18" t="n">
        <f>0</f>
        <v>0.0</v>
      </c>
      <c r="G132" s="17" t="n">
        <v>1.66675795E10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1526.0</v>
      </c>
      <c r="F133" s="22" t="n">
        <f>0</f>
        <v>0.0</v>
      </c>
      <c r="G133" s="21" t="n">
        <v>3.24895305E9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3111.0</v>
      </c>
      <c r="F134" s="22" t="n">
        <f>0</f>
        <v>0.0</v>
      </c>
      <c r="G134" s="21" t="n">
        <v>6.6281322E9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12434.0</v>
      </c>
      <c r="F135" s="26" t="n">
        <f>0</f>
        <v>0.0</v>
      </c>
      <c r="G135" s="25" t="n">
        <v>2.654466475E10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65.0</v>
      </c>
      <c r="F136" s="18" t="n">
        <f>0</f>
        <v>0.0</v>
      </c>
      <c r="G136" s="17" t="n">
        <v>1.375061E8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33.0</v>
      </c>
      <c r="F137" s="22" t="n">
        <f>0</f>
        <v>0.0</v>
      </c>
      <c r="G137" s="21" t="n">
        <v>6.95561E7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49.0</v>
      </c>
      <c r="F138" s="22" t="n">
        <f>0</f>
        <v>0.0</v>
      </c>
      <c r="G138" s="21" t="n">
        <v>1.032357E8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147.0</v>
      </c>
      <c r="F139" s="26" t="n">
        <f>0</f>
        <v>0.0</v>
      </c>
      <c r="G139" s="25" t="n">
        <v>3.102979E8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3.0</v>
      </c>
      <c r="F142" s="22" t="n">
        <f>0</f>
        <v>0.0</v>
      </c>
      <c r="G142" s="21" t="n">
        <v>2.658E7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3.0</v>
      </c>
      <c r="F143" s="26" t="n">
        <f>0</f>
        <v>0.0</v>
      </c>
      <c r="G143" s="25" t="n">
        <v>2.658E7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1186.0</v>
      </c>
      <c r="F144" s="18" t="n">
        <f>0</f>
        <v>0.0</v>
      </c>
      <c r="G144" s="17" t="n">
        <v>4.9726605E9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545.0</v>
      </c>
      <c r="F145" s="22" t="n">
        <f>0</f>
        <v>0.0</v>
      </c>
      <c r="G145" s="21" t="n">
        <v>2.2448435E9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1153.0</v>
      </c>
      <c r="F146" s="22" t="n">
        <f>0</f>
        <v>0.0</v>
      </c>
      <c r="G146" s="21" t="n">
        <v>4.717092E9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2884.0</v>
      </c>
      <c r="F147" s="26" t="n">
        <f>0</f>
        <v>0.0</v>
      </c>
      <c r="G147" s="25" t="n">
        <v>1.1934596E10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30.0</v>
      </c>
      <c r="F148" s="18" t="n">
        <f>0</f>
        <v>0.0</v>
      </c>
      <c r="G148" s="17" t="n">
        <v>2.59091E7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116.0</v>
      </c>
      <c r="F149" s="22" t="n">
        <f>0</f>
        <v>0.0</v>
      </c>
      <c r="G149" s="21" t="n">
        <v>9.80185E7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461.0</v>
      </c>
      <c r="F150" s="22" t="n">
        <f>0</f>
        <v>0.0</v>
      </c>
      <c r="G150" s="21" t="n">
        <v>3.868003E8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607.0</v>
      </c>
      <c r="F151" s="26" t="n">
        <f>0</f>
        <v>0.0</v>
      </c>
      <c r="G151" s="25" t="n">
        <v>5.107279E8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472.0</v>
      </c>
      <c r="F152" s="18" t="n">
        <f>0</f>
        <v>0.0</v>
      </c>
      <c r="G152" s="17" t="n">
        <v>3.954081E8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197.0</v>
      </c>
      <c r="F153" s="22" t="n">
        <f>0</f>
        <v>0.0</v>
      </c>
      <c r="G153" s="21" t="n">
        <v>1.6230445E8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329.0</v>
      </c>
      <c r="F154" s="22" t="n">
        <f>0</f>
        <v>0.0</v>
      </c>
      <c r="G154" s="21" t="n">
        <v>2.691179E8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998.0</v>
      </c>
      <c r="F155" s="26" t="n">
        <f>0</f>
        <v>0.0</v>
      </c>
      <c r="G155" s="25" t="n">
        <v>8.2683045E8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71.0</v>
      </c>
      <c r="F156" s="18" t="n">
        <f>0</f>
        <v>0.0</v>
      </c>
      <c r="G156" s="17" t="n">
        <v>5.9813E7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116.0</v>
      </c>
      <c r="F157" s="22" t="n">
        <f>0</f>
        <v>0.0</v>
      </c>
      <c r="G157" s="21" t="n">
        <v>9.6059E7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434.0</v>
      </c>
      <c r="F158" s="22" t="n">
        <f>0</f>
        <v>0.0</v>
      </c>
      <c r="G158" s="21" t="n">
        <v>3.550532E8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621.0</v>
      </c>
      <c r="F159" s="26" t="n">
        <f>0</f>
        <v>0.0</v>
      </c>
      <c r="G159" s="25" t="n">
        <v>5.109252E8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92.0</v>
      </c>
      <c r="F168" s="18" t="n">
        <f>0</f>
        <v>0.0</v>
      </c>
      <c r="G168" s="17" t="n">
        <v>1.95809E8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117.0</v>
      </c>
      <c r="F169" s="22" t="n">
        <f>0</f>
        <v>0.0</v>
      </c>
      <c r="G169" s="21" t="n">
        <v>2.49181E8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539.0</v>
      </c>
      <c r="F170" s="22" t="n">
        <f>0</f>
        <v>0.0</v>
      </c>
      <c r="G170" s="21" t="n">
        <v>1.136662E9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748.0</v>
      </c>
      <c r="F171" s="26" t="n">
        <f>0</f>
        <v>0.0</v>
      </c>
      <c r="G171" s="25" t="n">
        <v>1.581652E9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33.0</v>
      </c>
      <c r="F176" s="18" t="n">
        <f>0</f>
        <v>0.0</v>
      </c>
      <c r="G176" s="17" t="n">
        <v>5.60425E7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4.0</v>
      </c>
      <c r="F177" s="22" t="n">
        <f>0</f>
        <v>0.0</v>
      </c>
      <c r="G177" s="21" t="n">
        <v>7120000.0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91.0</v>
      </c>
      <c r="F178" s="22" t="n">
        <f>0</f>
        <v>0.0</v>
      </c>
      <c r="G178" s="21" t="n">
        <v>1.607945E8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128.0</v>
      </c>
      <c r="F179" s="26" t="n">
        <f>0</f>
        <v>0.0</v>
      </c>
      <c r="G179" s="25" t="n">
        <v>2.23957E8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502.0</v>
      </c>
      <c r="F204" s="18" t="n">
        <f>0</f>
        <v>0.0</v>
      </c>
      <c r="G204" s="17" t="n">
        <v>1.9461415E9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170.0</v>
      </c>
      <c r="F205" s="22" t="n">
        <f>0</f>
        <v>0.0</v>
      </c>
      <c r="G205" s="21" t="n">
        <v>6.60118E8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797.0</v>
      </c>
      <c r="F206" s="22" t="n">
        <f>2</f>
        <v>2.0</v>
      </c>
      <c r="G206" s="21" t="n">
        <v>3.0788295E9</v>
      </c>
      <c r="H206" s="22" t="n">
        <f>7700000</f>
        <v>7700000.0</v>
      </c>
    </row>
    <row r="207" spans="1:8" ht="24.9" customHeight="1">
      <c r="A207" s="57"/>
      <c r="B207" s="59"/>
      <c r="C207" s="39"/>
      <c r="D207" s="24" t="s">
        <v>18</v>
      </c>
      <c r="E207" s="25" t="n">
        <v>1469.0</v>
      </c>
      <c r="F207" s="26" t="n">
        <f>2</f>
        <v>2.0</v>
      </c>
      <c r="G207" s="25" t="n">
        <v>5.685089E9</v>
      </c>
      <c r="H207" s="26" t="n">
        <f>7700000</f>
        <v>7700000.0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100.0</v>
      </c>
      <c r="F210" s="22" t="n">
        <f>100</f>
        <v>100.0</v>
      </c>
      <c r="G210" s="21" t="n">
        <v>1.50288E8</v>
      </c>
      <c r="H210" s="22" t="n">
        <f>150288000</f>
        <v>1.50288E8</v>
      </c>
    </row>
    <row r="211" spans="1:8" ht="24.9" customHeight="1">
      <c r="A211" s="57"/>
      <c r="B211" s="59"/>
      <c r="C211" s="39"/>
      <c r="D211" s="24" t="s">
        <v>18</v>
      </c>
      <c r="E211" s="25" t="n">
        <v>100.0</v>
      </c>
      <c r="F211" s="26" t="n">
        <f>100</f>
        <v>100.0</v>
      </c>
      <c r="G211" s="25" t="n">
        <v>1.50288E8</v>
      </c>
      <c r="H211" s="26" t="n">
        <f>150288000</f>
        <v>1.50288E8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10.0</v>
      </c>
      <c r="F213" s="22" t="n">
        <f>10</f>
        <v>10.0</v>
      </c>
      <c r="G213" s="21" t="n">
        <v>1.3764E7</v>
      </c>
      <c r="H213" s="22" t="n">
        <f>13764000</f>
        <v>1.3764E7</v>
      </c>
    </row>
    <row r="214" spans="1:8" ht="24.9" customHeight="1">
      <c r="A214" s="57"/>
      <c r="B214" s="59"/>
      <c r="C214" s="39"/>
      <c r="D214" s="20" t="s">
        <v>17</v>
      </c>
      <c r="E214" s="21" t="n">
        <v>210.0</v>
      </c>
      <c r="F214" s="22" t="n">
        <f>210</f>
        <v>210.0</v>
      </c>
      <c r="G214" s="21" t="n">
        <v>2.707416E8</v>
      </c>
      <c r="H214" s="22" t="n">
        <f>270741600</f>
        <v>2.707416E8</v>
      </c>
    </row>
    <row r="215" spans="1:8" ht="24.9" customHeight="1">
      <c r="A215" s="57"/>
      <c r="B215" s="59"/>
      <c r="C215" s="39"/>
      <c r="D215" s="24" t="s">
        <v>18</v>
      </c>
      <c r="E215" s="25" t="n">
        <v>220.0</v>
      </c>
      <c r="F215" s="26" t="n">
        <f>220</f>
        <v>220.0</v>
      </c>
      <c r="G215" s="25" t="n">
        <v>2.845056E8</v>
      </c>
      <c r="H215" s="26" t="n">
        <f>284505600</f>
        <v>2.845056E8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46220.0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46220.0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4842</f>
        <v>4842.0</v>
      </c>
      <c r="E12" s="35" t="n">
        <f>3641</f>
        <v>3641.0</v>
      </c>
      <c r="F12" s="17" t="n">
        <f>2385</f>
        <v>2385.0</v>
      </c>
      <c r="G12" s="35" t="n">
        <f>614</f>
        <v>614.0</v>
      </c>
      <c r="H12" s="17" t="n">
        <f>7227</f>
        <v>7227.0</v>
      </c>
      <c r="I12" s="35" t="n">
        <f>4255</f>
        <v>4255.0</v>
      </c>
      <c r="J12" s="17" t="n">
        <f>3318927380</f>
        <v>3.31892738E9</v>
      </c>
      <c r="K12" s="35" t="n">
        <f>2885378380</f>
        <v>2.88537838E9</v>
      </c>
      <c r="L12" s="17" t="n">
        <f>3384541620</f>
        <v>3.38454162E9</v>
      </c>
      <c r="M12" s="35" t="n">
        <f>3019454620</f>
        <v>3.01945462E9</v>
      </c>
      <c r="N12" s="17" t="n">
        <f>6703469000</f>
        <v>6.703469E9</v>
      </c>
      <c r="O12" s="35" t="n">
        <f>5904833000</f>
        <v>5.904833E9</v>
      </c>
    </row>
    <row r="13" spans="1:15" ht="24.9" customHeight="1">
      <c r="A13" s="38"/>
      <c r="B13" s="62"/>
      <c r="C13" s="20" t="s">
        <v>16</v>
      </c>
      <c r="D13" s="21" t="n">
        <f>8010</f>
        <v>8010.0</v>
      </c>
      <c r="E13" s="36" t="n">
        <f>3646</f>
        <v>3646.0</v>
      </c>
      <c r="F13" s="21" t="n">
        <f>5559</f>
        <v>5559.0</v>
      </c>
      <c r="G13" s="36" t="n">
        <f>1913</f>
        <v>1913.0</v>
      </c>
      <c r="H13" s="21" t="n">
        <f>13569</f>
        <v>13569.0</v>
      </c>
      <c r="I13" s="36" t="n">
        <f>5559</f>
        <v>5559.0</v>
      </c>
      <c r="J13" s="21" t="n">
        <f>7394940970</f>
        <v>7.39494097E9</v>
      </c>
      <c r="K13" s="36" t="n">
        <f>5051472970</f>
        <v>5.05147297E9</v>
      </c>
      <c r="L13" s="21" t="n">
        <f>2859471620</f>
        <v>2.85947162E9</v>
      </c>
      <c r="M13" s="36" t="n">
        <f>1473770620</f>
        <v>1.47377062E9</v>
      </c>
      <c r="N13" s="21" t="n">
        <f>10254412590</f>
        <v>1.025441259E10</v>
      </c>
      <c r="O13" s="36" t="n">
        <f>6525243590</f>
        <v>6.52524359E9</v>
      </c>
    </row>
    <row r="14" spans="1:15" ht="24.9" customHeight="1">
      <c r="A14" s="38"/>
      <c r="B14" s="62"/>
      <c r="C14" s="20" t="s">
        <v>17</v>
      </c>
      <c r="D14" s="21" t="n">
        <f>20431</f>
        <v>20431.0</v>
      </c>
      <c r="E14" s="36" t="n">
        <f>12076</f>
        <v>12076.0</v>
      </c>
      <c r="F14" s="21" t="n">
        <f>15789</f>
        <v>15789.0</v>
      </c>
      <c r="G14" s="36" t="n">
        <f>10064</f>
        <v>10064.0</v>
      </c>
      <c r="H14" s="21" t="n">
        <f>36220</f>
        <v>36220.0</v>
      </c>
      <c r="I14" s="36" t="n">
        <f>22140</f>
        <v>22140.0</v>
      </c>
      <c r="J14" s="21" t="n">
        <f>31844620060</f>
        <v>3.184462006E10</v>
      </c>
      <c r="K14" s="36" t="n">
        <f>27171022060</f>
        <v>2.717102206E10</v>
      </c>
      <c r="L14" s="21" t="n">
        <f>17314142500</f>
        <v>1.73141425E10</v>
      </c>
      <c r="M14" s="36" t="n">
        <f>14232640500</f>
        <v>1.42326405E10</v>
      </c>
      <c r="N14" s="21" t="n">
        <f>49158762560</f>
        <v>4.915876256E10</v>
      </c>
      <c r="O14" s="36" t="n">
        <f>41403662560</f>
        <v>4.140366256E10</v>
      </c>
    </row>
    <row r="15" spans="1:15" ht="24.9" customHeight="1">
      <c r="A15" s="38"/>
      <c r="B15" s="62"/>
      <c r="C15" s="24" t="s">
        <v>18</v>
      </c>
      <c r="D15" s="25" t="n">
        <f>33283</f>
        <v>33283.0</v>
      </c>
      <c r="E15" s="37" t="n">
        <f>19363</f>
        <v>19363.0</v>
      </c>
      <c r="F15" s="25" t="n">
        <f>23733</f>
        <v>23733.0</v>
      </c>
      <c r="G15" s="37" t="n">
        <f>12591</f>
        <v>12591.0</v>
      </c>
      <c r="H15" s="25" t="n">
        <f>57016</f>
        <v>57016.0</v>
      </c>
      <c r="I15" s="37" t="n">
        <f>31954</f>
        <v>31954.0</v>
      </c>
      <c r="J15" s="25" t="n">
        <f>42558488410</f>
        <v>4.255848841E10</v>
      </c>
      <c r="K15" s="37" t="n">
        <f>35107873410</f>
        <v>3.510787341E10</v>
      </c>
      <c r="L15" s="25" t="n">
        <f>23558155740</f>
        <v>2.355815574E10</v>
      </c>
      <c r="M15" s="37" t="n">
        <f>18725865740</f>
        <v>1.872586574E10</v>
      </c>
      <c r="N15" s="25" t="n">
        <f>66116644150</f>
        <v>6.611664415E10</v>
      </c>
      <c r="O15" s="37" t="n">
        <f>53833739150</f>
        <v>5.383373915E10</v>
      </c>
    </row>
    <row r="16" spans="1:15" ht="24.9" customHeight="1">
      <c r="A16" s="38"/>
      <c r="B16" s="61" t="s">
        <v>105</v>
      </c>
      <c r="C16" s="16" t="s">
        <v>15</v>
      </c>
      <c r="D16" s="17" t="n">
        <f>5360</f>
        <v>5360.0</v>
      </c>
      <c r="E16" s="35" t="n">
        <f>180</f>
        <v>180.0</v>
      </c>
      <c r="F16" s="17" t="n">
        <f>7665</f>
        <v>7665.0</v>
      </c>
      <c r="G16" s="35" t="n">
        <f>390</f>
        <v>390.0</v>
      </c>
      <c r="H16" s="17" t="n">
        <f>13025</f>
        <v>13025.0</v>
      </c>
      <c r="I16" s="35" t="n">
        <f>570</f>
        <v>570.0</v>
      </c>
      <c r="J16" s="17" t="n">
        <f>533425020</f>
        <v>5.3342502E8</v>
      </c>
      <c r="K16" s="35" t="n">
        <f>9396920</f>
        <v>9396920.0</v>
      </c>
      <c r="L16" s="17" t="n">
        <f>367738770</f>
        <v>3.6773877E8</v>
      </c>
      <c r="M16" s="35" t="n">
        <f>9616270</f>
        <v>9616270.0</v>
      </c>
      <c r="N16" s="17" t="n">
        <f>901163790</f>
        <v>9.0116379E8</v>
      </c>
      <c r="O16" s="35" t="n">
        <f>19013190</f>
        <v>1.901319E7</v>
      </c>
    </row>
    <row r="17" spans="1:15" ht="24.9" customHeight="1">
      <c r="A17" s="38"/>
      <c r="B17" s="62"/>
      <c r="C17" s="20" t="s">
        <v>16</v>
      </c>
      <c r="D17" s="21" t="n">
        <f>5804</f>
        <v>5804.0</v>
      </c>
      <c r="E17" s="36" t="n">
        <f>230</f>
        <v>230.0</v>
      </c>
      <c r="F17" s="21" t="n">
        <f>12204</f>
        <v>12204.0</v>
      </c>
      <c r="G17" s="36" t="n">
        <f>1090</f>
        <v>1090.0</v>
      </c>
      <c r="H17" s="21" t="n">
        <f>18008</f>
        <v>18008.0</v>
      </c>
      <c r="I17" s="36" t="n">
        <f>1320</f>
        <v>1320.0</v>
      </c>
      <c r="J17" s="21" t="n">
        <f>640061080</f>
        <v>6.4006108E8</v>
      </c>
      <c r="K17" s="36" t="n">
        <f>26233780</f>
        <v>2.623378E7</v>
      </c>
      <c r="L17" s="21" t="n">
        <f>372919830</f>
        <v>3.7291983E8</v>
      </c>
      <c r="M17" s="36" t="n">
        <f>31865430</f>
        <v>3.186543E7</v>
      </c>
      <c r="N17" s="21" t="n">
        <f>1012980910</f>
        <v>1.01298091E9</v>
      </c>
      <c r="O17" s="36" t="n">
        <f>58099210</f>
        <v>5.809921E7</v>
      </c>
    </row>
    <row r="18" spans="1:15" ht="24.9" customHeight="1">
      <c r="A18" s="38"/>
      <c r="B18" s="62"/>
      <c r="C18" s="20" t="s">
        <v>17</v>
      </c>
      <c r="D18" s="21" t="n">
        <f>4630</f>
        <v>4630.0</v>
      </c>
      <c r="E18" s="36" t="n">
        <f>10</f>
        <v>10.0</v>
      </c>
      <c r="F18" s="21" t="n">
        <f>19624</f>
        <v>19624.0</v>
      </c>
      <c r="G18" s="36" t="n">
        <f>660</f>
        <v>660.0</v>
      </c>
      <c r="H18" s="21" t="n">
        <f>24254</f>
        <v>24254.0</v>
      </c>
      <c r="I18" s="36" t="n">
        <f>670</f>
        <v>670.0</v>
      </c>
      <c r="J18" s="21" t="n">
        <f>715347510</f>
        <v>7.1534751E8</v>
      </c>
      <c r="K18" s="36" t="n">
        <f>6240010</f>
        <v>6240010.0</v>
      </c>
      <c r="L18" s="21" t="n">
        <f>766715450</f>
        <v>7.6671545E8</v>
      </c>
      <c r="M18" s="36" t="n">
        <f>14560950</f>
        <v>1.456095E7</v>
      </c>
      <c r="N18" s="21" t="n">
        <f>1482062960</f>
        <v>1.48206296E9</v>
      </c>
      <c r="O18" s="36" t="n">
        <f>20800960</f>
        <v>2.080096E7</v>
      </c>
    </row>
    <row r="19" spans="1:15" ht="24.9" customHeight="1">
      <c r="A19" s="38"/>
      <c r="B19" s="62"/>
      <c r="C19" s="24" t="s">
        <v>18</v>
      </c>
      <c r="D19" s="25" t="n">
        <f>15794</f>
        <v>15794.0</v>
      </c>
      <c r="E19" s="37" t="n">
        <f>420</f>
        <v>420.0</v>
      </c>
      <c r="F19" s="25" t="n">
        <f>39493</f>
        <v>39493.0</v>
      </c>
      <c r="G19" s="37" t="n">
        <f>2140</f>
        <v>2140.0</v>
      </c>
      <c r="H19" s="25" t="n">
        <f>55287</f>
        <v>55287.0</v>
      </c>
      <c r="I19" s="37" t="n">
        <f>2560</f>
        <v>2560.0</v>
      </c>
      <c r="J19" s="25" t="n">
        <f>1888833610</f>
        <v>1.88883361E9</v>
      </c>
      <c r="K19" s="37" t="n">
        <f>41870710</f>
        <v>4.187071E7</v>
      </c>
      <c r="L19" s="25" t="n">
        <f>1507374050</f>
        <v>1.50737405E9</v>
      </c>
      <c r="M19" s="37" t="n">
        <f>56042650</f>
        <v>5.604265E7</v>
      </c>
      <c r="N19" s="25" t="n">
        <f>3396207660</f>
        <v>3.39620766E9</v>
      </c>
      <c r="O19" s="37" t="n">
        <f>97913360</f>
        <v>9.791336E7</v>
      </c>
    </row>
    <row r="20" spans="1:15" ht="24.9" customHeight="1">
      <c r="A20" s="38"/>
      <c r="B20" s="61" t="s">
        <v>106</v>
      </c>
      <c r="C20" s="16" t="s">
        <v>15</v>
      </c>
      <c r="D20" s="17" t="n">
        <f>80</f>
        <v>80.0</v>
      </c>
      <c r="E20" s="35" t="n">
        <f>80</f>
        <v>80.0</v>
      </c>
      <c r="F20" s="17" t="n">
        <f>80</f>
        <v>80.0</v>
      </c>
      <c r="G20" s="35" t="n">
        <f>80</f>
        <v>80.0</v>
      </c>
      <c r="H20" s="17" t="n">
        <f>160</f>
        <v>160.0</v>
      </c>
      <c r="I20" s="35" t="n">
        <f>160</f>
        <v>160.0</v>
      </c>
      <c r="J20" s="17" t="n">
        <f>184000000</f>
        <v>1.84E8</v>
      </c>
      <c r="K20" s="35" t="n">
        <f>184000000</f>
        <v>1.84E8</v>
      </c>
      <c r="L20" s="17" t="n">
        <f>152000000</f>
        <v>1.52E8</v>
      </c>
      <c r="M20" s="35" t="n">
        <f>152000000</f>
        <v>1.52E8</v>
      </c>
      <c r="N20" s="17" t="n">
        <f>336000000</f>
        <v>3.36E8</v>
      </c>
      <c r="O20" s="35" t="n">
        <f>336000000</f>
        <v>3.36E8</v>
      </c>
    </row>
    <row r="21" spans="1:15" ht="24.9" customHeight="1">
      <c r="A21" s="38"/>
      <c r="B21" s="62"/>
      <c r="C21" s="20" t="s">
        <v>16</v>
      </c>
      <c r="D21" s="21" t="n">
        <f>1460</f>
        <v>1460.0</v>
      </c>
      <c r="E21" s="36" t="n">
        <f>1460</f>
        <v>1460.0</v>
      </c>
      <c r="F21" s="21" t="n">
        <f>80</f>
        <v>80.0</v>
      </c>
      <c r="G21" s="36" t="n">
        <f>80</f>
        <v>80.0</v>
      </c>
      <c r="H21" s="21" t="n">
        <f>1540</f>
        <v>1540.0</v>
      </c>
      <c r="I21" s="36" t="n">
        <f>1540</f>
        <v>1540.0</v>
      </c>
      <c r="J21" s="21" t="n">
        <f>3674401600</f>
        <v>3.6744016E9</v>
      </c>
      <c r="K21" s="36" t="n">
        <f>3674401600</f>
        <v>3.6744016E9</v>
      </c>
      <c r="L21" s="21" t="n">
        <f>152000000</f>
        <v>1.52E8</v>
      </c>
      <c r="M21" s="36" t="n">
        <f>152000000</f>
        <v>1.52E8</v>
      </c>
      <c r="N21" s="21" t="n">
        <f>3826401600</f>
        <v>3.8264016E9</v>
      </c>
      <c r="O21" s="36" t="n">
        <f>3826401600</f>
        <v>3.8264016E9</v>
      </c>
    </row>
    <row r="22" spans="1:15" ht="24.9" customHeight="1">
      <c r="A22" s="38"/>
      <c r="B22" s="62"/>
      <c r="C22" s="20" t="s">
        <v>17</v>
      </c>
      <c r="D22" s="21" t="n">
        <f>823</f>
        <v>823.0</v>
      </c>
      <c r="E22" s="36" t="n">
        <f>808</f>
        <v>808.0</v>
      </c>
      <c r="F22" s="21" t="n">
        <f>0</f>
        <v>0.0</v>
      </c>
      <c r="G22" s="36" t="n">
        <f>0</f>
        <v>0.0</v>
      </c>
      <c r="H22" s="21" t="n">
        <f>823</f>
        <v>823.0</v>
      </c>
      <c r="I22" s="36" t="n">
        <f>808</f>
        <v>808.0</v>
      </c>
      <c r="J22" s="21" t="n">
        <f>970157628</f>
        <v>9.70157628E8</v>
      </c>
      <c r="K22" s="36" t="n">
        <f>963707628</f>
        <v>9.63707628E8</v>
      </c>
      <c r="L22" s="21" t="n">
        <f>0</f>
        <v>0.0</v>
      </c>
      <c r="M22" s="36" t="n">
        <f>0</f>
        <v>0.0</v>
      </c>
      <c r="N22" s="21" t="n">
        <f>970157628</f>
        <v>9.70157628E8</v>
      </c>
      <c r="O22" s="36" t="n">
        <f>963707628</f>
        <v>9.63707628E8</v>
      </c>
    </row>
    <row r="23" spans="1:15" ht="24.9" customHeight="1">
      <c r="A23" s="38"/>
      <c r="B23" s="62"/>
      <c r="C23" s="24" t="s">
        <v>18</v>
      </c>
      <c r="D23" s="25" t="n">
        <f>2363</f>
        <v>2363.0</v>
      </c>
      <c r="E23" s="37" t="n">
        <f>2348</f>
        <v>2348.0</v>
      </c>
      <c r="F23" s="25" t="n">
        <f>160</f>
        <v>160.0</v>
      </c>
      <c r="G23" s="37" t="n">
        <f>160</f>
        <v>160.0</v>
      </c>
      <c r="H23" s="25" t="n">
        <f>2523</f>
        <v>2523.0</v>
      </c>
      <c r="I23" s="37" t="n">
        <f>2508</f>
        <v>2508.0</v>
      </c>
      <c r="J23" s="25" t="n">
        <f>4828559228</f>
        <v>4.828559228E9</v>
      </c>
      <c r="K23" s="37" t="n">
        <f>4822109228</f>
        <v>4.822109228E9</v>
      </c>
      <c r="L23" s="25" t="n">
        <f>304000000</f>
        <v>3.04E8</v>
      </c>
      <c r="M23" s="37" t="n">
        <f>304000000</f>
        <v>3.04E8</v>
      </c>
      <c r="N23" s="25" t="n">
        <f>5132559228</f>
        <v>5.132559228E9</v>
      </c>
      <c r="O23" s="37" t="n">
        <f>5126109228</f>
        <v>5.126109228E9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0</f>
        <v>0.0</v>
      </c>
      <c r="E37" s="22" t="n">
        <f>0</f>
        <v>0.0</v>
      </c>
      <c r="F37" s="21" t="n">
        <f>51</f>
        <v>51.0</v>
      </c>
      <c r="G37" s="22" t="n">
        <f>0</f>
        <v>0.0</v>
      </c>
      <c r="H37" s="21" t="n">
        <f>51</f>
        <v>51.0</v>
      </c>
      <c r="I37" s="22" t="n">
        <f>0</f>
        <v>0.0</v>
      </c>
      <c r="J37" s="21" t="n">
        <f>0</f>
        <v>0.0</v>
      </c>
      <c r="K37" s="22" t="n">
        <f>0</f>
        <v>0.0</v>
      </c>
      <c r="L37" s="21" t="n">
        <f>9900000</f>
        <v>9900000.0</v>
      </c>
      <c r="M37" s="22" t="n">
        <f>0</f>
        <v>0.0</v>
      </c>
      <c r="N37" s="21" t="n">
        <f>9900000</f>
        <v>9900000.0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85</f>
        <v>85.0</v>
      </c>
      <c r="E38" s="36" t="n">
        <f>15</f>
        <v>15.0</v>
      </c>
      <c r="F38" s="21" t="n">
        <f>356</f>
        <v>356.0</v>
      </c>
      <c r="G38" s="36" t="n">
        <f>45</f>
        <v>45.0</v>
      </c>
      <c r="H38" s="21" t="n">
        <f>441</f>
        <v>441.0</v>
      </c>
      <c r="I38" s="36" t="n">
        <f>60</f>
        <v>60.0</v>
      </c>
      <c r="J38" s="21" t="n">
        <f>9190000</f>
        <v>9190000.0</v>
      </c>
      <c r="K38" s="36" t="n">
        <f>1050000</f>
        <v>1050000.0</v>
      </c>
      <c r="L38" s="21" t="n">
        <f>31700000</f>
        <v>3.17E7</v>
      </c>
      <c r="M38" s="36" t="n">
        <f>5850000</f>
        <v>5850000.0</v>
      </c>
      <c r="N38" s="21" t="n">
        <f>40890000</f>
        <v>4.089E7</v>
      </c>
      <c r="O38" s="36" t="n">
        <f>6900000</f>
        <v>6900000.0</v>
      </c>
    </row>
    <row r="39" spans="1:15" ht="24.9" customHeight="1">
      <c r="A39" s="38"/>
      <c r="B39" s="62"/>
      <c r="C39" s="24" t="s">
        <v>18</v>
      </c>
      <c r="D39" s="25" t="n">
        <f>85</f>
        <v>85.0</v>
      </c>
      <c r="E39" s="37" t="n">
        <f>15</f>
        <v>15.0</v>
      </c>
      <c r="F39" s="25" t="n">
        <f>407</f>
        <v>407.0</v>
      </c>
      <c r="G39" s="37" t="n">
        <f>45</f>
        <v>45.0</v>
      </c>
      <c r="H39" s="25" t="n">
        <f>492</f>
        <v>492.0</v>
      </c>
      <c r="I39" s="37" t="n">
        <f>60</f>
        <v>60.0</v>
      </c>
      <c r="J39" s="25" t="n">
        <f>9190000</f>
        <v>9190000.0</v>
      </c>
      <c r="K39" s="37" t="n">
        <f>1050000</f>
        <v>1050000.0</v>
      </c>
      <c r="L39" s="25" t="n">
        <f>41600000</f>
        <v>4.16E7</v>
      </c>
      <c r="M39" s="37" t="n">
        <f>5850000</f>
        <v>5850000.0</v>
      </c>
      <c r="N39" s="25" t="n">
        <f>50790000</f>
        <v>5.079E7</v>
      </c>
      <c r="O39" s="37" t="n">
        <f>6900000</f>
        <v>6900000.0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18601</f>
        <v>18601.0</v>
      </c>
      <c r="E41" s="36" t="n">
        <f>0</f>
        <v>0.0</v>
      </c>
      <c r="F41" s="21" t="n">
        <f>18099</f>
        <v>18099.0</v>
      </c>
      <c r="G41" s="36" t="n">
        <f>0</f>
        <v>0.0</v>
      </c>
      <c r="H41" s="21" t="n">
        <f>36700</f>
        <v>36700.0</v>
      </c>
      <c r="I41" s="36" t="n">
        <f>0</f>
        <v>0.0</v>
      </c>
      <c r="J41" s="21" t="n">
        <f>53600368</f>
        <v>5.3600368E7</v>
      </c>
      <c r="K41" s="36" t="n">
        <f>0</f>
        <v>0.0</v>
      </c>
      <c r="L41" s="21" t="n">
        <f>18203865</f>
        <v>1.8203865E7</v>
      </c>
      <c r="M41" s="36" t="n">
        <f>0</f>
        <v>0.0</v>
      </c>
      <c r="N41" s="21" t="n">
        <f>71804233</f>
        <v>7.1804233E7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7677</f>
        <v>7677.0</v>
      </c>
      <c r="E42" s="36" t="n">
        <f>0</f>
        <v>0.0</v>
      </c>
      <c r="F42" s="21" t="n">
        <f>5872</f>
        <v>5872.0</v>
      </c>
      <c r="G42" s="36" t="n">
        <f>2500</f>
        <v>2500.0</v>
      </c>
      <c r="H42" s="21" t="n">
        <f>13549</f>
        <v>13549.0</v>
      </c>
      <c r="I42" s="36" t="n">
        <f>2500</f>
        <v>2500.0</v>
      </c>
      <c r="J42" s="21" t="n">
        <f>135645372</f>
        <v>1.35645372E8</v>
      </c>
      <c r="K42" s="36" t="n">
        <f>0</f>
        <v>0.0</v>
      </c>
      <c r="L42" s="21" t="n">
        <f>176725970</f>
        <v>1.7672597E8</v>
      </c>
      <c r="M42" s="36" t="n">
        <f>139750000</f>
        <v>1.3975E8</v>
      </c>
      <c r="N42" s="21" t="n">
        <f>312371342</f>
        <v>3.12371342E8</v>
      </c>
      <c r="O42" s="36" t="n">
        <f>139750000</f>
        <v>1.3975E8</v>
      </c>
    </row>
    <row r="43" spans="1:15" ht="24.9" customHeight="1">
      <c r="A43" s="38"/>
      <c r="B43" s="62"/>
      <c r="C43" s="24" t="s">
        <v>18</v>
      </c>
      <c r="D43" s="25" t="n">
        <f>26278</f>
        <v>26278.0</v>
      </c>
      <c r="E43" s="37" t="n">
        <f>0</f>
        <v>0.0</v>
      </c>
      <c r="F43" s="25" t="n">
        <f>23971</f>
        <v>23971.0</v>
      </c>
      <c r="G43" s="37" t="n">
        <f>2500</f>
        <v>2500.0</v>
      </c>
      <c r="H43" s="25" t="n">
        <f>50249</f>
        <v>50249.0</v>
      </c>
      <c r="I43" s="37" t="n">
        <f>2500</f>
        <v>2500.0</v>
      </c>
      <c r="J43" s="25" t="n">
        <f>189245740</f>
        <v>1.8924574E8</v>
      </c>
      <c r="K43" s="37" t="n">
        <f>0</f>
        <v>0.0</v>
      </c>
      <c r="L43" s="25" t="n">
        <f>194929835</f>
        <v>1.94929835E8</v>
      </c>
      <c r="M43" s="37" t="n">
        <f>139750000</f>
        <v>1.3975E8</v>
      </c>
      <c r="N43" s="25" t="n">
        <f>384175575</f>
        <v>3.84175575E8</v>
      </c>
      <c r="O43" s="37" t="n">
        <f>139750000</f>
        <v>1.3975E8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