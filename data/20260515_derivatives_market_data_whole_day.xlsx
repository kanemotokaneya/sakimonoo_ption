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<sst xmlns="http://schemas.openxmlformats.org/spreadsheetml/2006/main" count="528" uniqueCount="129">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</sst>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DATE(2026,05,15)</f>
        <v>46157.0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DATE(2026,05,15)</f>
        <v>46157.0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509805.0</f>
        <v>509805.0</v>
      </c>
      <c r="E12" s="18" t="n">
        <f>27374.0</f>
        <v>27374.0</v>
      </c>
      <c r="F12" s="19" t="n">
        <f>1.0</f>
        <v>1.0</v>
      </c>
      <c r="G12" s="17" t="n">
        <f>3799893059695.0</f>
        <v>3.799893059695E12</v>
      </c>
      <c r="H12" s="18" t="n">
        <f>232803429120.0</f>
        <v>2.3280342912E11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481806.0</f>
        <v>481806.0</v>
      </c>
      <c r="E13" s="22" t="n">
        <f>25651.0</f>
        <v>25651.0</v>
      </c>
      <c r="F13" s="23" t="n">
        <f>1.0</f>
        <v>1.0</v>
      </c>
      <c r="G13" s="21" t="n">
        <f>5628583458765.0</f>
        <v>5.628583458765E12</v>
      </c>
      <c r="H13" s="22" t="n">
        <f>330914233840.0</f>
        <v>3.3091423384E11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714347.0</f>
        <v>714347.0</v>
      </c>
      <c r="E14" s="22" t="n">
        <f>55268.0</f>
        <v>55268.0</v>
      </c>
      <c r="F14" s="23" t="n">
        <f>1.0</f>
        <v>1.0</v>
      </c>
      <c r="G14" s="21" t="n">
        <f>8954233083439.0</f>
        <v>8.954233083439E12</v>
      </c>
      <c r="H14" s="22" t="n">
        <f>1348301125814.0</f>
        <v>1.348301125814E12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1705958.0</f>
        <v>1705958.0</v>
      </c>
      <c r="E15" s="26" t="n">
        <f>108293.0</f>
        <v>108293.0</v>
      </c>
      <c r="F15" s="27" t="n">
        <f>1.0</f>
        <v>1.0</v>
      </c>
      <c r="G15" s="25" t="n">
        <f>18382709601899.0</f>
        <v>1.8382709601899E13</v>
      </c>
      <c r="H15" s="26" t="n">
        <f>1912018788774.0</f>
        <v>1.912018788774E12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12738.0</f>
        <v>12738.0</v>
      </c>
      <c r="E16" s="18" t="n">
        <f>215.0</f>
        <v>215.0</v>
      </c>
      <c r="F16" s="19" t="n">
        <f>0.025</f>
        <v>0.025</v>
      </c>
      <c r="G16" s="17" t="n">
        <f>1371471473125.0</f>
        <v>1.371471473125E12</v>
      </c>
      <c r="H16" s="18" t="n">
        <f>27683420000.0</f>
        <v>2.768342E10</v>
      </c>
      <c r="I16" s="19" t="n">
        <f>0.361</f>
        <v>0.361</v>
      </c>
    </row>
    <row r="17" spans="1:9" ht="24.9" customHeight="1">
      <c r="A17" s="41"/>
      <c r="B17" s="39"/>
      <c r="C17" s="20" t="s">
        <v>16</v>
      </c>
      <c r="D17" s="21" t="n">
        <f>25188.0</f>
        <v>25188.0</v>
      </c>
      <c r="E17" s="22" t="n">
        <f>943.0</f>
        <v>943.0</v>
      </c>
      <c r="F17" s="23" t="n">
        <f>0.052</f>
        <v>0.052</v>
      </c>
      <c r="G17" s="21" t="n">
        <f>2910297485375.0</f>
        <v>2.910297485375E12</v>
      </c>
      <c r="H17" s="22" t="n">
        <f>121083040000.0</f>
        <v>1.2108304E11</v>
      </c>
      <c r="I17" s="23" t="n">
        <f>0.517</f>
        <v>0.517</v>
      </c>
    </row>
    <row r="18" spans="1:9" ht="24.9" customHeight="1">
      <c r="A18" s="41"/>
      <c r="B18" s="39"/>
      <c r="C18" s="20" t="s">
        <v>17</v>
      </c>
      <c r="D18" s="21" t="n">
        <f>26619.0</f>
        <v>26619.0</v>
      </c>
      <c r="E18" s="22" t="n">
        <f>1382.0</f>
        <v>1382.0</v>
      </c>
      <c r="F18" s="23" t="n">
        <f>0.037</f>
        <v>0.037</v>
      </c>
      <c r="G18" s="21" t="n">
        <f>3284734864875.0</f>
        <v>3.284734864875E12</v>
      </c>
      <c r="H18" s="22" t="n">
        <f>177110875000.0</f>
        <v>1.77110875E11</v>
      </c>
      <c r="I18" s="23" t="n">
        <f>0.367</f>
        <v>0.367</v>
      </c>
    </row>
    <row r="19" spans="1:9" ht="24.9" customHeight="1">
      <c r="A19" s="41"/>
      <c r="B19" s="39"/>
      <c r="C19" s="24" t="s">
        <v>18</v>
      </c>
      <c r="D19" s="25" t="n">
        <f>64545.0</f>
        <v>64545.0</v>
      </c>
      <c r="E19" s="26" t="n">
        <f>2540.0</f>
        <v>2540.0</v>
      </c>
      <c r="F19" s="27" t="n">
        <f>0.038</f>
        <v>0.038</v>
      </c>
      <c r="G19" s="25" t="n">
        <f>7566503823375.0</f>
        <v>7.566503823375E12</v>
      </c>
      <c r="H19" s="26" t="n">
        <f>325877335000.0</f>
        <v>3.25877335E11</v>
      </c>
      <c r="I19" s="27" t="n">
        <f>0.412</f>
        <v>0.412</v>
      </c>
    </row>
    <row r="20" spans="1:9" ht="24.9" customHeight="1">
      <c r="A20" s="41"/>
      <c r="B20" s="39" t="s">
        <v>21</v>
      </c>
      <c r="C20" s="16" t="s">
        <v>15</v>
      </c>
      <c r="D20" s="17" t="n">
        <f>481381.0</f>
        <v>481381.0</v>
      </c>
      <c r="E20" s="18" t="n">
        <f>27159.0</f>
        <v>27159.0</v>
      </c>
      <c r="F20" s="19" t="n">
        <f>0.944</f>
        <v>0.944</v>
      </c>
      <c r="G20" s="17" t="n">
        <f>2271807808520.0</f>
        <v>2.27180780852E12</v>
      </c>
      <c r="H20" s="18" t="n">
        <f>205120009120.0</f>
        <v>2.0512000912E11</v>
      </c>
      <c r="I20" s="19" t="n">
        <f>0.598</f>
        <v>0.598</v>
      </c>
    </row>
    <row r="21" spans="1:9" ht="24.9" customHeight="1">
      <c r="A21" s="41"/>
      <c r="B21" s="39"/>
      <c r="C21" s="20" t="s">
        <v>16</v>
      </c>
      <c r="D21" s="21" t="n">
        <f>444828.0</f>
        <v>444828.0</v>
      </c>
      <c r="E21" s="22" t="n">
        <f>24698.0</f>
        <v>24698.0</v>
      </c>
      <c r="F21" s="23" t="n">
        <f>0.923</f>
        <v>0.923</v>
      </c>
      <c r="G21" s="21" t="n">
        <f>2603921413190.0</f>
        <v>2.60392141319E12</v>
      </c>
      <c r="H21" s="22" t="n">
        <f>209815857840.0</f>
        <v>2.0981585784E11</v>
      </c>
      <c r="I21" s="23" t="n">
        <f>0.463</f>
        <v>0.463</v>
      </c>
    </row>
    <row r="22" spans="1:9" ht="24.9" customHeight="1">
      <c r="A22" s="41"/>
      <c r="B22" s="39"/>
      <c r="C22" s="20" t="s">
        <v>17</v>
      </c>
      <c r="D22" s="21" t="n">
        <f>666424.0</f>
        <v>666424.0</v>
      </c>
      <c r="E22" s="22" t="n">
        <f>53881.0</f>
        <v>53881.0</v>
      </c>
      <c r="F22" s="23" t="n">
        <f>0.933</f>
        <v>0.933</v>
      </c>
      <c r="G22" s="21" t="n">
        <f>5457663980064.0</f>
        <v>5.457663980064E12</v>
      </c>
      <c r="H22" s="22" t="n">
        <f>1171166430814.0</f>
        <v>1.171166430814E12</v>
      </c>
      <c r="I22" s="23" t="n">
        <f>0.61</f>
        <v>0.61</v>
      </c>
    </row>
    <row r="23" spans="1:9" ht="24.9" customHeight="1">
      <c r="A23" s="41"/>
      <c r="B23" s="39"/>
      <c r="C23" s="24" t="s">
        <v>18</v>
      </c>
      <c r="D23" s="25" t="n">
        <f>1592633.0</f>
        <v>1592633.0</v>
      </c>
      <c r="E23" s="26" t="n">
        <f>105738.0</f>
        <v>105738.0</v>
      </c>
      <c r="F23" s="27" t="n">
        <f>0.934</f>
        <v>0.934</v>
      </c>
      <c r="G23" s="25" t="n">
        <f>10333393201774.0</f>
        <v>1.0333393201774E13</v>
      </c>
      <c r="H23" s="26" t="n">
        <f>1586102297774.0</f>
        <v>1.586102297774E12</v>
      </c>
      <c r="I23" s="27" t="n">
        <f>0.562</f>
        <v>0.562</v>
      </c>
    </row>
    <row r="24" spans="1:9" ht="24.9" customHeight="1">
      <c r="A24" s="41"/>
      <c r="B24" s="39" t="s">
        <v>22</v>
      </c>
      <c r="C24" s="16" t="s">
        <v>15</v>
      </c>
      <c r="D24" s="17" t="n">
        <f>14756.0</f>
        <v>14756.0</v>
      </c>
      <c r="E24" s="18" t="n">
        <f>0.0</f>
        <v>0.0</v>
      </c>
      <c r="F24" s="19" t="n">
        <f>0.029</f>
        <v>0.029</v>
      </c>
      <c r="G24" s="17" t="n">
        <f>152561166050.0</f>
        <v>1.5256116605E11</v>
      </c>
      <c r="H24" s="18" t="n">
        <f>0.0</f>
        <v>0.0</v>
      </c>
      <c r="I24" s="19" t="n">
        <f>0.04</f>
        <v>0.04</v>
      </c>
    </row>
    <row r="25" spans="1:9" ht="24.9" customHeight="1">
      <c r="A25" s="41"/>
      <c r="B25" s="39"/>
      <c r="C25" s="20" t="s">
        <v>16</v>
      </c>
      <c r="D25" s="21" t="n">
        <f>11506.0</f>
        <v>11506.0</v>
      </c>
      <c r="E25" s="22" t="n">
        <f>0.0</f>
        <v>0.0</v>
      </c>
      <c r="F25" s="23" t="n">
        <f>0.024</f>
        <v>0.024</v>
      </c>
      <c r="G25" s="21" t="n">
        <f>113145960200.0</f>
        <v>1.131459602E11</v>
      </c>
      <c r="H25" s="22" t="n">
        <f>0.0</f>
        <v>0.0</v>
      </c>
      <c r="I25" s="23" t="n">
        <f>0.02</f>
        <v>0.02</v>
      </c>
    </row>
    <row r="26" spans="1:9" ht="24.9" customHeight="1">
      <c r="A26" s="41"/>
      <c r="B26" s="39"/>
      <c r="C26" s="20" t="s">
        <v>17</v>
      </c>
      <c r="D26" s="21" t="n">
        <f>17034.0</f>
        <v>17034.0</v>
      </c>
      <c r="E26" s="22" t="n">
        <f>0.0</f>
        <v>0.0</v>
      </c>
      <c r="F26" s="23" t="n">
        <f>0.024</f>
        <v>0.024</v>
      </c>
      <c r="G26" s="21" t="n">
        <f>192897949500.0</f>
        <v>1.928979495E11</v>
      </c>
      <c r="H26" s="22" t="n">
        <f>0.0</f>
        <v>0.0</v>
      </c>
      <c r="I26" s="23" t="n">
        <f>0.022</f>
        <v>0.022</v>
      </c>
    </row>
    <row r="27" spans="1:9" ht="24.9" customHeight="1">
      <c r="A27" s="42"/>
      <c r="B27" s="39"/>
      <c r="C27" s="24" t="s">
        <v>18</v>
      </c>
      <c r="D27" s="25" t="n">
        <f>43296.0</f>
        <v>43296.0</v>
      </c>
      <c r="E27" s="26" t="n">
        <f>0.0</f>
        <v>0.0</v>
      </c>
      <c r="F27" s="27" t="n">
        <f>0.025</f>
        <v>0.025</v>
      </c>
      <c r="G27" s="25" t="n">
        <f>458605075750.0</f>
        <v>4.5860507575E11</v>
      </c>
      <c r="H27" s="26" t="n">
        <f>0.0</f>
        <v>0.0</v>
      </c>
      <c r="I27" s="27" t="n">
        <f>0.025</f>
        <v>0.025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930.0</f>
        <v>930.0</v>
      </c>
      <c r="E28" s="18" t="n">
        <f>0.0</f>
        <v>0.0</v>
      </c>
      <c r="F28" s="19" t="n">
        <f>0.002</f>
        <v>0.002</v>
      </c>
      <c r="G28" s="17" t="n">
        <f>4052612000.0</f>
        <v>4.052612E9</v>
      </c>
      <c r="H28" s="18" t="n">
        <f>0.0</f>
        <v>0.0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284.0</f>
        <v>284.0</v>
      </c>
      <c r="E29" s="22" t="n">
        <f>10.0</f>
        <v>10.0</v>
      </c>
      <c r="F29" s="23" t="n">
        <f>0.001</f>
        <v>0.001</v>
      </c>
      <c r="G29" s="21" t="n">
        <f>1218600000.0</f>
        <v>1.2186E9</v>
      </c>
      <c r="H29" s="22" t="n">
        <f>15336000.0</f>
        <v>1.5336E7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4270.0</f>
        <v>4270.0</v>
      </c>
      <c r="E30" s="22" t="n">
        <f>5.0</f>
        <v>5.0</v>
      </c>
      <c r="F30" s="23" t="n">
        <f>0.006</f>
        <v>0.006</v>
      </c>
      <c r="G30" s="21" t="n">
        <f>18936289000.0</f>
        <v>1.8936289E10</v>
      </c>
      <c r="H30" s="22" t="n">
        <f>23820000.0</f>
        <v>2.382E7</v>
      </c>
      <c r="I30" s="23" t="n">
        <f>0.002</f>
        <v>0.002</v>
      </c>
    </row>
    <row r="31" spans="1:9" ht="24.9" customHeight="1">
      <c r="A31" s="38"/>
      <c r="B31" s="39"/>
      <c r="C31" s="24" t="s">
        <v>18</v>
      </c>
      <c r="D31" s="25" t="n">
        <f>5484.0</f>
        <v>5484.0</v>
      </c>
      <c r="E31" s="26" t="n">
        <f>15.0</f>
        <v>15.0</v>
      </c>
      <c r="F31" s="27" t="n">
        <f>0.003</f>
        <v>0.003</v>
      </c>
      <c r="G31" s="25" t="n">
        <f>24207501000.0</f>
        <v>2.4207501E10</v>
      </c>
      <c r="H31" s="26" t="n">
        <f>39156000.0</f>
        <v>3.9156E7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46157.0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46157.0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13655</f>
        <v>13655.0</v>
      </c>
      <c r="E11" s="18" t="n">
        <f>2277</f>
        <v>2277.0</v>
      </c>
      <c r="F11" s="19" t="n">
        <f>1</f>
        <v>1.0</v>
      </c>
      <c r="G11" s="17" t="n">
        <f>1679186720</f>
        <v>1.67918672E9</v>
      </c>
      <c r="H11" s="18" t="n">
        <f>479237620</f>
        <v>4.7923762E8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18483</f>
        <v>18483.0</v>
      </c>
      <c r="E12" s="22" t="n">
        <f>2711</f>
        <v>2711.0</v>
      </c>
      <c r="F12" s="23" t="n">
        <f>1</f>
        <v>1.0</v>
      </c>
      <c r="G12" s="21" t="n">
        <f>3317488758</f>
        <v>3.317488758E9</v>
      </c>
      <c r="H12" s="22" t="n">
        <f>1436944740</f>
        <v>1.43694474E9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57201</f>
        <v>57201.0</v>
      </c>
      <c r="E13" s="22" t="n">
        <f>20780</f>
        <v>20780.0</v>
      </c>
      <c r="F13" s="23" t="n">
        <f>1</f>
        <v>1.0</v>
      </c>
      <c r="G13" s="21" t="n">
        <f>29275728805</f>
        <v>2.9275728805E10</v>
      </c>
      <c r="H13" s="22" t="n">
        <f>24269808078</f>
        <v>2.4269808078E10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89339</f>
        <v>89339.0</v>
      </c>
      <c r="E14" s="26" t="n">
        <f>25768</f>
        <v>25768.0</v>
      </c>
      <c r="F14" s="27" t="n">
        <f>1</f>
        <v>1.0</v>
      </c>
      <c r="G14" s="25" t="n">
        <f>34272404283</f>
        <v>3.4272404283E10</v>
      </c>
      <c r="H14" s="26" t="n">
        <f>26185990438</f>
        <v>2.6185990438E10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24</f>
        <v>24.0</v>
      </c>
      <c r="E15" s="18" t="n">
        <f>0</f>
        <v>0.0</v>
      </c>
      <c r="F15" s="19" t="n">
        <f>0.002</f>
        <v>0.002</v>
      </c>
      <c r="G15" s="17" t="n">
        <f>2060000</f>
        <v>2060000.0</v>
      </c>
      <c r="H15" s="18" t="n">
        <f>0</f>
        <v>0.0</v>
      </c>
      <c r="I15" s="19" t="n">
        <f>0.001</f>
        <v>0.001</v>
      </c>
    </row>
    <row r="16" spans="1:9" ht="24.9" customHeight="1">
      <c r="A16" s="41"/>
      <c r="B16" s="39"/>
      <c r="C16" s="20" t="s">
        <v>16</v>
      </c>
      <c r="D16" s="21" t="n">
        <f>82</f>
        <v>82.0</v>
      </c>
      <c r="E16" s="22" t="n">
        <f>0</f>
        <v>0.0</v>
      </c>
      <c r="F16" s="23" t="n">
        <f>0.004</f>
        <v>0.004</v>
      </c>
      <c r="G16" s="21" t="n">
        <f>36400000</f>
        <v>3.64E7</v>
      </c>
      <c r="H16" s="22" t="n">
        <f>0</f>
        <v>0.0</v>
      </c>
      <c r="I16" s="23" t="n">
        <f>0.011</f>
        <v>0.011</v>
      </c>
    </row>
    <row r="17" spans="1:9" ht="24.9" customHeight="1">
      <c r="A17" s="41"/>
      <c r="B17" s="39"/>
      <c r="C17" s="20" t="s">
        <v>17</v>
      </c>
      <c r="D17" s="21" t="n">
        <f>113</f>
        <v>113.0</v>
      </c>
      <c r="E17" s="22" t="n">
        <f>1</f>
        <v>1.0</v>
      </c>
      <c r="F17" s="23" t="n">
        <f>0.002</f>
        <v>0.002</v>
      </c>
      <c r="G17" s="21" t="n">
        <f>20780000</f>
        <v>2.078E7</v>
      </c>
      <c r="H17" s="22" t="n">
        <f>10000</f>
        <v>10000.0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219</f>
        <v>219.0</v>
      </c>
      <c r="E18" s="26" t="n">
        <f>1</f>
        <v>1.0</v>
      </c>
      <c r="F18" s="27" t="n">
        <f>0.002</f>
        <v>0.002</v>
      </c>
      <c r="G18" s="25" t="n">
        <f>59240000</f>
        <v>5.924E7</v>
      </c>
      <c r="H18" s="26" t="n">
        <f>10000</f>
        <v>10000.0</v>
      </c>
      <c r="I18" s="27" t="n">
        <f>0.002</f>
        <v>0.002</v>
      </c>
    </row>
    <row r="19" spans="1:9" ht="24.9" customHeight="1">
      <c r="A19" s="41"/>
      <c r="B19" s="39" t="s">
        <v>31</v>
      </c>
      <c r="C19" s="16" t="s">
        <v>15</v>
      </c>
      <c r="D19" s="17" t="n">
        <f>13631</f>
        <v>13631.0</v>
      </c>
      <c r="E19" s="18" t="n">
        <f>2277</f>
        <v>2277.0</v>
      </c>
      <c r="F19" s="19" t="n">
        <f>0.998</f>
        <v>0.998</v>
      </c>
      <c r="G19" s="17" t="n">
        <f>1677126720</f>
        <v>1.67712672E9</v>
      </c>
      <c r="H19" s="18" t="n">
        <f>479237620</f>
        <v>4.7923762E8</v>
      </c>
      <c r="I19" s="19" t="n">
        <f>0.999</f>
        <v>0.999</v>
      </c>
    </row>
    <row r="20" spans="1:9" ht="24.9" customHeight="1">
      <c r="A20" s="41"/>
      <c r="B20" s="39"/>
      <c r="C20" s="20" t="s">
        <v>16</v>
      </c>
      <c r="D20" s="21" t="n">
        <f>17269</f>
        <v>17269.0</v>
      </c>
      <c r="E20" s="22" t="n">
        <f>2711</f>
        <v>2711.0</v>
      </c>
      <c r="F20" s="23" t="n">
        <f>0.934</f>
        <v>0.934</v>
      </c>
      <c r="G20" s="21" t="n">
        <f>3248771940</f>
        <v>3.24877194E9</v>
      </c>
      <c r="H20" s="22" t="n">
        <f>1436944740</f>
        <v>1.43694474E9</v>
      </c>
      <c r="I20" s="23" t="n">
        <f>0.979</f>
        <v>0.979</v>
      </c>
    </row>
    <row r="21" spans="1:9" ht="24.9" customHeight="1">
      <c r="A21" s="41"/>
      <c r="B21" s="39"/>
      <c r="C21" s="20" t="s">
        <v>17</v>
      </c>
      <c r="D21" s="21" t="n">
        <f>50614</f>
        <v>50614.0</v>
      </c>
      <c r="E21" s="22" t="n">
        <f>20279</f>
        <v>20279.0</v>
      </c>
      <c r="F21" s="23" t="n">
        <f>0.885</f>
        <v>0.885</v>
      </c>
      <c r="G21" s="21" t="n">
        <f>29193599978</f>
        <v>2.9193599978E10</v>
      </c>
      <c r="H21" s="22" t="n">
        <f>24261348078</f>
        <v>2.4261348078E10</v>
      </c>
      <c r="I21" s="23" t="n">
        <f>0.997</f>
        <v>0.997</v>
      </c>
    </row>
    <row r="22" spans="1:9" ht="24.9" customHeight="1">
      <c r="A22" s="41"/>
      <c r="B22" s="39"/>
      <c r="C22" s="24" t="s">
        <v>18</v>
      </c>
      <c r="D22" s="25" t="n">
        <f>81514</f>
        <v>81514.0</v>
      </c>
      <c r="E22" s="26" t="n">
        <f>25267</f>
        <v>25267.0</v>
      </c>
      <c r="F22" s="27" t="n">
        <f>0.912</f>
        <v>0.912</v>
      </c>
      <c r="G22" s="25" t="n">
        <f>34119498638</f>
        <v>3.4119498638E10</v>
      </c>
      <c r="H22" s="26" t="n">
        <f>26177530438</f>
        <v>2.6177530438E10</v>
      </c>
      <c r="I22" s="27" t="n">
        <f>0.996</f>
        <v>0.996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1132</f>
        <v>1132.0</v>
      </c>
      <c r="E24" s="22" t="n">
        <f>0</f>
        <v>0.0</v>
      </c>
      <c r="F24" s="23" t="n">
        <f>0.061</f>
        <v>0.061</v>
      </c>
      <c r="G24" s="21" t="n">
        <f>32316818</f>
        <v>3.2316818E7</v>
      </c>
      <c r="H24" s="22" t="n">
        <f>0</f>
        <v>0.0</v>
      </c>
      <c r="I24" s="23" t="n">
        <f>0.01</f>
        <v>0.01</v>
      </c>
    </row>
    <row r="25" spans="1:9" ht="24.9" customHeight="1">
      <c r="A25" s="41"/>
      <c r="B25" s="39"/>
      <c r="C25" s="20" t="s">
        <v>17</v>
      </c>
      <c r="D25" s="21" t="n">
        <f>6474</f>
        <v>6474.0</v>
      </c>
      <c r="E25" s="22" t="n">
        <f>500</f>
        <v>500.0</v>
      </c>
      <c r="F25" s="23" t="n">
        <f>0.113</f>
        <v>0.113</v>
      </c>
      <c r="G25" s="21" t="n">
        <f>61348827</f>
        <v>6.1348827E7</v>
      </c>
      <c r="H25" s="22" t="n">
        <f>8450000</f>
        <v>8450000.0</v>
      </c>
      <c r="I25" s="23" t="n">
        <f>0.002</f>
        <v>0.002</v>
      </c>
    </row>
    <row r="26" spans="1:9" ht="24.9" customHeight="1">
      <c r="A26" s="41"/>
      <c r="B26" s="39"/>
      <c r="C26" s="24" t="s">
        <v>18</v>
      </c>
      <c r="D26" s="25" t="n">
        <f>7606</f>
        <v>7606.0</v>
      </c>
      <c r="E26" s="26" t="n">
        <f>500</f>
        <v>500.0</v>
      </c>
      <c r="F26" s="27" t="n">
        <f>0.085</f>
        <v>0.085</v>
      </c>
      <c r="G26" s="25" t="n">
        <f>93665645</f>
        <v>9.3665645E7</v>
      </c>
      <c r="H26" s="26" t="n">
        <f>8450000</f>
        <v>8450000.0</v>
      </c>
      <c r="I26" s="27" t="n">
        <f>0.003</f>
        <v>0.003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46157.0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46157.0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6499.0</v>
      </c>
      <c r="F12" s="18" t="n">
        <f>543</f>
        <v>543.0</v>
      </c>
      <c r="G12" s="17" t="n">
        <v>4.085616318E11</v>
      </c>
      <c r="H12" s="18" t="n">
        <f>34147593800</f>
        <v>3.41475938E10</v>
      </c>
    </row>
    <row r="13" spans="1:8" ht="24.9" customHeight="1">
      <c r="A13" s="51"/>
      <c r="B13" s="57"/>
      <c r="C13" s="39"/>
      <c r="D13" s="20" t="s">
        <v>16</v>
      </c>
      <c r="E13" s="21" t="n">
        <v>11376.0</v>
      </c>
      <c r="F13" s="22" t="n">
        <f>947</f>
        <v>947.0</v>
      </c>
      <c r="G13" s="21" t="n">
        <v>7.1208203112E11</v>
      </c>
      <c r="H13" s="22" t="n">
        <f>59301116120</f>
        <v>5.930111612E10</v>
      </c>
    </row>
    <row r="14" spans="1:8" ht="24.9" customHeight="1">
      <c r="A14" s="51"/>
      <c r="B14" s="57"/>
      <c r="C14" s="39"/>
      <c r="D14" s="20" t="s">
        <v>17</v>
      </c>
      <c r="E14" s="21" t="n">
        <v>30856.0</v>
      </c>
      <c r="F14" s="22" t="n">
        <f>10452</f>
        <v>10452.0</v>
      </c>
      <c r="G14" s="21" t="n">
        <v>1.90695699685E12</v>
      </c>
      <c r="H14" s="22" t="n">
        <f>648877737850</f>
        <v>6.4887773785E11</v>
      </c>
    </row>
    <row r="15" spans="1:8" ht="24.9" customHeight="1">
      <c r="A15" s="51"/>
      <c r="B15" s="57"/>
      <c r="C15" s="39"/>
      <c r="D15" s="24" t="s">
        <v>18</v>
      </c>
      <c r="E15" s="25" t="n">
        <v>48731.0</v>
      </c>
      <c r="F15" s="26" t="n">
        <f>11942</f>
        <v>11942.0</v>
      </c>
      <c r="G15" s="25" t="n">
        <v>3.02760065977E12</v>
      </c>
      <c r="H15" s="26" t="n">
        <f>742326447770</f>
        <v>7.4232644777E11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188231.0</v>
      </c>
      <c r="F16" s="18" t="n">
        <f>26116</f>
        <v>26116.0</v>
      </c>
      <c r="G16" s="17" t="n">
        <v>1.18357600032E12</v>
      </c>
      <c r="H16" s="18" t="n">
        <f>164207926820</f>
        <v>1.6420792682E11</v>
      </c>
    </row>
    <row r="17" spans="1:8" ht="24.9" customHeight="1">
      <c r="A17" s="51"/>
      <c r="B17" s="57"/>
      <c r="C17" s="39"/>
      <c r="D17" s="20" t="s">
        <v>16</v>
      </c>
      <c r="E17" s="21" t="n">
        <v>182829.0</v>
      </c>
      <c r="F17" s="22" t="n">
        <f>23167</f>
        <v>23167.0</v>
      </c>
      <c r="G17" s="21" t="n">
        <v>1.14503885579E12</v>
      </c>
      <c r="H17" s="22" t="n">
        <f>145106028790</f>
        <v>1.4510602879E11</v>
      </c>
    </row>
    <row r="18" spans="1:8" ht="24.9" customHeight="1">
      <c r="A18" s="51"/>
      <c r="B18" s="57"/>
      <c r="C18" s="39"/>
      <c r="D18" s="20" t="s">
        <v>17</v>
      </c>
      <c r="E18" s="21" t="n">
        <v>272916.0</v>
      </c>
      <c r="F18" s="22" t="n">
        <f>34088</f>
        <v>34088.0</v>
      </c>
      <c r="G18" s="21" t="n">
        <v>1.682820567968E12</v>
      </c>
      <c r="H18" s="22" t="n">
        <f>210191035468</f>
        <v>2.10191035468E11</v>
      </c>
    </row>
    <row r="19" spans="1:8" ht="24.9" customHeight="1">
      <c r="A19" s="51"/>
      <c r="B19" s="57"/>
      <c r="C19" s="39"/>
      <c r="D19" s="24" t="s">
        <v>18</v>
      </c>
      <c r="E19" s="25" t="n">
        <v>643976.0</v>
      </c>
      <c r="F19" s="26" t="n">
        <f>83371</f>
        <v>83371.0</v>
      </c>
      <c r="G19" s="25" t="n">
        <v>4.011435424078E12</v>
      </c>
      <c r="H19" s="26" t="n">
        <f>519504991078</f>
        <v>5.19504991078E11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267732.0</v>
      </c>
      <c r="F20" s="18" t="str">
        <f>"－"</f>
        <v>－</v>
      </c>
      <c r="G20" s="17" t="n">
        <v>1.68343271E11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225312.0</v>
      </c>
      <c r="F21" s="22" t="str">
        <f>"－"</f>
        <v>－</v>
      </c>
      <c r="G21" s="21" t="n">
        <v>1.4104830485E11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304593.0</v>
      </c>
      <c r="F22" s="22" t="str">
        <f>"－"</f>
        <v>－</v>
      </c>
      <c r="G22" s="21" t="n">
        <v>1.878646457E11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797637.0</v>
      </c>
      <c r="F23" s="26" t="str">
        <f>"－"</f>
        <v>－</v>
      </c>
      <c r="G23" s="25" t="n">
        <v>4.9725622155E11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12610.0</v>
      </c>
      <c r="F24" s="18" t="n">
        <f>139</f>
        <v>139.0</v>
      </c>
      <c r="G24" s="17" t="n">
        <v>4.916686265E11</v>
      </c>
      <c r="H24" s="18" t="n">
        <f>5414026500</f>
        <v>5.4140265E9</v>
      </c>
    </row>
    <row r="25" spans="1:8" ht="24.9" customHeight="1">
      <c r="A25" s="51"/>
      <c r="B25" s="57"/>
      <c r="C25" s="39"/>
      <c r="D25" s="20" t="s">
        <v>16</v>
      </c>
      <c r="E25" s="21" t="n">
        <v>14723.0</v>
      </c>
      <c r="F25" s="22" t="n">
        <f>102</f>
        <v>102.0</v>
      </c>
      <c r="G25" s="21" t="n">
        <v>5.749512285E11</v>
      </c>
      <c r="H25" s="22" t="n">
        <f>3983238500</f>
        <v>3.9832385E9</v>
      </c>
    </row>
    <row r="26" spans="1:8" ht="24.9" customHeight="1">
      <c r="A26" s="51"/>
      <c r="B26" s="57"/>
      <c r="C26" s="39"/>
      <c r="D26" s="20" t="s">
        <v>17</v>
      </c>
      <c r="E26" s="21" t="n">
        <v>42107.0</v>
      </c>
      <c r="F26" s="22" t="n">
        <f>7975</f>
        <v>7975.0</v>
      </c>
      <c r="G26" s="21" t="n">
        <v>1.62741174964E12</v>
      </c>
      <c r="H26" s="22" t="n">
        <f>308369139640</f>
        <v>3.0836913964E11</v>
      </c>
    </row>
    <row r="27" spans="1:8" ht="24.9" customHeight="1">
      <c r="A27" s="51"/>
      <c r="B27" s="57"/>
      <c r="C27" s="39"/>
      <c r="D27" s="24" t="s">
        <v>18</v>
      </c>
      <c r="E27" s="25" t="n">
        <v>69440.0</v>
      </c>
      <c r="F27" s="26" t="n">
        <f>8216</f>
        <v>8216.0</v>
      </c>
      <c r="G27" s="25" t="n">
        <v>2.69403160464E12</v>
      </c>
      <c r="H27" s="26" t="n">
        <f>317766404640</f>
        <v>3.1776640464E11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3722.0</v>
      </c>
      <c r="F28" s="18" t="n">
        <f>333</f>
        <v>333.0</v>
      </c>
      <c r="G28" s="17" t="n">
        <v>1.45062343E10</v>
      </c>
      <c r="H28" s="18" t="n">
        <f>1297730300</f>
        <v>1.2977303E9</v>
      </c>
    </row>
    <row r="29" spans="1:8" ht="24.9" customHeight="1">
      <c r="A29" s="51"/>
      <c r="B29" s="57"/>
      <c r="C29" s="39"/>
      <c r="D29" s="20" t="s">
        <v>16</v>
      </c>
      <c r="E29" s="21" t="n">
        <v>5925.0</v>
      </c>
      <c r="F29" s="22" t="n">
        <f>260</f>
        <v>260.0</v>
      </c>
      <c r="G29" s="21" t="n">
        <v>2.313417135E10</v>
      </c>
      <c r="H29" s="22" t="n">
        <f>1015531850</f>
        <v>1.01553185E9</v>
      </c>
    </row>
    <row r="30" spans="1:8" ht="24.9" customHeight="1">
      <c r="A30" s="51"/>
      <c r="B30" s="57"/>
      <c r="C30" s="39"/>
      <c r="D30" s="20" t="s">
        <v>17</v>
      </c>
      <c r="E30" s="21" t="n">
        <v>10882.0</v>
      </c>
      <c r="F30" s="22" t="n">
        <f>385</f>
        <v>385.0</v>
      </c>
      <c r="G30" s="21" t="n">
        <v>4.206122815E10</v>
      </c>
      <c r="H30" s="22" t="n">
        <f>1488373900</f>
        <v>1.4883739E9</v>
      </c>
    </row>
    <row r="31" spans="1:8" ht="24.9" customHeight="1">
      <c r="A31" s="51"/>
      <c r="B31" s="57"/>
      <c r="C31" s="39"/>
      <c r="D31" s="24" t="s">
        <v>18</v>
      </c>
      <c r="E31" s="25" t="n">
        <v>20529.0</v>
      </c>
      <c r="F31" s="26" t="n">
        <f>978</f>
        <v>978.0</v>
      </c>
      <c r="G31" s="25" t="n">
        <v>7.97016338E10</v>
      </c>
      <c r="H31" s="26" t="n">
        <f>3801636050</f>
        <v>3.80163605E9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530.0</v>
      </c>
      <c r="F36" s="18" t="n">
        <f>0</f>
        <v>0.0</v>
      </c>
      <c r="G36" s="17" t="n">
        <v>1.8843065E9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1158.0</v>
      </c>
      <c r="F37" s="22" t="n">
        <f>42</f>
        <v>42.0</v>
      </c>
      <c r="G37" s="21" t="n">
        <v>4.11364898E9</v>
      </c>
      <c r="H37" s="22" t="n">
        <f>149463980</f>
        <v>1.4946398E8</v>
      </c>
    </row>
    <row r="38" spans="1:8" ht="24.9" customHeight="1">
      <c r="A38" s="51"/>
      <c r="B38" s="57"/>
      <c r="C38" s="39"/>
      <c r="D38" s="20" t="s">
        <v>17</v>
      </c>
      <c r="E38" s="21" t="n">
        <v>1918.0</v>
      </c>
      <c r="F38" s="22" t="n">
        <f>311</f>
        <v>311.0</v>
      </c>
      <c r="G38" s="21" t="n">
        <v>6.740699466E9</v>
      </c>
      <c r="H38" s="22" t="n">
        <f>1093829466</f>
        <v>1.093829466E9</v>
      </c>
    </row>
    <row r="39" spans="1:8" ht="24.9" customHeight="1">
      <c r="A39" s="51"/>
      <c r="B39" s="57"/>
      <c r="C39" s="39"/>
      <c r="D39" s="24" t="s">
        <v>18</v>
      </c>
      <c r="E39" s="25" t="n">
        <v>3606.0</v>
      </c>
      <c r="F39" s="26" t="n">
        <f>353</f>
        <v>353.0</v>
      </c>
      <c r="G39" s="25" t="n">
        <v>1.2738654946E10</v>
      </c>
      <c r="H39" s="26" t="n">
        <f>1243293446</f>
        <v>1.243293446E9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5.0</v>
      </c>
      <c r="F48" s="18" t="n">
        <f>5</f>
        <v>5.0</v>
      </c>
      <c r="G48" s="17" t="n">
        <v>9160000.0</v>
      </c>
      <c r="H48" s="18" t="n">
        <f>9160000</f>
        <v>9160000.0</v>
      </c>
    </row>
    <row r="49" spans="1:8" ht="24.9" customHeight="1">
      <c r="A49" s="51"/>
      <c r="B49" s="57"/>
      <c r="C49" s="39"/>
      <c r="D49" s="20" t="s">
        <v>16</v>
      </c>
      <c r="E49" s="21" t="n">
        <v>121.0</v>
      </c>
      <c r="F49" s="22" t="n">
        <f>100</f>
        <v>100.0</v>
      </c>
      <c r="G49" s="21" t="n">
        <v>2.222445E8</v>
      </c>
      <c r="H49" s="22" t="n">
        <f>183780000</f>
        <v>1.8378E8</v>
      </c>
    </row>
    <row r="50" spans="1:8" ht="24.9" customHeight="1">
      <c r="A50" s="51"/>
      <c r="B50" s="57"/>
      <c r="C50" s="39"/>
      <c r="D50" s="20" t="s">
        <v>17</v>
      </c>
      <c r="E50" s="21" t="n">
        <v>723.0</v>
      </c>
      <c r="F50" s="22" t="n">
        <f>583</f>
        <v>583.0</v>
      </c>
      <c r="G50" s="21" t="n">
        <v>1.32556223E9</v>
      </c>
      <c r="H50" s="22" t="n">
        <f>1069431230</f>
        <v>1.06943123E9</v>
      </c>
    </row>
    <row r="51" spans="1:8" ht="24.9" customHeight="1">
      <c r="A51" s="51"/>
      <c r="B51" s="57"/>
      <c r="C51" s="39"/>
      <c r="D51" s="24" t="s">
        <v>18</v>
      </c>
      <c r="E51" s="25" t="n">
        <v>849.0</v>
      </c>
      <c r="F51" s="26" t="n">
        <f>688</f>
        <v>688.0</v>
      </c>
      <c r="G51" s="25" t="n">
        <v>1.55696673E9</v>
      </c>
      <c r="H51" s="26" t="n">
        <f>1262371230</f>
        <v>1.26237123E9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867.0</v>
      </c>
      <c r="F56" s="18" t="n">
        <f>17</f>
        <v>17.0</v>
      </c>
      <c r="G56" s="17" t="n">
        <v>6.894741E8</v>
      </c>
      <c r="H56" s="18" t="n">
        <f>13503100</f>
        <v>1.35031E7</v>
      </c>
    </row>
    <row r="57" spans="1:8" ht="24.9" customHeight="1">
      <c r="A57" s="51"/>
      <c r="B57" s="57"/>
      <c r="C57" s="39"/>
      <c r="D57" s="20" t="s">
        <v>16</v>
      </c>
      <c r="E57" s="21" t="n">
        <v>2887.0</v>
      </c>
      <c r="F57" s="22" t="n">
        <f>77</f>
        <v>77.0</v>
      </c>
      <c r="G57" s="21" t="n">
        <v>2.3077631E9</v>
      </c>
      <c r="H57" s="22" t="n">
        <f>61681100</f>
        <v>6.16811E7</v>
      </c>
    </row>
    <row r="58" spans="1:8" ht="24.9" customHeight="1">
      <c r="A58" s="51"/>
      <c r="B58" s="57"/>
      <c r="C58" s="39"/>
      <c r="D58" s="20" t="s">
        <v>17</v>
      </c>
      <c r="E58" s="21" t="n">
        <v>2051.0</v>
      </c>
      <c r="F58" s="22" t="n">
        <f>85</f>
        <v>85.0</v>
      </c>
      <c r="G58" s="21" t="n">
        <v>1.60767326E9</v>
      </c>
      <c r="H58" s="22" t="n">
        <f>66880260</f>
        <v>6.688026E7</v>
      </c>
    </row>
    <row r="59" spans="1:8" ht="24.9" customHeight="1">
      <c r="A59" s="51"/>
      <c r="B59" s="57"/>
      <c r="C59" s="39"/>
      <c r="D59" s="24" t="s">
        <v>18</v>
      </c>
      <c r="E59" s="25" t="n">
        <v>5805.0</v>
      </c>
      <c r="F59" s="26" t="n">
        <f>179</f>
        <v>179.0</v>
      </c>
      <c r="G59" s="25" t="n">
        <v>4.60491046E9</v>
      </c>
      <c r="H59" s="26" t="n">
        <f>142064460</f>
        <v>1.4206446E8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96.0</v>
      </c>
      <c r="F60" s="18" t="n">
        <f>6</f>
        <v>6.0</v>
      </c>
      <c r="G60" s="17" t="n">
        <v>4.811661E8</v>
      </c>
      <c r="H60" s="18" t="n">
        <f>30068600</f>
        <v>3.00686E7</v>
      </c>
    </row>
    <row r="61" spans="1:8" ht="24.9" customHeight="1">
      <c r="A61" s="51"/>
      <c r="B61" s="57"/>
      <c r="C61" s="39"/>
      <c r="D61" s="20" t="s">
        <v>16</v>
      </c>
      <c r="E61" s="21" t="n">
        <v>26.0</v>
      </c>
      <c r="F61" s="22" t="n">
        <f>3</f>
        <v>3.0</v>
      </c>
      <c r="G61" s="21" t="n">
        <v>1.302049E8</v>
      </c>
      <c r="H61" s="22" t="n">
        <f>15017500</f>
        <v>1.50175E7</v>
      </c>
    </row>
    <row r="62" spans="1:8" ht="24.9" customHeight="1">
      <c r="A62" s="51"/>
      <c r="B62" s="57"/>
      <c r="C62" s="39"/>
      <c r="D62" s="20" t="s">
        <v>17</v>
      </c>
      <c r="E62" s="21" t="n">
        <v>53.0</v>
      </c>
      <c r="F62" s="22" t="n">
        <f>2</f>
        <v>2.0</v>
      </c>
      <c r="G62" s="21" t="n">
        <v>2.650269E8</v>
      </c>
      <c r="H62" s="22" t="n">
        <f>10003000</f>
        <v>1.0003E7</v>
      </c>
    </row>
    <row r="63" spans="1:8" ht="24.9" customHeight="1">
      <c r="A63" s="51"/>
      <c r="B63" s="57"/>
      <c r="C63" s="39"/>
      <c r="D63" s="24" t="s">
        <v>18</v>
      </c>
      <c r="E63" s="25" t="n">
        <v>175.0</v>
      </c>
      <c r="F63" s="26" t="n">
        <f>11</f>
        <v>11.0</v>
      </c>
      <c r="G63" s="25" t="n">
        <v>8.763979E8</v>
      </c>
      <c r="H63" s="26" t="n">
        <f>55089100</f>
        <v>5.50891E7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16.0</v>
      </c>
      <c r="F77" s="22" t="n">
        <f>0</f>
        <v>0.0</v>
      </c>
      <c r="G77" s="21" t="n">
        <v>5389500.0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5.0</v>
      </c>
      <c r="F78" s="22" t="n">
        <f>0</f>
        <v>0.0</v>
      </c>
      <c r="G78" s="21" t="n">
        <v>1741000.0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21.0</v>
      </c>
      <c r="F79" s="26" t="n">
        <f>0</f>
        <v>0.0</v>
      </c>
      <c r="G79" s="25" t="n">
        <v>7130500.0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336.0</v>
      </c>
      <c r="F92" s="18" t="n">
        <f>0</f>
        <v>0.0</v>
      </c>
      <c r="G92" s="17" t="n">
        <v>5.285352E8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101.0</v>
      </c>
      <c r="F93" s="22" t="n">
        <f>0</f>
        <v>0.0</v>
      </c>
      <c r="G93" s="21" t="n">
        <v>1.5968E8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119.0</v>
      </c>
      <c r="F94" s="22" t="n">
        <f>0</f>
        <v>0.0</v>
      </c>
      <c r="G94" s="21" t="n">
        <v>1.88323E8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556.0</v>
      </c>
      <c r="F95" s="26" t="n">
        <f>0</f>
        <v>0.0</v>
      </c>
      <c r="G95" s="25" t="n">
        <v>8.765382E8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353.0</v>
      </c>
      <c r="F96" s="18" t="n">
        <f>0</f>
        <v>0.0</v>
      </c>
      <c r="G96" s="17" t="n">
        <v>8.214477E8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154.0</v>
      </c>
      <c r="F97" s="22" t="n">
        <f>0</f>
        <v>0.0</v>
      </c>
      <c r="G97" s="21" t="n">
        <v>3.590256E8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101.0</v>
      </c>
      <c r="F98" s="22" t="n">
        <f>0</f>
        <v>0.0</v>
      </c>
      <c r="G98" s="21" t="n">
        <v>2.353609E8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608.0</v>
      </c>
      <c r="F99" s="26" t="n">
        <f>0</f>
        <v>0.0</v>
      </c>
      <c r="G99" s="25" t="n">
        <v>1.4158342E9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400.0</v>
      </c>
      <c r="F100" s="18" t="n">
        <f>0</f>
        <v>0.0</v>
      </c>
      <c r="G100" s="17" t="n">
        <v>7.37955E8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200.0</v>
      </c>
      <c r="F101" s="22" t="n">
        <f>0</f>
        <v>0.0</v>
      </c>
      <c r="G101" s="21" t="n">
        <v>3.68865E8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100.0</v>
      </c>
      <c r="F102" s="22" t="n">
        <f>0</f>
        <v>0.0</v>
      </c>
      <c r="G102" s="21" t="n">
        <v>1.84405E8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700.0</v>
      </c>
      <c r="F103" s="26" t="n">
        <f>0</f>
        <v>0.0</v>
      </c>
      <c r="G103" s="25" t="n">
        <v>1.291225E9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10154.0</v>
      </c>
      <c r="F108" s="18" t="n">
        <f>215</f>
        <v>215.0</v>
      </c>
      <c r="G108" s="17" t="n">
        <v>1.30737139E12</v>
      </c>
      <c r="H108" s="18" t="n">
        <f>27683420000</f>
        <v>2.768342E10</v>
      </c>
    </row>
    <row r="109" spans="1:8" ht="24.9" customHeight="1">
      <c r="A109" s="51"/>
      <c r="B109" s="57"/>
      <c r="C109" s="39"/>
      <c r="D109" s="20" t="s">
        <v>16</v>
      </c>
      <c r="E109" s="21" t="n">
        <v>22142.0</v>
      </c>
      <c r="F109" s="22" t="n">
        <f>943</f>
        <v>943.0</v>
      </c>
      <c r="G109" s="21" t="n">
        <v>2.84199877E12</v>
      </c>
      <c r="H109" s="22" t="n">
        <f>121083040000</f>
        <v>1.2108304E11</v>
      </c>
    </row>
    <row r="110" spans="1:8" ht="24.9" customHeight="1">
      <c r="A110" s="51"/>
      <c r="B110" s="57"/>
      <c r="C110" s="39"/>
      <c r="D110" s="20" t="s">
        <v>17</v>
      </c>
      <c r="E110" s="21" t="n">
        <v>25501.0</v>
      </c>
      <c r="F110" s="22" t="n">
        <f>1382</f>
        <v>1382.0</v>
      </c>
      <c r="G110" s="21" t="n">
        <v>3.266986055E12</v>
      </c>
      <c r="H110" s="22" t="n">
        <f>177110875000</f>
        <v>1.77110875E11</v>
      </c>
    </row>
    <row r="111" spans="1:8" ht="24.9" customHeight="1">
      <c r="A111" s="51"/>
      <c r="B111" s="57"/>
      <c r="C111" s="39"/>
      <c r="D111" s="24" t="s">
        <v>18</v>
      </c>
      <c r="E111" s="25" t="n">
        <v>57797.0</v>
      </c>
      <c r="F111" s="26" t="n">
        <f>2540</f>
        <v>2540.0</v>
      </c>
      <c r="G111" s="25" t="n">
        <v>7.416356215E12</v>
      </c>
      <c r="H111" s="26" t="n">
        <f>325877335000</f>
        <v>3.25877335E11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605.0</v>
      </c>
      <c r="F113" s="22" t="n">
        <f>0</f>
        <v>0.0</v>
      </c>
      <c r="G113" s="21" t="n">
        <v>7.766971E9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571.0</v>
      </c>
      <c r="F114" s="22" t="n">
        <f>0</f>
        <v>0.0</v>
      </c>
      <c r="G114" s="21" t="n">
        <v>7.315063E9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1176.0</v>
      </c>
      <c r="F115" s="26" t="n">
        <f>0</f>
        <v>0.0</v>
      </c>
      <c r="G115" s="25" t="n">
        <v>1.5082034E10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200.0</v>
      </c>
      <c r="F118" s="22" t="n">
        <f>0</f>
        <v>0.0</v>
      </c>
      <c r="G118" s="21" t="n">
        <v>1.8376E9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200.0</v>
      </c>
      <c r="F119" s="26" t="n">
        <f>0</f>
        <v>0.0</v>
      </c>
      <c r="G119" s="25" t="n">
        <v>1.8376E9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2584.0</v>
      </c>
      <c r="F120" s="18" t="n">
        <f>0</f>
        <v>0.0</v>
      </c>
      <c r="G120" s="17" t="n">
        <v>6.4100083125E10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2441.0</v>
      </c>
      <c r="F121" s="22" t="n">
        <f>0</f>
        <v>0.0</v>
      </c>
      <c r="G121" s="21" t="n">
        <v>6.0531744375E10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347.0</v>
      </c>
      <c r="F122" s="22" t="n">
        <f>0</f>
        <v>0.0</v>
      </c>
      <c r="G122" s="21" t="n">
        <v>8.596146875E9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5372.0</v>
      </c>
      <c r="F123" s="26" t="n">
        <f>0</f>
        <v>0.0</v>
      </c>
      <c r="G123" s="25" t="n">
        <v>1.33227974375E11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5049.0</v>
      </c>
      <c r="F124" s="18" t="n">
        <f>0</f>
        <v>0.0</v>
      </c>
      <c r="G124" s="17" t="n">
        <v>1.24186078E11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3790.0</v>
      </c>
      <c r="F125" s="22" t="n">
        <f>0</f>
        <v>0.0</v>
      </c>
      <c r="G125" s="21" t="n">
        <v>9.2351961E10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6907.0</v>
      </c>
      <c r="F126" s="22" t="n">
        <f>0</f>
        <v>0.0</v>
      </c>
      <c r="G126" s="21" t="n">
        <v>1.66384307E11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15746.0</v>
      </c>
      <c r="F127" s="26" t="n">
        <f>0</f>
        <v>0.0</v>
      </c>
      <c r="G127" s="25" t="n">
        <v>3.82922346E11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126.0</v>
      </c>
      <c r="F128" s="18" t="n">
        <f>0</f>
        <v>0.0</v>
      </c>
      <c r="G128" s="17" t="n">
        <v>3.114958E8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54.0</v>
      </c>
      <c r="F129" s="22" t="n">
        <f>0</f>
        <v>0.0</v>
      </c>
      <c r="G129" s="21" t="n">
        <v>1.315323E8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59.0</v>
      </c>
      <c r="F130" s="22" t="n">
        <f>0</f>
        <v>0.0</v>
      </c>
      <c r="G130" s="21" t="n">
        <v>1.427516E8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239.0</v>
      </c>
      <c r="F131" s="26" t="n">
        <f>0</f>
        <v>0.0</v>
      </c>
      <c r="G131" s="25" t="n">
        <v>5.857797E8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6468.0</v>
      </c>
      <c r="F132" s="18" t="n">
        <f>0</f>
        <v>0.0</v>
      </c>
      <c r="G132" s="17" t="n">
        <v>1.596458605E10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3505.0</v>
      </c>
      <c r="F133" s="22" t="n">
        <f>0</f>
        <v>0.0</v>
      </c>
      <c r="G133" s="21" t="n">
        <v>8.57125295E9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3879.0</v>
      </c>
      <c r="F134" s="22" t="n">
        <f>0</f>
        <v>0.0</v>
      </c>
      <c r="G134" s="21" t="n">
        <v>9.40088575E9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13852.0</v>
      </c>
      <c r="F135" s="26" t="n">
        <f>0</f>
        <v>0.0</v>
      </c>
      <c r="G135" s="25" t="n">
        <v>3.393672475E10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38.0</v>
      </c>
      <c r="F136" s="18" t="n">
        <f>0</f>
        <v>0.0</v>
      </c>
      <c r="G136" s="17" t="n">
        <v>9.27663E7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63.0</v>
      </c>
      <c r="F137" s="22" t="n">
        <f>0</f>
        <v>0.0</v>
      </c>
      <c r="G137" s="21" t="n">
        <v>1.524532E8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67.0</v>
      </c>
      <c r="F138" s="22" t="n">
        <f>0</f>
        <v>0.0</v>
      </c>
      <c r="G138" s="21" t="n">
        <v>1.6078E8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168.0</v>
      </c>
      <c r="F139" s="26" t="n">
        <f>0</f>
        <v>0.0</v>
      </c>
      <c r="G139" s="25" t="n">
        <v>4.059995E8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2.0</v>
      </c>
      <c r="F141" s="22" t="n">
        <f>0</f>
        <v>0.0</v>
      </c>
      <c r="G141" s="21" t="n">
        <v>2.532E7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1.0</v>
      </c>
      <c r="F142" s="22" t="n">
        <f>0</f>
        <v>0.0</v>
      </c>
      <c r="G142" s="21" t="n">
        <v>1.2E7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3.0</v>
      </c>
      <c r="F143" s="26" t="n">
        <f>0</f>
        <v>0.0</v>
      </c>
      <c r="G143" s="25" t="n">
        <v>3.732E7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2062.0</v>
      </c>
      <c r="F144" s="18" t="n">
        <f>0</f>
        <v>0.0</v>
      </c>
      <c r="G144" s="17" t="n">
        <v>1.08358745E10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1776.0</v>
      </c>
      <c r="F145" s="22" t="n">
        <f>0</f>
        <v>0.0</v>
      </c>
      <c r="G145" s="21" t="n">
        <v>9.179523E9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2477.0</v>
      </c>
      <c r="F146" s="22" t="n">
        <f>0</f>
        <v>0.0</v>
      </c>
      <c r="G146" s="21" t="n">
        <v>1.2508961E10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6315.0</v>
      </c>
      <c r="F147" s="26" t="n">
        <f>0</f>
        <v>0.0</v>
      </c>
      <c r="G147" s="25" t="n">
        <v>3.25243585E10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291.0</v>
      </c>
      <c r="F148" s="18" t="n">
        <f>0</f>
        <v>0.0</v>
      </c>
      <c r="G148" s="17" t="n">
        <v>3.114542E8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368.0</v>
      </c>
      <c r="F149" s="22" t="n">
        <f>0</f>
        <v>0.0</v>
      </c>
      <c r="G149" s="21" t="n">
        <v>3.880966E8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934.0</v>
      </c>
      <c r="F150" s="22" t="n">
        <f>0</f>
        <v>0.0</v>
      </c>
      <c r="G150" s="21" t="n">
        <v>9.608851E8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1593.0</v>
      </c>
      <c r="F151" s="26" t="n">
        <f>0</f>
        <v>0.0</v>
      </c>
      <c r="G151" s="25" t="n">
        <v>1.6604359E9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282.0</v>
      </c>
      <c r="F152" s="18" t="n">
        <f>0</f>
        <v>0.0</v>
      </c>
      <c r="G152" s="17" t="n">
        <v>2.963474E8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227.0</v>
      </c>
      <c r="F153" s="22" t="n">
        <f>0</f>
        <v>0.0</v>
      </c>
      <c r="G153" s="21" t="n">
        <v>2.3405285E8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268.0</v>
      </c>
      <c r="F154" s="22" t="n">
        <f>0</f>
        <v>0.0</v>
      </c>
      <c r="G154" s="21" t="n">
        <v>2.7145945E8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777.0</v>
      </c>
      <c r="F155" s="26" t="n">
        <f>0</f>
        <v>0.0</v>
      </c>
      <c r="G155" s="25" t="n">
        <v>8.018597E8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347.0</v>
      </c>
      <c r="F156" s="18" t="n">
        <f>0</f>
        <v>0.0</v>
      </c>
      <c r="G156" s="17" t="n">
        <v>3.725788E8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1404.0</v>
      </c>
      <c r="F157" s="22" t="n">
        <f>0</f>
        <v>0.0</v>
      </c>
      <c r="G157" s="21" t="n">
        <v>1.4669478E9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1857.0</v>
      </c>
      <c r="F158" s="22" t="n">
        <f>0</f>
        <v>0.0</v>
      </c>
      <c r="G158" s="21" t="n">
        <v>1.8885436E9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3608.0</v>
      </c>
      <c r="F159" s="26" t="n">
        <f>0</f>
        <v>0.0</v>
      </c>
      <c r="G159" s="25" t="n">
        <v>3.7280702E9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81.0</v>
      </c>
      <c r="F168" s="18" t="n">
        <f>0</f>
        <v>0.0</v>
      </c>
      <c r="G168" s="17" t="n">
        <v>1.68341E8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285.0</v>
      </c>
      <c r="F169" s="22" t="n">
        <f>0</f>
        <v>0.0</v>
      </c>
      <c r="G169" s="21" t="n">
        <v>5.881385E8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465.0</v>
      </c>
      <c r="F170" s="22" t="n">
        <f>0</f>
        <v>0.0</v>
      </c>
      <c r="G170" s="21" t="n">
        <v>9.550795E8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831.0</v>
      </c>
      <c r="F171" s="26" t="n">
        <f>0</f>
        <v>0.0</v>
      </c>
      <c r="G171" s="25" t="n">
        <v>1.711559E9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12.0</v>
      </c>
      <c r="F176" s="18" t="n">
        <f>0</f>
        <v>0.0</v>
      </c>
      <c r="G176" s="17" t="n">
        <v>2.1644E7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32.0</v>
      </c>
      <c r="F177" s="22" t="n">
        <f>0</f>
        <v>0.0</v>
      </c>
      <c r="G177" s="21" t="n">
        <v>5.6682E7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120.0</v>
      </c>
      <c r="F178" s="22" t="n">
        <f>0</f>
        <v>0.0</v>
      </c>
      <c r="G178" s="21" t="n">
        <v>2.122965E8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164.0</v>
      </c>
      <c r="F179" s="26" t="n">
        <f>0</f>
        <v>0.0</v>
      </c>
      <c r="G179" s="25" t="n">
        <v>2.906225E8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930.0</v>
      </c>
      <c r="F204" s="18" t="n">
        <f>0</f>
        <v>0.0</v>
      </c>
      <c r="G204" s="17" t="n">
        <v>4.052612E9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274.0</v>
      </c>
      <c r="F205" s="22" t="n">
        <f>0</f>
        <v>0.0</v>
      </c>
      <c r="G205" s="21" t="n">
        <v>1.203264E9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4270.0</v>
      </c>
      <c r="F206" s="22" t="n">
        <f>5</f>
        <v>5.0</v>
      </c>
      <c r="G206" s="21" t="n">
        <v>1.8936289E10</v>
      </c>
      <c r="H206" s="22" t="n">
        <f>23820000</f>
        <v>2.382E7</v>
      </c>
    </row>
    <row r="207" spans="1:8" ht="24.9" customHeight="1">
      <c r="A207" s="57"/>
      <c r="B207" s="59"/>
      <c r="C207" s="39"/>
      <c r="D207" s="24" t="s">
        <v>18</v>
      </c>
      <c r="E207" s="25" t="n">
        <v>5474.0</v>
      </c>
      <c r="F207" s="26" t="n">
        <f>5</f>
        <v>5.0</v>
      </c>
      <c r="G207" s="25" t="n">
        <v>2.4192165E10</v>
      </c>
      <c r="H207" s="26" t="n">
        <f>23820000</f>
        <v>2.382E7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10.0</v>
      </c>
      <c r="F209" s="22" t="n">
        <f>10</f>
        <v>10.0</v>
      </c>
      <c r="G209" s="21" t="n">
        <v>1.5336E7</v>
      </c>
      <c r="H209" s="22" t="n">
        <f>15336000</f>
        <v>1.5336E7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10.0</v>
      </c>
      <c r="F211" s="26" t="n">
        <f>10</f>
        <v>10.0</v>
      </c>
      <c r="G211" s="25" t="n">
        <v>1.5336E7</v>
      </c>
      <c r="H211" s="26" t="n">
        <f>15336000</f>
        <v>1.5336E7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46157.0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46157.0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2669</f>
        <v>2669.0</v>
      </c>
      <c r="E12" s="35" t="n">
        <f>1695</f>
        <v>1695.0</v>
      </c>
      <c r="F12" s="17" t="n">
        <f>1086</f>
        <v>1086.0</v>
      </c>
      <c r="G12" s="35" t="n">
        <f>262</f>
        <v>262.0</v>
      </c>
      <c r="H12" s="17" t="n">
        <f>3755</f>
        <v>3755.0</v>
      </c>
      <c r="I12" s="35" t="n">
        <f>1957</f>
        <v>1957.0</v>
      </c>
      <c r="J12" s="17" t="n">
        <f>648636690</f>
        <v>6.4863669E8</v>
      </c>
      <c r="K12" s="35" t="n">
        <f>429070690</f>
        <v>4.2907069E8</v>
      </c>
      <c r="L12" s="17" t="n">
        <f>351789310</f>
        <v>3.5178931E8</v>
      </c>
      <c r="M12" s="35" t="n">
        <f>41328310</f>
        <v>4.132831E7</v>
      </c>
      <c r="N12" s="17" t="n">
        <f>1000426000</f>
        <v>1.000426E9</v>
      </c>
      <c r="O12" s="35" t="n">
        <f>470399000</f>
        <v>4.70399E8</v>
      </c>
    </row>
    <row r="13" spans="1:15" ht="24.9" customHeight="1">
      <c r="A13" s="38"/>
      <c r="B13" s="62"/>
      <c r="C13" s="20" t="s">
        <v>16</v>
      </c>
      <c r="D13" s="21" t="n">
        <f>4103</f>
        <v>4103.0</v>
      </c>
      <c r="E13" s="36" t="n">
        <f>1612</f>
        <v>1612.0</v>
      </c>
      <c r="F13" s="21" t="n">
        <f>2510</f>
        <v>2510.0</v>
      </c>
      <c r="G13" s="36" t="n">
        <f>509</f>
        <v>509.0</v>
      </c>
      <c r="H13" s="21" t="n">
        <f>6613</f>
        <v>6613.0</v>
      </c>
      <c r="I13" s="36" t="n">
        <f>2121</f>
        <v>2121.0</v>
      </c>
      <c r="J13" s="21" t="n">
        <f>1968033630</f>
        <v>1.96803363E9</v>
      </c>
      <c r="K13" s="36" t="n">
        <f>984633630</f>
        <v>9.8463363E8</v>
      </c>
      <c r="L13" s="21" t="n">
        <f>930277660</f>
        <v>9.3027766E8</v>
      </c>
      <c r="M13" s="36" t="n">
        <f>447396660</f>
        <v>4.4739666E8</v>
      </c>
      <c r="N13" s="21" t="n">
        <f>2898311290</f>
        <v>2.89831129E9</v>
      </c>
      <c r="O13" s="36" t="n">
        <f>1432030290</f>
        <v>1.43203029E9</v>
      </c>
    </row>
    <row r="14" spans="1:15" ht="24.9" customHeight="1">
      <c r="A14" s="38"/>
      <c r="B14" s="62"/>
      <c r="C14" s="20" t="s">
        <v>17</v>
      </c>
      <c r="D14" s="21" t="n">
        <f>17287</f>
        <v>17287.0</v>
      </c>
      <c r="E14" s="36" t="n">
        <f>12516</f>
        <v>12516.0</v>
      </c>
      <c r="F14" s="21" t="n">
        <f>8970</f>
        <v>8970.0</v>
      </c>
      <c r="G14" s="36" t="n">
        <f>6293</f>
        <v>6293.0</v>
      </c>
      <c r="H14" s="21" t="n">
        <f>26257</f>
        <v>26257.0</v>
      </c>
      <c r="I14" s="36" t="n">
        <f>18809</f>
        <v>18809.0</v>
      </c>
      <c r="J14" s="21" t="n">
        <f>14846818920</f>
        <v>1.484681892E10</v>
      </c>
      <c r="K14" s="36" t="n">
        <f>11800654920</f>
        <v>1.180065492E10</v>
      </c>
      <c r="L14" s="21" t="n">
        <f>12827701348</f>
        <v>1.2827701348E10</v>
      </c>
      <c r="M14" s="36" t="n">
        <f>11857393348</f>
        <v>1.1857393348E10</v>
      </c>
      <c r="N14" s="21" t="n">
        <f>27674520268</f>
        <v>2.7674520268E10</v>
      </c>
      <c r="O14" s="36" t="n">
        <f>23658048268</f>
        <v>2.3658048268E10</v>
      </c>
    </row>
    <row r="15" spans="1:15" ht="24.9" customHeight="1">
      <c r="A15" s="38"/>
      <c r="B15" s="62"/>
      <c r="C15" s="24" t="s">
        <v>18</v>
      </c>
      <c r="D15" s="25" t="n">
        <f>24059</f>
        <v>24059.0</v>
      </c>
      <c r="E15" s="37" t="n">
        <f>15823</f>
        <v>15823.0</v>
      </c>
      <c r="F15" s="25" t="n">
        <f>12566</f>
        <v>12566.0</v>
      </c>
      <c r="G15" s="37" t="n">
        <f>7064</f>
        <v>7064.0</v>
      </c>
      <c r="H15" s="25" t="n">
        <f>36625</f>
        <v>36625.0</v>
      </c>
      <c r="I15" s="37" t="n">
        <f>22887</f>
        <v>22887.0</v>
      </c>
      <c r="J15" s="25" t="n">
        <f>17463489240</f>
        <v>1.746348924E10</v>
      </c>
      <c r="K15" s="37" t="n">
        <f>13214359240</f>
        <v>1.321435924E10</v>
      </c>
      <c r="L15" s="25" t="n">
        <f>14109768318</f>
        <v>1.4109768318E10</v>
      </c>
      <c r="M15" s="37" t="n">
        <f>12346118318</f>
        <v>1.2346118318E10</v>
      </c>
      <c r="N15" s="25" t="n">
        <f>31573257558</f>
        <v>3.1573257558E10</v>
      </c>
      <c r="O15" s="37" t="n">
        <f>25560477558</f>
        <v>2.5560477558E10</v>
      </c>
    </row>
    <row r="16" spans="1:15" ht="24.9" customHeight="1">
      <c r="A16" s="38"/>
      <c r="B16" s="61" t="s">
        <v>105</v>
      </c>
      <c r="C16" s="16" t="s">
        <v>15</v>
      </c>
      <c r="D16" s="17" t="n">
        <f>5114</f>
        <v>5114.0</v>
      </c>
      <c r="E16" s="35" t="n">
        <f>270</f>
        <v>270.0</v>
      </c>
      <c r="F16" s="17" t="n">
        <f>4762</f>
        <v>4762.0</v>
      </c>
      <c r="G16" s="35" t="n">
        <f>50</f>
        <v>50.0</v>
      </c>
      <c r="H16" s="17" t="n">
        <f>9876</f>
        <v>9876.0</v>
      </c>
      <c r="I16" s="35" t="n">
        <f>320</f>
        <v>320.0</v>
      </c>
      <c r="J16" s="17" t="n">
        <f>311763420</f>
        <v>3.1176342E8</v>
      </c>
      <c r="K16" s="35" t="n">
        <f>6588720</f>
        <v>6588720.0</v>
      </c>
      <c r="L16" s="17" t="n">
        <f>364937300</f>
        <v>3.649373E8</v>
      </c>
      <c r="M16" s="35" t="n">
        <f>2249900</f>
        <v>2249900.0</v>
      </c>
      <c r="N16" s="17" t="n">
        <f>676700720</f>
        <v>6.7670072E8</v>
      </c>
      <c r="O16" s="35" t="n">
        <f>8838620</f>
        <v>8838620.0</v>
      </c>
    </row>
    <row r="17" spans="1:15" ht="24.9" customHeight="1">
      <c r="A17" s="38"/>
      <c r="B17" s="62"/>
      <c r="C17" s="20" t="s">
        <v>16</v>
      </c>
      <c r="D17" s="21" t="n">
        <f>6545</f>
        <v>6545.0</v>
      </c>
      <c r="E17" s="36" t="n">
        <f>510</f>
        <v>510.0</v>
      </c>
      <c r="F17" s="21" t="n">
        <f>4111</f>
        <v>4111.0</v>
      </c>
      <c r="G17" s="36" t="n">
        <f>80</f>
        <v>80.0</v>
      </c>
      <c r="H17" s="21" t="n">
        <f>10656</f>
        <v>10656.0</v>
      </c>
      <c r="I17" s="36" t="n">
        <f>590</f>
        <v>590.0</v>
      </c>
      <c r="J17" s="21" t="n">
        <f>192720610</f>
        <v>1.9272061E8</v>
      </c>
      <c r="K17" s="36" t="n">
        <f>3880610</f>
        <v>3880610.0</v>
      </c>
      <c r="L17" s="21" t="n">
        <f>157740040</f>
        <v>1.5774004E8</v>
      </c>
      <c r="M17" s="36" t="n">
        <f>1033840</f>
        <v>1033840.0</v>
      </c>
      <c r="N17" s="21" t="n">
        <f>350460650</f>
        <v>3.5046065E8</v>
      </c>
      <c r="O17" s="36" t="n">
        <f>4914450</f>
        <v>4914450.0</v>
      </c>
    </row>
    <row r="18" spans="1:15" ht="24.9" customHeight="1">
      <c r="A18" s="38"/>
      <c r="B18" s="62"/>
      <c r="C18" s="20" t="s">
        <v>17</v>
      </c>
      <c r="D18" s="21" t="n">
        <f>12704</f>
        <v>12704.0</v>
      </c>
      <c r="E18" s="36" t="n">
        <f>810</f>
        <v>810.0</v>
      </c>
      <c r="F18" s="21" t="n">
        <f>11371</f>
        <v>11371.0</v>
      </c>
      <c r="G18" s="36" t="n">
        <f>460</f>
        <v>460.0</v>
      </c>
      <c r="H18" s="21" t="n">
        <f>24075</f>
        <v>24075.0</v>
      </c>
      <c r="I18" s="36" t="n">
        <f>1270</f>
        <v>1270.0</v>
      </c>
      <c r="J18" s="21" t="n">
        <f>467238040</f>
        <v>4.6723804E8</v>
      </c>
      <c r="K18" s="36" t="n">
        <f>17336640</f>
        <v>1.733664E7</v>
      </c>
      <c r="L18" s="21" t="n">
        <f>395251670</f>
        <v>3.9525167E8</v>
      </c>
      <c r="M18" s="36" t="n">
        <f>9963170</f>
        <v>9963170.0</v>
      </c>
      <c r="N18" s="21" t="n">
        <f>862489710</f>
        <v>8.6248971E8</v>
      </c>
      <c r="O18" s="36" t="n">
        <f>27299810</f>
        <v>2.729981E7</v>
      </c>
    </row>
    <row r="19" spans="1:15" ht="24.9" customHeight="1">
      <c r="A19" s="38"/>
      <c r="B19" s="62"/>
      <c r="C19" s="24" t="s">
        <v>18</v>
      </c>
      <c r="D19" s="25" t="n">
        <f>24363</f>
        <v>24363.0</v>
      </c>
      <c r="E19" s="37" t="n">
        <f>1590</f>
        <v>1590.0</v>
      </c>
      <c r="F19" s="25" t="n">
        <f>20244</f>
        <v>20244.0</v>
      </c>
      <c r="G19" s="37" t="n">
        <f>590</f>
        <v>590.0</v>
      </c>
      <c r="H19" s="25" t="n">
        <f>44607</f>
        <v>44607.0</v>
      </c>
      <c r="I19" s="37" t="n">
        <f>2180</f>
        <v>2180.0</v>
      </c>
      <c r="J19" s="25" t="n">
        <f>971722070</f>
        <v>9.7172207E8</v>
      </c>
      <c r="K19" s="37" t="n">
        <f>27805970</f>
        <v>2.780597E7</v>
      </c>
      <c r="L19" s="25" t="n">
        <f>917929010</f>
        <v>9.1792901E8</v>
      </c>
      <c r="M19" s="37" t="n">
        <f>13246910</f>
        <v>1.324691E7</v>
      </c>
      <c r="N19" s="25" t="n">
        <f>1889651080</f>
        <v>1.88965108E9</v>
      </c>
      <c r="O19" s="37" t="n">
        <f>41052880</f>
        <v>4.105288E7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282</f>
        <v>282.0</v>
      </c>
      <c r="E22" s="36" t="n">
        <f>200</f>
        <v>200.0</v>
      </c>
      <c r="F22" s="21" t="n">
        <f>0</f>
        <v>0.0</v>
      </c>
      <c r="G22" s="36" t="n">
        <f>0</f>
        <v>0.0</v>
      </c>
      <c r="H22" s="21" t="n">
        <f>282</f>
        <v>282.0</v>
      </c>
      <c r="I22" s="36" t="n">
        <f>200</f>
        <v>200.0</v>
      </c>
      <c r="J22" s="21" t="n">
        <f>656590000</f>
        <v>6.5659E8</v>
      </c>
      <c r="K22" s="36" t="n">
        <f>576000000</f>
        <v>5.76E8</v>
      </c>
      <c r="L22" s="21" t="n">
        <f>0</f>
        <v>0.0</v>
      </c>
      <c r="M22" s="36" t="n">
        <f>0</f>
        <v>0.0</v>
      </c>
      <c r="N22" s="21" t="n">
        <f>656590000</f>
        <v>6.5659E8</v>
      </c>
      <c r="O22" s="36" t="n">
        <f>576000000</f>
        <v>5.76E8</v>
      </c>
    </row>
    <row r="23" spans="1:15" ht="24.9" customHeight="1">
      <c r="A23" s="38"/>
      <c r="B23" s="62"/>
      <c r="C23" s="24" t="s">
        <v>18</v>
      </c>
      <c r="D23" s="25" t="n">
        <f>282</f>
        <v>282.0</v>
      </c>
      <c r="E23" s="37" t="n">
        <f>200</f>
        <v>200.0</v>
      </c>
      <c r="F23" s="25" t="n">
        <f>0</f>
        <v>0.0</v>
      </c>
      <c r="G23" s="37" t="n">
        <f>0</f>
        <v>0.0</v>
      </c>
      <c r="H23" s="25" t="n">
        <f>282</f>
        <v>282.0</v>
      </c>
      <c r="I23" s="37" t="n">
        <f>200</f>
        <v>200.0</v>
      </c>
      <c r="J23" s="25" t="n">
        <f>656590000</f>
        <v>6.5659E8</v>
      </c>
      <c r="K23" s="37" t="n">
        <f>576000000</f>
        <v>5.76E8</v>
      </c>
      <c r="L23" s="25" t="n">
        <f>0</f>
        <v>0.0</v>
      </c>
      <c r="M23" s="37" t="n">
        <f>0</f>
        <v>0.0</v>
      </c>
      <c r="N23" s="25" t="n">
        <f>656590000</f>
        <v>6.5659E8</v>
      </c>
      <c r="O23" s="37" t="n">
        <f>576000000</f>
        <v>5.76E8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24</f>
        <v>24.0</v>
      </c>
      <c r="G36" s="18" t="n">
        <f>0</f>
        <v>0.0</v>
      </c>
      <c r="H36" s="17" t="n">
        <f>24</f>
        <v>24.0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2060000</f>
        <v>2060000.0</v>
      </c>
      <c r="M36" s="18" t="n">
        <f>0</f>
        <v>0.0</v>
      </c>
      <c r="N36" s="17" t="n">
        <f>2060000</f>
        <v>2060000.0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81</f>
        <v>81.0</v>
      </c>
      <c r="E37" s="22" t="n">
        <f>0</f>
        <v>0.0</v>
      </c>
      <c r="F37" s="21" t="n">
        <f>1</f>
        <v>1.0</v>
      </c>
      <c r="G37" s="22" t="n">
        <f>0</f>
        <v>0.0</v>
      </c>
      <c r="H37" s="21" t="n">
        <f>82</f>
        <v>82.0</v>
      </c>
      <c r="I37" s="22" t="n">
        <f>0</f>
        <v>0.0</v>
      </c>
      <c r="J37" s="21" t="n">
        <f>36390000</f>
        <v>3.639E7</v>
      </c>
      <c r="K37" s="22" t="n">
        <f>0</f>
        <v>0.0</v>
      </c>
      <c r="L37" s="21" t="n">
        <f>10000</f>
        <v>10000.0</v>
      </c>
      <c r="M37" s="22" t="n">
        <f>0</f>
        <v>0.0</v>
      </c>
      <c r="N37" s="21" t="n">
        <f>36400000</f>
        <v>3.64E7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75</f>
        <v>75.0</v>
      </c>
      <c r="E38" s="36" t="n">
        <f>0</f>
        <v>0.0</v>
      </c>
      <c r="F38" s="21" t="n">
        <f>38</f>
        <v>38.0</v>
      </c>
      <c r="G38" s="36" t="n">
        <f>1</f>
        <v>1.0</v>
      </c>
      <c r="H38" s="21" t="n">
        <f>113</f>
        <v>113.0</v>
      </c>
      <c r="I38" s="36" t="n">
        <f>1</f>
        <v>1.0</v>
      </c>
      <c r="J38" s="21" t="n">
        <f>9450000</f>
        <v>9450000.0</v>
      </c>
      <c r="K38" s="36" t="n">
        <f>0</f>
        <v>0.0</v>
      </c>
      <c r="L38" s="21" t="n">
        <f>11330000</f>
        <v>1.133E7</v>
      </c>
      <c r="M38" s="36" t="n">
        <f>10000</f>
        <v>10000.0</v>
      </c>
      <c r="N38" s="21" t="n">
        <f>20780000</f>
        <v>2.078E7</v>
      </c>
      <c r="O38" s="36" t="n">
        <f>10000</f>
        <v>10000.0</v>
      </c>
    </row>
    <row r="39" spans="1:15" ht="24.9" customHeight="1">
      <c r="A39" s="38"/>
      <c r="B39" s="62"/>
      <c r="C39" s="24" t="s">
        <v>18</v>
      </c>
      <c r="D39" s="25" t="n">
        <f>156</f>
        <v>156.0</v>
      </c>
      <c r="E39" s="37" t="n">
        <f>0</f>
        <v>0.0</v>
      </c>
      <c r="F39" s="25" t="n">
        <f>63</f>
        <v>63.0</v>
      </c>
      <c r="G39" s="37" t="n">
        <f>1</f>
        <v>1.0</v>
      </c>
      <c r="H39" s="25" t="n">
        <f>219</f>
        <v>219.0</v>
      </c>
      <c r="I39" s="37" t="n">
        <f>1</f>
        <v>1.0</v>
      </c>
      <c r="J39" s="25" t="n">
        <f>45840000</f>
        <v>4.584E7</v>
      </c>
      <c r="K39" s="37" t="n">
        <f>0</f>
        <v>0.0</v>
      </c>
      <c r="L39" s="25" t="n">
        <f>13400000</f>
        <v>1.34E7</v>
      </c>
      <c r="M39" s="37" t="n">
        <f>10000</f>
        <v>10000.0</v>
      </c>
      <c r="N39" s="25" t="n">
        <f>59240000</f>
        <v>5.924E7</v>
      </c>
      <c r="O39" s="37" t="n">
        <f>10000</f>
        <v>10000.0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302</f>
        <v>302.0</v>
      </c>
      <c r="E41" s="36" t="n">
        <f>0</f>
        <v>0.0</v>
      </c>
      <c r="F41" s="21" t="n">
        <f>830</f>
        <v>830.0</v>
      </c>
      <c r="G41" s="36" t="n">
        <f>0</f>
        <v>0.0</v>
      </c>
      <c r="H41" s="21" t="n">
        <f>1132</f>
        <v>1132.0</v>
      </c>
      <c r="I41" s="36" t="n">
        <f>0</f>
        <v>0.0</v>
      </c>
      <c r="J41" s="21" t="n">
        <f>15291678</f>
        <v>1.5291678E7</v>
      </c>
      <c r="K41" s="36" t="n">
        <f>0</f>
        <v>0.0</v>
      </c>
      <c r="L41" s="21" t="n">
        <f>17025140</f>
        <v>1.702514E7</v>
      </c>
      <c r="M41" s="36" t="n">
        <f>0</f>
        <v>0.0</v>
      </c>
      <c r="N41" s="21" t="n">
        <f>32316818</f>
        <v>3.2316818E7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2117</f>
        <v>2117.0</v>
      </c>
      <c r="E42" s="36" t="n">
        <f>500</f>
        <v>500.0</v>
      </c>
      <c r="F42" s="21" t="n">
        <f>4357</f>
        <v>4357.0</v>
      </c>
      <c r="G42" s="36" t="n">
        <f>0</f>
        <v>0.0</v>
      </c>
      <c r="H42" s="21" t="n">
        <f>6474</f>
        <v>6474.0</v>
      </c>
      <c r="I42" s="36" t="n">
        <f>500</f>
        <v>500.0</v>
      </c>
      <c r="J42" s="21" t="n">
        <f>39040177</f>
        <v>3.9040177E7</v>
      </c>
      <c r="K42" s="36" t="n">
        <f>8450000</f>
        <v>8450000.0</v>
      </c>
      <c r="L42" s="21" t="n">
        <f>22308650</f>
        <v>2.230865E7</v>
      </c>
      <c r="M42" s="36" t="n">
        <f>0</f>
        <v>0.0</v>
      </c>
      <c r="N42" s="21" t="n">
        <f>61348827</f>
        <v>6.1348827E7</v>
      </c>
      <c r="O42" s="36" t="n">
        <f>8450000</f>
        <v>8450000.0</v>
      </c>
    </row>
    <row r="43" spans="1:15" ht="24.9" customHeight="1">
      <c r="A43" s="38"/>
      <c r="B43" s="62"/>
      <c r="C43" s="24" t="s">
        <v>18</v>
      </c>
      <c r="D43" s="25" t="n">
        <f>2419</f>
        <v>2419.0</v>
      </c>
      <c r="E43" s="37" t="n">
        <f>500</f>
        <v>500.0</v>
      </c>
      <c r="F43" s="25" t="n">
        <f>5187</f>
        <v>5187.0</v>
      </c>
      <c r="G43" s="37" t="n">
        <f>0</f>
        <v>0.0</v>
      </c>
      <c r="H43" s="25" t="n">
        <f>7606</f>
        <v>7606.0</v>
      </c>
      <c r="I43" s="37" t="n">
        <f>500</f>
        <v>500.0</v>
      </c>
      <c r="J43" s="25" t="n">
        <f>54331855</f>
        <v>5.4331855E7</v>
      </c>
      <c r="K43" s="37" t="n">
        <f>8450000</f>
        <v>8450000.0</v>
      </c>
      <c r="L43" s="25" t="n">
        <f>39333790</f>
        <v>3.933379E7</v>
      </c>
      <c r="M43" s="37" t="n">
        <f>0</f>
        <v>0.0</v>
      </c>
      <c r="N43" s="25" t="n">
        <f>93665645</f>
        <v>9.3665645E7</v>
      </c>
      <c r="O43" s="37" t="n">
        <f>8450000</f>
        <v>8450000.0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