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<sst xmlns="http://schemas.openxmlformats.org/spreadsheetml/2006/main" count="528" uniqueCount="129">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</sst>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DATE(2026,08,25)</f>
        <v>46259.0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DATE(2026,08,25)</f>
        <v>46259.0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594204.0</f>
        <v>594204.0</v>
      </c>
      <c r="E12" s="18" t="n">
        <f>28917.0</f>
        <v>28917.0</v>
      </c>
      <c r="F12" s="19" t="n">
        <f>1.0</f>
        <v>1.0</v>
      </c>
      <c r="G12" s="17" t="n">
        <f>3483252359890.0</f>
        <v>3.48325235989E12</v>
      </c>
      <c r="H12" s="18" t="n">
        <f>216783361240.0</f>
        <v>2.1678336124E11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383760.0</f>
        <v>383760.0</v>
      </c>
      <c r="E13" s="22" t="n">
        <f>19590.0</f>
        <v>19590.0</v>
      </c>
      <c r="F13" s="23" t="n">
        <f>1.0</f>
        <v>1.0</v>
      </c>
      <c r="G13" s="21" t="n">
        <f>3336192765600.0</f>
        <v>3.3361927656E12</v>
      </c>
      <c r="H13" s="22" t="n">
        <f>326643072100.0</f>
        <v>3.266430721E11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387599.0</f>
        <v>387599.0</v>
      </c>
      <c r="E14" s="22" t="n">
        <f>31826.0</f>
        <v>31826.0</v>
      </c>
      <c r="F14" s="23" t="n">
        <f>1.0</f>
        <v>1.0</v>
      </c>
      <c r="G14" s="21" t="n">
        <f>5333690468810.0</f>
        <v>5.33369046881E12</v>
      </c>
      <c r="H14" s="22" t="n">
        <f>1032194591060.0</f>
        <v>1.03219459106E12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1365563.0</f>
        <v>1365563.0</v>
      </c>
      <c r="E15" s="26" t="n">
        <f>80333.0</f>
        <v>80333.0</v>
      </c>
      <c r="F15" s="27" t="n">
        <f>1.0</f>
        <v>1.0</v>
      </c>
      <c r="G15" s="25" t="n">
        <f>12153135594300.0</f>
        <v>1.21531355943E13</v>
      </c>
      <c r="H15" s="26" t="n">
        <f>1575621024400.0</f>
        <v>1.5756210244E12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7274.0</f>
        <v>7274.0</v>
      </c>
      <c r="E16" s="18" t="n">
        <f>10.0</f>
        <v>10.0</v>
      </c>
      <c r="F16" s="19" t="n">
        <f>0.012</f>
        <v>0.012</v>
      </c>
      <c r="G16" s="17" t="n">
        <f>888345206250.0</f>
        <v>8.8834520625E11</v>
      </c>
      <c r="H16" s="18" t="n">
        <f>1266010000.0</f>
        <v>1.26601E9</v>
      </c>
      <c r="I16" s="19" t="n">
        <f>0.255</f>
        <v>0.255</v>
      </c>
    </row>
    <row r="17" spans="1:9" ht="24.9" customHeight="1">
      <c r="A17" s="41"/>
      <c r="B17" s="39"/>
      <c r="C17" s="20" t="s">
        <v>16</v>
      </c>
      <c r="D17" s="21" t="n">
        <f>12843.0</f>
        <v>12843.0</v>
      </c>
      <c r="E17" s="22" t="n">
        <f>719.0</f>
        <v>719.0</v>
      </c>
      <c r="F17" s="23" t="n">
        <f>0.033</f>
        <v>0.033</v>
      </c>
      <c r="G17" s="21" t="n">
        <f>1239123060750.0</f>
        <v>1.23912306075E12</v>
      </c>
      <c r="H17" s="22" t="n">
        <f>90924390000.0</f>
        <v>9.092439E10</v>
      </c>
      <c r="I17" s="23" t="n">
        <f>0.371</f>
        <v>0.371</v>
      </c>
    </row>
    <row r="18" spans="1:9" ht="24.9" customHeight="1">
      <c r="A18" s="41"/>
      <c r="B18" s="39"/>
      <c r="C18" s="20" t="s">
        <v>17</v>
      </c>
      <c r="D18" s="21" t="n">
        <f>19140.0</f>
        <v>19140.0</v>
      </c>
      <c r="E18" s="22" t="n">
        <f>2157.0</f>
        <v>2157.0</v>
      </c>
      <c r="F18" s="23" t="n">
        <f>0.049</f>
        <v>0.049</v>
      </c>
      <c r="G18" s="21" t="n">
        <f>2333582139000.0</f>
        <v>2.333582139E12</v>
      </c>
      <c r="H18" s="22" t="n">
        <f>272701105000.0</f>
        <v>2.72701105E11</v>
      </c>
      <c r="I18" s="23" t="n">
        <f>0.438</f>
        <v>0.438</v>
      </c>
    </row>
    <row r="19" spans="1:9" ht="24.9" customHeight="1">
      <c r="A19" s="41"/>
      <c r="B19" s="39"/>
      <c r="C19" s="24" t="s">
        <v>18</v>
      </c>
      <c r="D19" s="25" t="n">
        <f>39257.0</f>
        <v>39257.0</v>
      </c>
      <c r="E19" s="26" t="n">
        <f>2886.0</f>
        <v>2886.0</v>
      </c>
      <c r="F19" s="27" t="n">
        <f>0.029</f>
        <v>0.029</v>
      </c>
      <c r="G19" s="25" t="n">
        <f>4461050406000.0</f>
        <v>4.461050406E12</v>
      </c>
      <c r="H19" s="26" t="n">
        <f>364891505000.0</f>
        <v>3.64891505E11</v>
      </c>
      <c r="I19" s="27" t="n">
        <f>0.367</f>
        <v>0.367</v>
      </c>
    </row>
    <row r="20" spans="1:9" ht="24.9" customHeight="1">
      <c r="A20" s="41"/>
      <c r="B20" s="39" t="s">
        <v>21</v>
      </c>
      <c r="C20" s="16" t="s">
        <v>15</v>
      </c>
      <c r="D20" s="17" t="n">
        <f>565646.0</f>
        <v>565646.0</v>
      </c>
      <c r="E20" s="18" t="n">
        <f>28889.0</f>
        <v>28889.0</v>
      </c>
      <c r="F20" s="19" t="n">
        <f>0.952</f>
        <v>0.952</v>
      </c>
      <c r="G20" s="17" t="n">
        <f>2347588292990.0</f>
        <v>2.34758829299E12</v>
      </c>
      <c r="H20" s="18" t="n">
        <f>215487554040.0</f>
        <v>2.1548755404E11</v>
      </c>
      <c r="I20" s="19" t="n">
        <f>0.674</f>
        <v>0.674</v>
      </c>
    </row>
    <row r="21" spans="1:9" ht="24.9" customHeight="1">
      <c r="A21" s="41"/>
      <c r="B21" s="39"/>
      <c r="C21" s="20" t="s">
        <v>16</v>
      </c>
      <c r="D21" s="21" t="n">
        <f>358074.0</f>
        <v>358074.0</v>
      </c>
      <c r="E21" s="22" t="n">
        <f>18869.0</f>
        <v>18869.0</v>
      </c>
      <c r="F21" s="23" t="n">
        <f>0.933</f>
        <v>0.933</v>
      </c>
      <c r="G21" s="21" t="n">
        <f>1956570077900.0</f>
        <v>1.9565700779E12</v>
      </c>
      <c r="H21" s="22" t="n">
        <f>235709171100.0</f>
        <v>2.357091711E11</v>
      </c>
      <c r="I21" s="23" t="n">
        <f>0.586</f>
        <v>0.586</v>
      </c>
    </row>
    <row r="22" spans="1:9" ht="24.9" customHeight="1">
      <c r="A22" s="41"/>
      <c r="B22" s="39"/>
      <c r="C22" s="20" t="s">
        <v>17</v>
      </c>
      <c r="D22" s="21" t="n">
        <f>353776.0</f>
        <v>353776.0</v>
      </c>
      <c r="E22" s="22" t="n">
        <f>29572.0</f>
        <v>29572.0</v>
      </c>
      <c r="F22" s="23" t="n">
        <f>0.913</f>
        <v>0.913</v>
      </c>
      <c r="G22" s="21" t="n">
        <f>2855047055160.0</f>
        <v>2.85504705516E12</v>
      </c>
      <c r="H22" s="22" t="n">
        <f>759141092060.0</f>
        <v>7.5914109206E11</v>
      </c>
      <c r="I22" s="23" t="n">
        <f>0.535</f>
        <v>0.535</v>
      </c>
    </row>
    <row r="23" spans="1:9" ht="24.9" customHeight="1">
      <c r="A23" s="41"/>
      <c r="B23" s="39"/>
      <c r="C23" s="24" t="s">
        <v>18</v>
      </c>
      <c r="D23" s="25" t="n">
        <f>1277496.0</f>
        <v>1277496.0</v>
      </c>
      <c r="E23" s="26" t="n">
        <f>77330.0</f>
        <v>77330.0</v>
      </c>
      <c r="F23" s="27" t="n">
        <f>0.936</f>
        <v>0.936</v>
      </c>
      <c r="G23" s="25" t="n">
        <f>7159205426050.0</f>
        <v>7.15920542605E12</v>
      </c>
      <c r="H23" s="26" t="n">
        <f>1210337817200.0</f>
        <v>1.2103378172E12</v>
      </c>
      <c r="I23" s="27" t="n">
        <f>0.589</f>
        <v>0.589</v>
      </c>
    </row>
    <row r="24" spans="1:9" ht="24.9" customHeight="1">
      <c r="A24" s="41"/>
      <c r="B24" s="39" t="s">
        <v>22</v>
      </c>
      <c r="C24" s="16" t="s">
        <v>15</v>
      </c>
      <c r="D24" s="17" t="n">
        <f>20992.0</f>
        <v>20992.0</v>
      </c>
      <c r="E24" s="18" t="n">
        <f>0.0</f>
        <v>0.0</v>
      </c>
      <c r="F24" s="19" t="n">
        <f>0.035</f>
        <v>0.035</v>
      </c>
      <c r="G24" s="17" t="n">
        <f>246213723450.0</f>
        <v>2.4621372345E11</v>
      </c>
      <c r="H24" s="18" t="n">
        <f>0.0</f>
        <v>0.0</v>
      </c>
      <c r="I24" s="19" t="n">
        <f>0.071</f>
        <v>0.071</v>
      </c>
    </row>
    <row r="25" spans="1:9" ht="24.9" customHeight="1">
      <c r="A25" s="41"/>
      <c r="B25" s="39"/>
      <c r="C25" s="20" t="s">
        <v>16</v>
      </c>
      <c r="D25" s="21" t="n">
        <f>12407.0</f>
        <v>12407.0</v>
      </c>
      <c r="E25" s="22" t="n">
        <f>2.0</f>
        <v>2.0</v>
      </c>
      <c r="F25" s="23" t="n">
        <f>0.032</f>
        <v>0.032</v>
      </c>
      <c r="G25" s="21" t="n">
        <f>138796772450.0</f>
        <v>1.3879677245E11</v>
      </c>
      <c r="H25" s="22" t="n">
        <f>9511000.0</f>
        <v>9511000.0</v>
      </c>
      <c r="I25" s="23" t="n">
        <f>0.042</f>
        <v>0.042</v>
      </c>
    </row>
    <row r="26" spans="1:9" ht="24.9" customHeight="1">
      <c r="A26" s="41"/>
      <c r="B26" s="39"/>
      <c r="C26" s="20" t="s">
        <v>17</v>
      </c>
      <c r="D26" s="21" t="n">
        <f>13598.0</f>
        <v>13598.0</v>
      </c>
      <c r="E26" s="22" t="n">
        <f>77.0</f>
        <v>77.0</v>
      </c>
      <c r="F26" s="23" t="n">
        <f>0.035</f>
        <v>0.035</v>
      </c>
      <c r="G26" s="21" t="n">
        <f>140998659150.0</f>
        <v>1.4099865915E11</v>
      </c>
      <c r="H26" s="22" t="n">
        <f>332500000.0</f>
        <v>3.325E8</v>
      </c>
      <c r="I26" s="23" t="n">
        <f>0.026</f>
        <v>0.026</v>
      </c>
    </row>
    <row r="27" spans="1:9" ht="24.9" customHeight="1">
      <c r="A27" s="42"/>
      <c r="B27" s="39"/>
      <c r="C27" s="24" t="s">
        <v>18</v>
      </c>
      <c r="D27" s="25" t="n">
        <f>46997.0</f>
        <v>46997.0</v>
      </c>
      <c r="E27" s="26" t="n">
        <f>79.0</f>
        <v>79.0</v>
      </c>
      <c r="F27" s="27" t="n">
        <f>0.034</f>
        <v>0.034</v>
      </c>
      <c r="G27" s="25" t="n">
        <f>526009155050.0</f>
        <v>5.2600915505E11</v>
      </c>
      <c r="H27" s="26" t="n">
        <f>342011000.0</f>
        <v>3.42011E8</v>
      </c>
      <c r="I27" s="27" t="n">
        <f>0.043</f>
        <v>0.043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292.0</f>
        <v>292.0</v>
      </c>
      <c r="E28" s="18" t="n">
        <f>18.0</f>
        <v>18.0</v>
      </c>
      <c r="F28" s="19" t="n">
        <f>0.0</f>
        <v>0.0</v>
      </c>
      <c r="G28" s="17" t="n">
        <f>1105137200.0</f>
        <v>1.1051372E9</v>
      </c>
      <c r="H28" s="18" t="n">
        <f>29797200.0</f>
        <v>2.97972E7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436.0</f>
        <v>436.0</v>
      </c>
      <c r="E29" s="22" t="n">
        <f>0.0</f>
        <v>0.0</v>
      </c>
      <c r="F29" s="23" t="n">
        <f>0.001</f>
        <v>0.001</v>
      </c>
      <c r="G29" s="21" t="n">
        <f>1702854500.0</f>
        <v>1.7028545E9</v>
      </c>
      <c r="H29" s="22" t="n">
        <f>0.0</f>
        <v>0.0</v>
      </c>
      <c r="I29" s="23" t="n">
        <f>0.001</f>
        <v>0.001</v>
      </c>
    </row>
    <row r="30" spans="1:9" ht="24.9" customHeight="1">
      <c r="A30" s="38"/>
      <c r="B30" s="39"/>
      <c r="C30" s="20" t="s">
        <v>17</v>
      </c>
      <c r="D30" s="21" t="n">
        <f>1085.0</f>
        <v>1085.0</v>
      </c>
      <c r="E30" s="22" t="n">
        <f>20.0</f>
        <v>20.0</v>
      </c>
      <c r="F30" s="23" t="n">
        <f>0.003</f>
        <v>0.003</v>
      </c>
      <c r="G30" s="21" t="n">
        <f>4062615500.0</f>
        <v>4.0626155E9</v>
      </c>
      <c r="H30" s="22" t="n">
        <f>19894000.0</f>
        <v>1.9894E7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1813.0</f>
        <v>1813.0</v>
      </c>
      <c r="E31" s="26" t="n">
        <f>38.0</f>
        <v>38.0</v>
      </c>
      <c r="F31" s="27" t="n">
        <f>0.001</f>
        <v>0.001</v>
      </c>
      <c r="G31" s="25" t="n">
        <f>6870607200.0</f>
        <v>6.8706072E9</v>
      </c>
      <c r="H31" s="26" t="n">
        <f>49691200.0</f>
        <v>4.96912E7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46259.0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46259.0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16432</f>
        <v>16432.0</v>
      </c>
      <c r="E11" s="18" t="n">
        <f>2467</f>
        <v>2467.0</v>
      </c>
      <c r="F11" s="19" t="n">
        <f>1</f>
        <v>1.0</v>
      </c>
      <c r="G11" s="17" t="n">
        <f>2822972270</f>
        <v>2.82297227E9</v>
      </c>
      <c r="H11" s="18" t="n">
        <f>1442535170</f>
        <v>1.44253517E9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25218</f>
        <v>25218.0</v>
      </c>
      <c r="E12" s="22" t="n">
        <f>2700</f>
        <v>2700.0</v>
      </c>
      <c r="F12" s="23" t="n">
        <f>1</f>
        <v>1.0</v>
      </c>
      <c r="G12" s="21" t="n">
        <f>3376591799</f>
        <v>3.376591799E9</v>
      </c>
      <c r="H12" s="22" t="n">
        <f>2137610130</f>
        <v>2.13761013E9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42233</f>
        <v>42233.0</v>
      </c>
      <c r="E13" s="22" t="n">
        <f>18104</f>
        <v>18104.0</v>
      </c>
      <c r="F13" s="23" t="n">
        <f>1</f>
        <v>1.0</v>
      </c>
      <c r="G13" s="21" t="n">
        <f>17104952207</f>
        <v>1.7104952207E10</v>
      </c>
      <c r="H13" s="22" t="n">
        <f>14625057238</f>
        <v>1.4625057238E10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83883</f>
        <v>83883.0</v>
      </c>
      <c r="E14" s="26" t="n">
        <f>23271</f>
        <v>23271.0</v>
      </c>
      <c r="F14" s="27" t="n">
        <f>1</f>
        <v>1.0</v>
      </c>
      <c r="G14" s="25" t="n">
        <f>23304516276</f>
        <v>2.3304516276E10</v>
      </c>
      <c r="H14" s="26" t="n">
        <f>18205202538</f>
        <v>1.8205202538E10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45</f>
        <v>45.0</v>
      </c>
      <c r="E16" s="22" t="n">
        <f>0</f>
        <v>0.0</v>
      </c>
      <c r="F16" s="23" t="n">
        <f>0.002</f>
        <v>0.002</v>
      </c>
      <c r="G16" s="21" t="n">
        <f>1250000</f>
        <v>1250000.0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208</f>
        <v>208.0</v>
      </c>
      <c r="E17" s="22" t="n">
        <f>0</f>
        <v>0.0</v>
      </c>
      <c r="F17" s="23" t="n">
        <f>0.005</f>
        <v>0.005</v>
      </c>
      <c r="G17" s="21" t="n">
        <f>18980000</f>
        <v>1.898E7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253</f>
        <v>253.0</v>
      </c>
      <c r="E18" s="26" t="n">
        <f>0</f>
        <v>0.0</v>
      </c>
      <c r="F18" s="27" t="n">
        <f>0.003</f>
        <v>0.003</v>
      </c>
      <c r="G18" s="25" t="n">
        <f>20230000</f>
        <v>2.023E7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16432</f>
        <v>16432.0</v>
      </c>
      <c r="E19" s="18" t="n">
        <f>2467</f>
        <v>2467.0</v>
      </c>
      <c r="F19" s="19" t="n">
        <f>1</f>
        <v>1.0</v>
      </c>
      <c r="G19" s="17" t="n">
        <f>2822972270</f>
        <v>2.82297227E9</v>
      </c>
      <c r="H19" s="18" t="n">
        <f>1442535170</f>
        <v>1.44253517E9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18131</f>
        <v>18131.0</v>
      </c>
      <c r="E20" s="22" t="n">
        <f>2700</f>
        <v>2700.0</v>
      </c>
      <c r="F20" s="23" t="n">
        <f>0.719</f>
        <v>0.719</v>
      </c>
      <c r="G20" s="21" t="n">
        <f>3348934330</f>
        <v>3.34893433E9</v>
      </c>
      <c r="H20" s="22" t="n">
        <f>2137610130</f>
        <v>2.13761013E9</v>
      </c>
      <c r="I20" s="23" t="n">
        <f>0.992</f>
        <v>0.992</v>
      </c>
    </row>
    <row r="21" spans="1:9" ht="24.9" customHeight="1">
      <c r="A21" s="41"/>
      <c r="B21" s="39"/>
      <c r="C21" s="20" t="s">
        <v>17</v>
      </c>
      <c r="D21" s="21" t="n">
        <f>40853</f>
        <v>40853.0</v>
      </c>
      <c r="E21" s="22" t="n">
        <f>17554</f>
        <v>17554.0</v>
      </c>
      <c r="F21" s="23" t="n">
        <f>0.967</f>
        <v>0.967</v>
      </c>
      <c r="G21" s="21" t="n">
        <f>17022926238</f>
        <v>1.7022926238E10</v>
      </c>
      <c r="H21" s="22" t="n">
        <f>14621262238</f>
        <v>1.4621262238E10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75416</f>
        <v>75416.0</v>
      </c>
      <c r="E22" s="26" t="n">
        <f>22721</f>
        <v>22721.0</v>
      </c>
      <c r="F22" s="27" t="n">
        <f>0.899</f>
        <v>0.899</v>
      </c>
      <c r="G22" s="25" t="n">
        <f>23194832838</f>
        <v>2.3194832838E10</v>
      </c>
      <c r="H22" s="26" t="n">
        <f>18201407538</f>
        <v>1.8201407538E10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7042</f>
        <v>7042.0</v>
      </c>
      <c r="E24" s="22" t="n">
        <f>0</f>
        <v>0.0</v>
      </c>
      <c r="F24" s="23" t="n">
        <f>0.279</f>
        <v>0.279</v>
      </c>
      <c r="G24" s="21" t="n">
        <f>26407469</f>
        <v>2.6407469E7</v>
      </c>
      <c r="H24" s="22" t="n">
        <f>0</f>
        <v>0.0</v>
      </c>
      <c r="I24" s="23" t="n">
        <f>0.008</f>
        <v>0.008</v>
      </c>
    </row>
    <row r="25" spans="1:9" ht="24.9" customHeight="1">
      <c r="A25" s="41"/>
      <c r="B25" s="39"/>
      <c r="C25" s="20" t="s">
        <v>17</v>
      </c>
      <c r="D25" s="21" t="n">
        <f>1172</f>
        <v>1172.0</v>
      </c>
      <c r="E25" s="22" t="n">
        <f>550</f>
        <v>550.0</v>
      </c>
      <c r="F25" s="23" t="n">
        <f>0.028</f>
        <v>0.028</v>
      </c>
      <c r="G25" s="21" t="n">
        <f>63045969</f>
        <v>6.3045969E7</v>
      </c>
      <c r="H25" s="22" t="n">
        <f>3795000</f>
        <v>3795000.0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8214</f>
        <v>8214.0</v>
      </c>
      <c r="E26" s="26" t="n">
        <f>550</f>
        <v>550.0</v>
      </c>
      <c r="F26" s="27" t="n">
        <f>0.098</f>
        <v>0.098</v>
      </c>
      <c r="G26" s="25" t="n">
        <f>89453438</f>
        <v>8.9453438E7</v>
      </c>
      <c r="H26" s="26" t="n">
        <f>3795000</f>
        <v>3795000.0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46259.0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46259.0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5857.0</v>
      </c>
      <c r="F12" s="18" t="n">
        <f>404</f>
        <v>404.0</v>
      </c>
      <c r="G12" s="17" t="n">
        <v>3.8298814145E11</v>
      </c>
      <c r="H12" s="18" t="n">
        <f>26439704450</f>
        <v>2.643970445E10</v>
      </c>
    </row>
    <row r="13" spans="1:8" ht="24.9" customHeight="1">
      <c r="A13" s="51"/>
      <c r="B13" s="57"/>
      <c r="C13" s="39"/>
      <c r="D13" s="20" t="s">
        <v>16</v>
      </c>
      <c r="E13" s="21" t="n">
        <v>5973.0</v>
      </c>
      <c r="F13" s="22" t="n">
        <f>477</f>
        <v>477.0</v>
      </c>
      <c r="G13" s="21" t="n">
        <v>3.883350814E11</v>
      </c>
      <c r="H13" s="22" t="n">
        <f>31007000400</f>
        <v>3.10070004E10</v>
      </c>
    </row>
    <row r="14" spans="1:8" ht="24.9" customHeight="1">
      <c r="A14" s="51"/>
      <c r="B14" s="57"/>
      <c r="C14" s="39"/>
      <c r="D14" s="20" t="s">
        <v>17</v>
      </c>
      <c r="E14" s="21" t="n">
        <v>13943.0</v>
      </c>
      <c r="F14" s="22" t="n">
        <f>5079</f>
        <v>5079.0</v>
      </c>
      <c r="G14" s="21" t="n">
        <v>9.1474922261E11</v>
      </c>
      <c r="H14" s="22" t="n">
        <f>332043422610</f>
        <v>3.3204342261E11</v>
      </c>
    </row>
    <row r="15" spans="1:8" ht="24.9" customHeight="1">
      <c r="A15" s="51"/>
      <c r="B15" s="57"/>
      <c r="C15" s="39"/>
      <c r="D15" s="24" t="s">
        <v>18</v>
      </c>
      <c r="E15" s="25" t="n">
        <v>25773.0</v>
      </c>
      <c r="F15" s="26" t="n">
        <f>5960</f>
        <v>5960.0</v>
      </c>
      <c r="G15" s="25" t="n">
        <v>1.68607244546E12</v>
      </c>
      <c r="H15" s="26" t="n">
        <f>389490127460</f>
        <v>3.8949012746E11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214776.0</v>
      </c>
      <c r="F16" s="18" t="n">
        <f>27927</f>
        <v>27927.0</v>
      </c>
      <c r="G16" s="17" t="n">
        <v>1.40355488585E12</v>
      </c>
      <c r="H16" s="18" t="n">
        <f>182508989350</f>
        <v>1.8250898935E11</v>
      </c>
    </row>
    <row r="17" spans="1:8" ht="24.9" customHeight="1">
      <c r="A17" s="51"/>
      <c r="B17" s="57"/>
      <c r="C17" s="39"/>
      <c r="D17" s="20" t="s">
        <v>16</v>
      </c>
      <c r="E17" s="21" t="n">
        <v>146630.0</v>
      </c>
      <c r="F17" s="22" t="n">
        <f>15524</f>
        <v>15524.0</v>
      </c>
      <c r="G17" s="21" t="n">
        <v>9.5321874625E11</v>
      </c>
      <c r="H17" s="22" t="n">
        <f>100901845850</f>
        <v>1.0090184585E11</v>
      </c>
    </row>
    <row r="18" spans="1:8" ht="24.9" customHeight="1">
      <c r="A18" s="51"/>
      <c r="B18" s="57"/>
      <c r="C18" s="39"/>
      <c r="D18" s="20" t="s">
        <v>17</v>
      </c>
      <c r="E18" s="21" t="n">
        <v>136957.0</v>
      </c>
      <c r="F18" s="22" t="n">
        <f>16014</f>
        <v>16014.0</v>
      </c>
      <c r="G18" s="21" t="n">
        <v>9.0001454108E11</v>
      </c>
      <c r="H18" s="22" t="n">
        <f>105216528080</f>
        <v>1.0521652808E11</v>
      </c>
    </row>
    <row r="19" spans="1:8" ht="24.9" customHeight="1">
      <c r="A19" s="51"/>
      <c r="B19" s="57"/>
      <c r="C19" s="39"/>
      <c r="D19" s="24" t="s">
        <v>18</v>
      </c>
      <c r="E19" s="25" t="n">
        <v>498363.0</v>
      </c>
      <c r="F19" s="26" t="n">
        <f>59465</f>
        <v>59465.0</v>
      </c>
      <c r="G19" s="25" t="n">
        <v>3.25678817318E12</v>
      </c>
      <c r="H19" s="26" t="n">
        <f>388627363280</f>
        <v>3.8862736328E11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330991.0</v>
      </c>
      <c r="F20" s="18" t="str">
        <f>"－"</f>
        <v>－</v>
      </c>
      <c r="G20" s="17" t="n">
        <v>2.1628527165E11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187853.0</v>
      </c>
      <c r="F21" s="22" t="str">
        <f>"－"</f>
        <v>－</v>
      </c>
      <c r="G21" s="21" t="n">
        <v>1.221060126E11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173389.0</v>
      </c>
      <c r="F22" s="22" t="str">
        <f>"－"</f>
        <v>－</v>
      </c>
      <c r="G22" s="21" t="n">
        <v>1.1392611335E11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692233.0</v>
      </c>
      <c r="F23" s="26" t="str">
        <f>"－"</f>
        <v>－</v>
      </c>
      <c r="G23" s="25" t="n">
        <v>4.523173976E11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7881.0</v>
      </c>
      <c r="F24" s="18" t="n">
        <f>119</f>
        <v>119.0</v>
      </c>
      <c r="G24" s="17" t="n">
        <v>3.209437733E11</v>
      </c>
      <c r="H24" s="18" t="n">
        <f>4849013300</f>
        <v>4.8490133E9</v>
      </c>
    </row>
    <row r="25" spans="1:8" ht="24.9" customHeight="1">
      <c r="A25" s="51"/>
      <c r="B25" s="57"/>
      <c r="C25" s="39"/>
      <c r="D25" s="20" t="s">
        <v>16</v>
      </c>
      <c r="E25" s="21" t="n">
        <v>11561.0</v>
      </c>
      <c r="F25" s="22" t="n">
        <f>2522</f>
        <v>2522.0</v>
      </c>
      <c r="G25" s="21" t="n">
        <v>4.70452286E11</v>
      </c>
      <c r="H25" s="22" t="n">
        <f>102416161000</f>
        <v>1.02416161E11</v>
      </c>
    </row>
    <row r="26" spans="1:8" ht="24.9" customHeight="1">
      <c r="A26" s="51"/>
      <c r="B26" s="57"/>
      <c r="C26" s="39"/>
      <c r="D26" s="20" t="s">
        <v>17</v>
      </c>
      <c r="E26" s="21" t="n">
        <v>22040.0</v>
      </c>
      <c r="F26" s="22" t="n">
        <f>7835</f>
        <v>7835.0</v>
      </c>
      <c r="G26" s="21" t="n">
        <v>9.0153090744E11</v>
      </c>
      <c r="H26" s="22" t="n">
        <f>320371912440</f>
        <v>3.2037191244E11</v>
      </c>
    </row>
    <row r="27" spans="1:8" ht="24.9" customHeight="1">
      <c r="A27" s="51"/>
      <c r="B27" s="57"/>
      <c r="C27" s="39"/>
      <c r="D27" s="24" t="s">
        <v>18</v>
      </c>
      <c r="E27" s="25" t="n">
        <v>41482.0</v>
      </c>
      <c r="F27" s="26" t="n">
        <f>10476</f>
        <v>10476.0</v>
      </c>
      <c r="G27" s="25" t="n">
        <v>1.69292696674E12</v>
      </c>
      <c r="H27" s="26" t="n">
        <f>427637086740</f>
        <v>4.2763708674E11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4831.0</v>
      </c>
      <c r="F28" s="18" t="n">
        <f>402</f>
        <v>402.0</v>
      </c>
      <c r="G28" s="17" t="n">
        <v>1.967417235E10</v>
      </c>
      <c r="H28" s="18" t="n">
        <f>1636652350</f>
        <v>1.63665235E9</v>
      </c>
    </row>
    <row r="29" spans="1:8" ht="24.9" customHeight="1">
      <c r="A29" s="51"/>
      <c r="B29" s="57"/>
      <c r="C29" s="39"/>
      <c r="D29" s="20" t="s">
        <v>16</v>
      </c>
      <c r="E29" s="21" t="n">
        <v>4708.0</v>
      </c>
      <c r="F29" s="22" t="n">
        <f>322</f>
        <v>322.0</v>
      </c>
      <c r="G29" s="21" t="n">
        <v>1.917135295E10</v>
      </c>
      <c r="H29" s="22" t="n">
        <f>1311189950</f>
        <v>1.31118995E9</v>
      </c>
    </row>
    <row r="30" spans="1:8" ht="24.9" customHeight="1">
      <c r="A30" s="51"/>
      <c r="B30" s="57"/>
      <c r="C30" s="39"/>
      <c r="D30" s="20" t="s">
        <v>17</v>
      </c>
      <c r="E30" s="21" t="n">
        <v>4694.0</v>
      </c>
      <c r="F30" s="22" t="n">
        <f>155</f>
        <v>155.0</v>
      </c>
      <c r="G30" s="21" t="n">
        <v>1.92026485E10</v>
      </c>
      <c r="H30" s="22" t="n">
        <f>634019750</f>
        <v>6.3401975E8</v>
      </c>
    </row>
    <row r="31" spans="1:8" ht="24.9" customHeight="1">
      <c r="A31" s="51"/>
      <c r="B31" s="57"/>
      <c r="C31" s="39"/>
      <c r="D31" s="24" t="s">
        <v>18</v>
      </c>
      <c r="E31" s="25" t="n">
        <v>14233.0</v>
      </c>
      <c r="F31" s="26" t="n">
        <f>879</f>
        <v>879.0</v>
      </c>
      <c r="G31" s="25" t="n">
        <v>5.80481738E10</v>
      </c>
      <c r="H31" s="26" t="n">
        <f>3581862050</f>
        <v>3.58186205E9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609.0</v>
      </c>
      <c r="F36" s="18" t="n">
        <f>0</f>
        <v>0.0</v>
      </c>
      <c r="G36" s="17" t="n">
        <v>2.237029E9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562.0</v>
      </c>
      <c r="F37" s="22" t="n">
        <f>3</f>
        <v>3.0</v>
      </c>
      <c r="G37" s="21" t="n">
        <v>2.065036E9</v>
      </c>
      <c r="H37" s="22" t="n">
        <f>11009000</f>
        <v>1.1009E7</v>
      </c>
    </row>
    <row r="38" spans="1:8" ht="24.9" customHeight="1">
      <c r="A38" s="51"/>
      <c r="B38" s="57"/>
      <c r="C38" s="39"/>
      <c r="D38" s="20" t="s">
        <v>17</v>
      </c>
      <c r="E38" s="21" t="n">
        <v>925.0</v>
      </c>
      <c r="F38" s="22" t="n">
        <f>7</f>
        <v>7.0</v>
      </c>
      <c r="G38" s="21" t="n">
        <v>3.4138755E9</v>
      </c>
      <c r="H38" s="22" t="n">
        <f>25828500</f>
        <v>2.58285E7</v>
      </c>
    </row>
    <row r="39" spans="1:8" ht="24.9" customHeight="1">
      <c r="A39" s="51"/>
      <c r="B39" s="57"/>
      <c r="C39" s="39"/>
      <c r="D39" s="24" t="s">
        <v>18</v>
      </c>
      <c r="E39" s="25" t="n">
        <v>2096.0</v>
      </c>
      <c r="F39" s="26" t="n">
        <f>10</f>
        <v>10.0</v>
      </c>
      <c r="G39" s="25" t="n">
        <v>7.7159405E9</v>
      </c>
      <c r="H39" s="26" t="n">
        <f>36837500</f>
        <v>3.68375E7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1.0</v>
      </c>
      <c r="F45" s="22" t="n">
        <f>0</f>
        <v>0.0</v>
      </c>
      <c r="G45" s="21" t="n">
        <v>7336000.0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1.0</v>
      </c>
      <c r="F47" s="26" t="n">
        <f>0</f>
        <v>0.0</v>
      </c>
      <c r="G47" s="25" t="n">
        <v>7336000.0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24.0</v>
      </c>
      <c r="F48" s="18" t="n">
        <f>24</f>
        <v>24.0</v>
      </c>
      <c r="G48" s="17" t="n">
        <v>4.325269E7</v>
      </c>
      <c r="H48" s="18" t="n">
        <f>43252690</f>
        <v>4.325269E7</v>
      </c>
    </row>
    <row r="49" spans="1:8" ht="24.9" customHeight="1">
      <c r="A49" s="51"/>
      <c r="B49" s="57"/>
      <c r="C49" s="39"/>
      <c r="D49" s="20" t="s">
        <v>16</v>
      </c>
      <c r="E49" s="21" t="n">
        <v>6.0</v>
      </c>
      <c r="F49" s="22" t="n">
        <f>0</f>
        <v>0.0</v>
      </c>
      <c r="G49" s="21" t="n">
        <v>1.0825E7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496.0</v>
      </c>
      <c r="F50" s="22" t="n">
        <f>465</f>
        <v>465.0</v>
      </c>
      <c r="G50" s="21" t="n">
        <v>8.9206767E8</v>
      </c>
      <c r="H50" s="22" t="n">
        <f>836186670</f>
        <v>8.3618667E8</v>
      </c>
    </row>
    <row r="51" spans="1:8" ht="24.9" customHeight="1">
      <c r="A51" s="51"/>
      <c r="B51" s="57"/>
      <c r="C51" s="39"/>
      <c r="D51" s="24" t="s">
        <v>18</v>
      </c>
      <c r="E51" s="25" t="n">
        <v>526.0</v>
      </c>
      <c r="F51" s="26" t="n">
        <f>489</f>
        <v>489.0</v>
      </c>
      <c r="G51" s="25" t="n">
        <v>9.4614536E8</v>
      </c>
      <c r="H51" s="26" t="n">
        <f>879439360</f>
        <v>8.7943936E8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237.0</v>
      </c>
      <c r="F56" s="18" t="n">
        <f>13</f>
        <v>13.0</v>
      </c>
      <c r="G56" s="17" t="n">
        <v>1.810239E8</v>
      </c>
      <c r="H56" s="18" t="n">
        <f>9941900</f>
        <v>9941900.0</v>
      </c>
    </row>
    <row r="57" spans="1:8" ht="24.9" customHeight="1">
      <c r="A57" s="51"/>
      <c r="B57" s="57"/>
      <c r="C57" s="39"/>
      <c r="D57" s="20" t="s">
        <v>16</v>
      </c>
      <c r="E57" s="21" t="n">
        <v>634.0</v>
      </c>
      <c r="F57" s="22" t="n">
        <f>11</f>
        <v>11.0</v>
      </c>
      <c r="G57" s="21" t="n">
        <v>4.860739E8</v>
      </c>
      <c r="H57" s="22" t="n">
        <f>8441900</f>
        <v>8441900.0</v>
      </c>
    </row>
    <row r="58" spans="1:8" ht="24.9" customHeight="1">
      <c r="A58" s="51"/>
      <c r="B58" s="57"/>
      <c r="C58" s="39"/>
      <c r="D58" s="20" t="s">
        <v>17</v>
      </c>
      <c r="E58" s="21" t="n">
        <v>1266.0</v>
      </c>
      <c r="F58" s="22" t="n">
        <f>17</f>
        <v>17.0</v>
      </c>
      <c r="G58" s="21" t="n">
        <v>9.7838501E8</v>
      </c>
      <c r="H58" s="22" t="n">
        <f>13194010</f>
        <v>1.319401E7</v>
      </c>
    </row>
    <row r="59" spans="1:8" ht="24.9" customHeight="1">
      <c r="A59" s="51"/>
      <c r="B59" s="57"/>
      <c r="C59" s="39"/>
      <c r="D59" s="24" t="s">
        <v>18</v>
      </c>
      <c r="E59" s="25" t="n">
        <v>2137.0</v>
      </c>
      <c r="F59" s="26" t="n">
        <f>41</f>
        <v>41.0</v>
      </c>
      <c r="G59" s="25" t="n">
        <v>1.64548281E9</v>
      </c>
      <c r="H59" s="26" t="n">
        <f>31577810</f>
        <v>3.157781E7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248.0</v>
      </c>
      <c r="F60" s="18" t="n">
        <f>0</f>
        <v>0.0</v>
      </c>
      <c r="G60" s="17" t="n">
        <v>1.3244897E9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133.0</v>
      </c>
      <c r="F61" s="22" t="n">
        <f>10</f>
        <v>10.0</v>
      </c>
      <c r="G61" s="21" t="n">
        <v>7.116366E8</v>
      </c>
      <c r="H61" s="22" t="n">
        <f>53523000</f>
        <v>5.3523E7</v>
      </c>
    </row>
    <row r="62" spans="1:8" ht="24.9" customHeight="1">
      <c r="A62" s="51"/>
      <c r="B62" s="57"/>
      <c r="C62" s="39"/>
      <c r="D62" s="20" t="s">
        <v>17</v>
      </c>
      <c r="E62" s="21" t="n">
        <v>63.0</v>
      </c>
      <c r="F62" s="22" t="n">
        <f>0</f>
        <v>0.0</v>
      </c>
      <c r="G62" s="21" t="n">
        <v>3.370232E8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444.0</v>
      </c>
      <c r="F63" s="26" t="n">
        <f>10</f>
        <v>10.0</v>
      </c>
      <c r="G63" s="25" t="n">
        <v>2.3731495E9</v>
      </c>
      <c r="H63" s="26" t="n">
        <f>53523000</f>
        <v>5.3523E7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12.0</v>
      </c>
      <c r="F77" s="22" t="n">
        <f>0</f>
        <v>0.0</v>
      </c>
      <c r="G77" s="21" t="n">
        <v>4102000.0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2.0</v>
      </c>
      <c r="F78" s="22" t="n">
        <f>0</f>
        <v>0.0</v>
      </c>
      <c r="G78" s="21" t="n">
        <v>680000.0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14.0</v>
      </c>
      <c r="F79" s="26" t="n">
        <f>0</f>
        <v>0.0</v>
      </c>
      <c r="G79" s="25" t="n">
        <v>4782000.0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80.0</v>
      </c>
      <c r="F92" s="18" t="n">
        <f>0</f>
        <v>0.0</v>
      </c>
      <c r="G92" s="17" t="n">
        <v>1.270503E8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1.0</v>
      </c>
      <c r="F93" s="22" t="n">
        <f>0</f>
        <v>0.0</v>
      </c>
      <c r="G93" s="21" t="n">
        <v>1589200.0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1590800.0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82.0</v>
      </c>
      <c r="F95" s="26" t="n">
        <f>0</f>
        <v>0.0</v>
      </c>
      <c r="G95" s="25" t="n">
        <v>1.302303E8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42.0</v>
      </c>
      <c r="F96" s="18" t="n">
        <f>0</f>
        <v>0.0</v>
      </c>
      <c r="G96" s="17" t="n">
        <v>9.93508E7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42.0</v>
      </c>
      <c r="F99" s="26" t="n">
        <f>0</f>
        <v>0.0</v>
      </c>
      <c r="G99" s="25" t="n">
        <v>9.93508E7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70.0</v>
      </c>
      <c r="F100" s="18" t="n">
        <f>0</f>
        <v>0.0</v>
      </c>
      <c r="G100" s="17" t="n">
        <v>1.29852E8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70.0</v>
      </c>
      <c r="F103" s="26" t="n">
        <f>0</f>
        <v>0.0</v>
      </c>
      <c r="G103" s="25" t="n">
        <v>1.29852E8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6954.0</v>
      </c>
      <c r="F108" s="18" t="n">
        <f>10</f>
        <v>10.0</v>
      </c>
      <c r="G108" s="17" t="n">
        <v>8.804792E11</v>
      </c>
      <c r="H108" s="18" t="n">
        <f>1266010000</f>
        <v>1.26601E9</v>
      </c>
    </row>
    <row r="109" spans="1:8" ht="24.9" customHeight="1">
      <c r="A109" s="51"/>
      <c r="B109" s="57"/>
      <c r="C109" s="39"/>
      <c r="D109" s="20" t="s">
        <v>16</v>
      </c>
      <c r="E109" s="21" t="n">
        <v>9127.0</v>
      </c>
      <c r="F109" s="22" t="n">
        <f>719</f>
        <v>719.0</v>
      </c>
      <c r="G109" s="21" t="n">
        <v>1.15461107E12</v>
      </c>
      <c r="H109" s="22" t="n">
        <f>90924390000</f>
        <v>9.092439E10</v>
      </c>
    </row>
    <row r="110" spans="1:8" ht="24.9" customHeight="1">
      <c r="A110" s="51"/>
      <c r="B110" s="57"/>
      <c r="C110" s="39"/>
      <c r="D110" s="20" t="s">
        <v>17</v>
      </c>
      <c r="E110" s="21" t="n">
        <v>18382.0</v>
      </c>
      <c r="F110" s="22" t="n">
        <f>2157</f>
        <v>2157.0</v>
      </c>
      <c r="G110" s="21" t="n">
        <v>2.322302675E12</v>
      </c>
      <c r="H110" s="22" t="n">
        <f>272701105000</f>
        <v>2.72701105E11</v>
      </c>
    </row>
    <row r="111" spans="1:8" ht="24.9" customHeight="1">
      <c r="A111" s="51"/>
      <c r="B111" s="57"/>
      <c r="C111" s="39"/>
      <c r="D111" s="24" t="s">
        <v>18</v>
      </c>
      <c r="E111" s="25" t="n">
        <v>34463.0</v>
      </c>
      <c r="F111" s="26" t="n">
        <f>2886</f>
        <v>2886.0</v>
      </c>
      <c r="G111" s="25" t="n">
        <v>4.357392945E12</v>
      </c>
      <c r="H111" s="26" t="n">
        <f>364891505000</f>
        <v>3.64891505E11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1.0</v>
      </c>
      <c r="F112" s="18" t="n">
        <f>0</f>
        <v>0.0</v>
      </c>
      <c r="G112" s="17" t="n">
        <v>1.2635E7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571.0</v>
      </c>
      <c r="F113" s="22" t="n">
        <f>0</f>
        <v>0.0</v>
      </c>
      <c r="G113" s="21" t="n">
        <v>7.224672E9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513.0</v>
      </c>
      <c r="F114" s="22" t="n">
        <f>0</f>
        <v>0.0</v>
      </c>
      <c r="G114" s="21" t="n">
        <v>6.486974E9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1085.0</v>
      </c>
      <c r="F115" s="26" t="n">
        <f>0</f>
        <v>0.0</v>
      </c>
      <c r="G115" s="25" t="n">
        <v>1.3724281E10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80.0</v>
      </c>
      <c r="F118" s="22" t="n">
        <f>0</f>
        <v>0.0</v>
      </c>
      <c r="G118" s="21" t="n">
        <v>7.1816E8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80.0</v>
      </c>
      <c r="F119" s="26" t="n">
        <f>0</f>
        <v>0.0</v>
      </c>
      <c r="G119" s="25" t="n">
        <v>7.1816E8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319.0</v>
      </c>
      <c r="F120" s="18" t="n">
        <f>0</f>
        <v>0.0</v>
      </c>
      <c r="G120" s="17" t="n">
        <v>7.85337125E9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3145.0</v>
      </c>
      <c r="F121" s="22" t="n">
        <f>0</f>
        <v>0.0</v>
      </c>
      <c r="G121" s="21" t="n">
        <v>7.728731875E10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165.0</v>
      </c>
      <c r="F122" s="22" t="n">
        <f>0</f>
        <v>0.0</v>
      </c>
      <c r="G122" s="21" t="n">
        <v>4.07433E9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3629.0</v>
      </c>
      <c r="F123" s="26" t="n">
        <f>0</f>
        <v>0.0</v>
      </c>
      <c r="G123" s="25" t="n">
        <v>8.921502E10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8777.0</v>
      </c>
      <c r="F124" s="18" t="n">
        <f>0</f>
        <v>0.0</v>
      </c>
      <c r="G124" s="17" t="n">
        <v>2.14077333E11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4748.0</v>
      </c>
      <c r="F125" s="22" t="n">
        <f>0</f>
        <v>0.0</v>
      </c>
      <c r="G125" s="21" t="n">
        <v>1.16485248E11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4814.0</v>
      </c>
      <c r="F126" s="22" t="n">
        <f>7</f>
        <v>7.0</v>
      </c>
      <c r="G126" s="21" t="n">
        <v>1.17242375E11</v>
      </c>
      <c r="H126" s="22" t="n">
        <f>166250000</f>
        <v>1.6625E8</v>
      </c>
    </row>
    <row r="127" spans="1:8" ht="24.9" customHeight="1">
      <c r="A127" s="51"/>
      <c r="B127" s="57"/>
      <c r="C127" s="39"/>
      <c r="D127" s="24" t="s">
        <v>18</v>
      </c>
      <c r="E127" s="25" t="n">
        <v>18339.0</v>
      </c>
      <c r="F127" s="26" t="n">
        <f>7</f>
        <v>7.0</v>
      </c>
      <c r="G127" s="25" t="n">
        <v>4.47804956E11</v>
      </c>
      <c r="H127" s="26" t="n">
        <f>166250000</f>
        <v>1.6625E8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242.0</v>
      </c>
      <c r="F128" s="18" t="n">
        <f>0</f>
        <v>0.0</v>
      </c>
      <c r="G128" s="17" t="n">
        <v>5.850325E8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481.0</v>
      </c>
      <c r="F129" s="22" t="n">
        <f>0</f>
        <v>0.0</v>
      </c>
      <c r="G129" s="21" t="n">
        <v>1.1721752E9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474.0</v>
      </c>
      <c r="F130" s="22" t="n">
        <f>0</f>
        <v>0.0</v>
      </c>
      <c r="G130" s="21" t="n">
        <v>1.1460374E9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1197.0</v>
      </c>
      <c r="F131" s="26" t="n">
        <f>0</f>
        <v>0.0</v>
      </c>
      <c r="G131" s="25" t="n">
        <v>2.9032451E9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9673.0</v>
      </c>
      <c r="F132" s="18" t="n">
        <f>0</f>
        <v>0.0</v>
      </c>
      <c r="G132" s="17" t="n">
        <v>2.370211075E10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4517.0</v>
      </c>
      <c r="F133" s="22" t="n">
        <f>0</f>
        <v>0.0</v>
      </c>
      <c r="G133" s="21" t="n">
        <v>1.11259634E10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4894.0</v>
      </c>
      <c r="F134" s="22" t="n">
        <f>70</f>
        <v>70.0</v>
      </c>
      <c r="G134" s="21" t="n">
        <v>1.19674271E10</v>
      </c>
      <c r="H134" s="22" t="n">
        <f>166250000</f>
        <v>1.6625E8</v>
      </c>
    </row>
    <row r="135" spans="1:8" ht="24.9" customHeight="1">
      <c r="A135" s="51"/>
      <c r="B135" s="57"/>
      <c r="C135" s="39"/>
      <c r="D135" s="24" t="s">
        <v>18</v>
      </c>
      <c r="E135" s="25" t="n">
        <v>19084.0</v>
      </c>
      <c r="F135" s="26" t="n">
        <f>70</f>
        <v>70.0</v>
      </c>
      <c r="G135" s="25" t="n">
        <v>4.679550125E10</v>
      </c>
      <c r="H135" s="26" t="n">
        <f>166250000</f>
        <v>1.6625E8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105.0</v>
      </c>
      <c r="F136" s="18" t="n">
        <f>0</f>
        <v>0.0</v>
      </c>
      <c r="G136" s="17" t="n">
        <v>2.526555E8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50.0</v>
      </c>
      <c r="F137" s="22" t="n">
        <f>0</f>
        <v>0.0</v>
      </c>
      <c r="G137" s="21" t="n">
        <v>1.210165E8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20.0</v>
      </c>
      <c r="F138" s="22" t="n">
        <f>0</f>
        <v>0.0</v>
      </c>
      <c r="G138" s="21" t="n">
        <v>4.80213E7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175.0</v>
      </c>
      <c r="F139" s="26" t="n">
        <f>0</f>
        <v>0.0</v>
      </c>
      <c r="G139" s="25" t="n">
        <v>4.216933E8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1411.0</v>
      </c>
      <c r="F144" s="18" t="n">
        <f>0</f>
        <v>0.0</v>
      </c>
      <c r="G144" s="17" t="n">
        <v>6.748457E9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1870.0</v>
      </c>
      <c r="F145" s="22" t="n">
        <f>2</f>
        <v>2.0</v>
      </c>
      <c r="G145" s="21" t="n">
        <v>8.9429725E9</v>
      </c>
      <c r="H145" s="22" t="n">
        <f>9511000</f>
        <v>9511000.0</v>
      </c>
    </row>
    <row r="146" spans="1:8" ht="24.9" customHeight="1">
      <c r="A146" s="51"/>
      <c r="B146" s="57"/>
      <c r="C146" s="39"/>
      <c r="D146" s="20" t="s">
        <v>17</v>
      </c>
      <c r="E146" s="21" t="n">
        <v>1858.0</v>
      </c>
      <c r="F146" s="22" t="n">
        <f>0</f>
        <v>0.0</v>
      </c>
      <c r="G146" s="21" t="n">
        <v>8.7809365E9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5139.0</v>
      </c>
      <c r="F147" s="26" t="n">
        <f>2</f>
        <v>2.0</v>
      </c>
      <c r="G147" s="25" t="n">
        <v>2.4472366E10</v>
      </c>
      <c r="H147" s="26" t="n">
        <f>9511000</f>
        <v>9511000.0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22.0</v>
      </c>
      <c r="F148" s="18" t="n">
        <f>0</f>
        <v>0.0</v>
      </c>
      <c r="G148" s="17" t="n">
        <v>2.13216E7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67.0</v>
      </c>
      <c r="F149" s="22" t="n">
        <f>0</f>
        <v>0.0</v>
      </c>
      <c r="G149" s="21" t="n">
        <v>6.51236E7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144.0</v>
      </c>
      <c r="F150" s="22" t="n">
        <f>0</f>
        <v>0.0</v>
      </c>
      <c r="G150" s="21" t="n">
        <v>1.38557E8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233.0</v>
      </c>
      <c r="F151" s="26" t="n">
        <f>0</f>
        <v>0.0</v>
      </c>
      <c r="G151" s="25" t="n">
        <v>2.250022E8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564.0</v>
      </c>
      <c r="F152" s="18" t="n">
        <f>0</f>
        <v>0.0</v>
      </c>
      <c r="G152" s="17" t="n">
        <v>5.388112E8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362.0</v>
      </c>
      <c r="F153" s="22" t="n">
        <f>0</f>
        <v>0.0</v>
      </c>
      <c r="G153" s="21" t="n">
        <v>3.4567015E8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462.0</v>
      </c>
      <c r="F154" s="22" t="n">
        <f>0</f>
        <v>0.0</v>
      </c>
      <c r="G154" s="21" t="n">
        <v>4.3549355E8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1388.0</v>
      </c>
      <c r="F155" s="26" t="n">
        <f>0</f>
        <v>0.0</v>
      </c>
      <c r="G155" s="25" t="n">
        <v>1.3199749E9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116.0</v>
      </c>
      <c r="F156" s="18" t="n">
        <f>0</f>
        <v>0.0</v>
      </c>
      <c r="G156" s="17" t="n">
        <v>1.101629E8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121.0</v>
      </c>
      <c r="F157" s="22" t="n">
        <f>0</f>
        <v>0.0</v>
      </c>
      <c r="G157" s="21" t="n">
        <v>1.150306E8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642.0</v>
      </c>
      <c r="F158" s="22" t="n">
        <f>0</f>
        <v>0.0</v>
      </c>
      <c r="G158" s="21" t="n">
        <v>6.023963E8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879.0</v>
      </c>
      <c r="F159" s="26" t="n">
        <f>0</f>
        <v>0.0</v>
      </c>
      <c r="G159" s="25" t="n">
        <v>8.275898E8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78.0</v>
      </c>
      <c r="F168" s="18" t="n">
        <f>0</f>
        <v>0.0</v>
      </c>
      <c r="G168" s="17" t="n">
        <v>1.70783E8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191.0</v>
      </c>
      <c r="F169" s="22" t="n">
        <f>0</f>
        <v>0.0</v>
      </c>
      <c r="G169" s="21" t="n">
        <v>4.235725E8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278.0</v>
      </c>
      <c r="F170" s="22" t="n">
        <f>0</f>
        <v>0.0</v>
      </c>
      <c r="G170" s="21" t="n">
        <v>6.15025E8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547.0</v>
      </c>
      <c r="F171" s="26" t="n">
        <f>0</f>
        <v>0.0</v>
      </c>
      <c r="G171" s="25" t="n">
        <v>1.2093805E9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7056000.0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12.0</v>
      </c>
      <c r="F178" s="22" t="n">
        <f>0</f>
        <v>0.0</v>
      </c>
      <c r="G178" s="21" t="n">
        <v>2.239E7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16.0</v>
      </c>
      <c r="F179" s="26" t="n">
        <f>0</f>
        <v>0.0</v>
      </c>
      <c r="G179" s="25" t="n">
        <v>2.9446E7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274.0</v>
      </c>
      <c r="F204" s="18" t="n">
        <f>0</f>
        <v>0.0</v>
      </c>
      <c r="G204" s="17" t="n">
        <v>1.07534E9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436.0</v>
      </c>
      <c r="F205" s="22" t="n">
        <f>0</f>
        <v>0.0</v>
      </c>
      <c r="G205" s="21" t="n">
        <v>1.7028545E9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1019.0</v>
      </c>
      <c r="F206" s="22" t="n">
        <f>0</f>
        <v>0.0</v>
      </c>
      <c r="G206" s="21" t="n">
        <v>3.9946225E9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1729.0</v>
      </c>
      <c r="F207" s="26" t="n">
        <f>0</f>
        <v>0.0</v>
      </c>
      <c r="G207" s="25" t="n">
        <v>6.772817E9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18.0</v>
      </c>
      <c r="F208" s="18" t="n">
        <f>18</f>
        <v>18.0</v>
      </c>
      <c r="G208" s="17" t="n">
        <v>2.97972E7</v>
      </c>
      <c r="H208" s="18" t="n">
        <f>29797200</f>
        <v>2.97972E7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3.0</v>
      </c>
      <c r="F210" s="22" t="n">
        <f>0</f>
        <v>0.0</v>
      </c>
      <c r="G210" s="21" t="n">
        <v>4860000.0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21.0</v>
      </c>
      <c r="F211" s="26" t="n">
        <f>18</f>
        <v>18.0</v>
      </c>
      <c r="G211" s="25" t="n">
        <v>3.46572E7</v>
      </c>
      <c r="H211" s="26" t="n">
        <f>29797200</f>
        <v>2.97972E7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55.0</v>
      </c>
      <c r="F278" s="22" t="n">
        <f>20</f>
        <v>20.0</v>
      </c>
      <c r="G278" s="21" t="n">
        <v>5.4709E7</v>
      </c>
      <c r="H278" s="22" t="n">
        <f>19894000</f>
        <v>1.9894E7</v>
      </c>
    </row>
    <row r="279" spans="1:8" ht="24.9" customHeight="1">
      <c r="A279" s="57"/>
      <c r="B279" s="59"/>
      <c r="C279" s="39"/>
      <c r="D279" s="24" t="s">
        <v>18</v>
      </c>
      <c r="E279" s="25" t="n">
        <v>55.0</v>
      </c>
      <c r="F279" s="26" t="n">
        <f>20</f>
        <v>20.0</v>
      </c>
      <c r="G279" s="25" t="n">
        <v>5.4709E7</v>
      </c>
      <c r="H279" s="26" t="n">
        <f>19894000</f>
        <v>1.9894E7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8.0</v>
      </c>
      <c r="F282" s="22" t="n">
        <f>0</f>
        <v>0.0</v>
      </c>
      <c r="G282" s="21" t="n">
        <v>8424000.0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8.0</v>
      </c>
      <c r="F283" s="26" t="n">
        <f>0</f>
        <v>0.0</v>
      </c>
      <c r="G283" s="25" t="n">
        <v>8424000.0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46259.0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46259.0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2293</f>
        <v>2293.0</v>
      </c>
      <c r="E12" s="35" t="n">
        <f>1407</f>
        <v>1407.0</v>
      </c>
      <c r="F12" s="17" t="n">
        <f>1892</f>
        <v>1892.0</v>
      </c>
      <c r="G12" s="35" t="n">
        <f>430</f>
        <v>430.0</v>
      </c>
      <c r="H12" s="17" t="n">
        <f>4185</f>
        <v>4185.0</v>
      </c>
      <c r="I12" s="35" t="n">
        <f>1837</f>
        <v>1837.0</v>
      </c>
      <c r="J12" s="17" t="n">
        <f>1387277670</f>
        <v>1.38727767E9</v>
      </c>
      <c r="K12" s="35" t="n">
        <f>980267670</f>
        <v>9.8026767E8</v>
      </c>
      <c r="L12" s="17" t="n">
        <f>824847990</f>
        <v>8.2484799E8</v>
      </c>
      <c r="M12" s="35" t="n">
        <f>453889990</f>
        <v>4.5388999E8</v>
      </c>
      <c r="N12" s="17" t="n">
        <f>2212125660</f>
        <v>2.21212566E9</v>
      </c>
      <c r="O12" s="35" t="n">
        <f>1434157660</f>
        <v>1.43415766E9</v>
      </c>
    </row>
    <row r="13" spans="1:15" ht="24.9" customHeight="1">
      <c r="A13" s="38"/>
      <c r="B13" s="62"/>
      <c r="C13" s="20" t="s">
        <v>16</v>
      </c>
      <c r="D13" s="21" t="n">
        <f>2185</f>
        <v>2185.0</v>
      </c>
      <c r="E13" s="36" t="n">
        <f>998</f>
        <v>998.0</v>
      </c>
      <c r="F13" s="21" t="n">
        <f>3091</f>
        <v>3091.0</v>
      </c>
      <c r="G13" s="36" t="n">
        <f>992</f>
        <v>992.0</v>
      </c>
      <c r="H13" s="21" t="n">
        <f>5276</f>
        <v>5276.0</v>
      </c>
      <c r="I13" s="36" t="n">
        <f>1990</f>
        <v>1990.0</v>
      </c>
      <c r="J13" s="21" t="n">
        <f>790858770</f>
        <v>7.9085877E8</v>
      </c>
      <c r="K13" s="36" t="n">
        <f>262024770</f>
        <v>2.6202477E8</v>
      </c>
      <c r="L13" s="21" t="n">
        <f>2206032000</f>
        <v>2.206032E9</v>
      </c>
      <c r="M13" s="36" t="n">
        <f>1867346000</f>
        <v>1.867346E9</v>
      </c>
      <c r="N13" s="21" t="n">
        <f>2996890770</f>
        <v>2.99689077E9</v>
      </c>
      <c r="O13" s="36" t="n">
        <f>2129370770</f>
        <v>2.12937077E9</v>
      </c>
    </row>
    <row r="14" spans="1:15" ht="24.9" customHeight="1">
      <c r="A14" s="38"/>
      <c r="B14" s="62"/>
      <c r="C14" s="20" t="s">
        <v>17</v>
      </c>
      <c r="D14" s="21" t="n">
        <f>12962</f>
        <v>12962.0</v>
      </c>
      <c r="E14" s="36" t="n">
        <f>8739</f>
        <v>8739.0</v>
      </c>
      <c r="F14" s="21" t="n">
        <f>5174</f>
        <v>5174.0</v>
      </c>
      <c r="G14" s="36" t="n">
        <f>2131</f>
        <v>2131.0</v>
      </c>
      <c r="H14" s="21" t="n">
        <f>18136</f>
        <v>18136.0</v>
      </c>
      <c r="I14" s="36" t="n">
        <f>10870</f>
        <v>10870.0</v>
      </c>
      <c r="J14" s="21" t="n">
        <f>9308580940</f>
        <v>9.30858094E9</v>
      </c>
      <c r="K14" s="36" t="n">
        <f>8163608940</f>
        <v>8.16360894E9</v>
      </c>
      <c r="L14" s="21" t="n">
        <f>2453132270</f>
        <v>2.45313227E9</v>
      </c>
      <c r="M14" s="36" t="n">
        <f>1674479270</f>
        <v>1.67447927E9</v>
      </c>
      <c r="N14" s="21" t="n">
        <f>11761713210</f>
        <v>1.176171321E10</v>
      </c>
      <c r="O14" s="36" t="n">
        <f>9838088210</f>
        <v>9.83808821E9</v>
      </c>
    </row>
    <row r="15" spans="1:15" ht="24.9" customHeight="1">
      <c r="A15" s="38"/>
      <c r="B15" s="62"/>
      <c r="C15" s="24" t="s">
        <v>18</v>
      </c>
      <c r="D15" s="25" t="n">
        <f>17440</f>
        <v>17440.0</v>
      </c>
      <c r="E15" s="37" t="n">
        <f>11144</f>
        <v>11144.0</v>
      </c>
      <c r="F15" s="25" t="n">
        <f>10157</f>
        <v>10157.0</v>
      </c>
      <c r="G15" s="37" t="n">
        <f>3553</f>
        <v>3553.0</v>
      </c>
      <c r="H15" s="25" t="n">
        <f>27597</f>
        <v>27597.0</v>
      </c>
      <c r="I15" s="37" t="n">
        <f>14697</f>
        <v>14697.0</v>
      </c>
      <c r="J15" s="25" t="n">
        <f>11486717380</f>
        <v>1.148671738E10</v>
      </c>
      <c r="K15" s="37" t="n">
        <f>9405901380</f>
        <v>9.40590138E9</v>
      </c>
      <c r="L15" s="25" t="n">
        <f>5484012260</f>
        <v>5.48401226E9</v>
      </c>
      <c r="M15" s="37" t="n">
        <f>3995715260</f>
        <v>3.99571526E9</v>
      </c>
      <c r="N15" s="25" t="n">
        <f>16970729640</f>
        <v>1.697072964E10</v>
      </c>
      <c r="O15" s="37" t="n">
        <f>13401616640</f>
        <v>1.340161664E10</v>
      </c>
    </row>
    <row r="16" spans="1:15" ht="24.9" customHeight="1">
      <c r="A16" s="38"/>
      <c r="B16" s="61" t="s">
        <v>105</v>
      </c>
      <c r="C16" s="16" t="s">
        <v>15</v>
      </c>
      <c r="D16" s="17" t="n">
        <f>6280</f>
        <v>6280.0</v>
      </c>
      <c r="E16" s="35" t="n">
        <f>460</f>
        <v>460.0</v>
      </c>
      <c r="F16" s="17" t="n">
        <f>5967</f>
        <v>5967.0</v>
      </c>
      <c r="G16" s="35" t="n">
        <f>170</f>
        <v>170.0</v>
      </c>
      <c r="H16" s="17" t="n">
        <f>12247</f>
        <v>12247.0</v>
      </c>
      <c r="I16" s="35" t="n">
        <f>630</f>
        <v>630.0</v>
      </c>
      <c r="J16" s="17" t="n">
        <f>266582260</f>
        <v>2.6658226E8</v>
      </c>
      <c r="K16" s="35" t="n">
        <f>7791960</f>
        <v>7791960.0</v>
      </c>
      <c r="L16" s="17" t="n">
        <f>344264350</f>
        <v>3.4426435E8</v>
      </c>
      <c r="M16" s="35" t="n">
        <f>585550</f>
        <v>585550.0</v>
      </c>
      <c r="N16" s="17" t="n">
        <f>610846610</f>
        <v>6.1084661E8</v>
      </c>
      <c r="O16" s="35" t="n">
        <f>8377510</f>
        <v>8377510.0</v>
      </c>
    </row>
    <row r="17" spans="1:15" ht="24.9" customHeight="1">
      <c r="A17" s="38"/>
      <c r="B17" s="62"/>
      <c r="C17" s="20" t="s">
        <v>16</v>
      </c>
      <c r="D17" s="21" t="n">
        <f>6545</f>
        <v>6545.0</v>
      </c>
      <c r="E17" s="36" t="n">
        <f>330</f>
        <v>330.0</v>
      </c>
      <c r="F17" s="21" t="n">
        <f>6310</f>
        <v>6310.0</v>
      </c>
      <c r="G17" s="36" t="n">
        <f>380</f>
        <v>380.0</v>
      </c>
      <c r="H17" s="21" t="n">
        <f>12855</f>
        <v>12855.0</v>
      </c>
      <c r="I17" s="36" t="n">
        <f>710</f>
        <v>710.0</v>
      </c>
      <c r="J17" s="21" t="n">
        <f>214295530</f>
        <v>2.1429553E8</v>
      </c>
      <c r="K17" s="36" t="n">
        <f>4166630</f>
        <v>4166630.0</v>
      </c>
      <c r="L17" s="21" t="n">
        <f>137748030</f>
        <v>1.3774803E8</v>
      </c>
      <c r="M17" s="36" t="n">
        <f>4072730</f>
        <v>4072730.0</v>
      </c>
      <c r="N17" s="21" t="n">
        <f>352043560</f>
        <v>3.5204356E8</v>
      </c>
      <c r="O17" s="36" t="n">
        <f>8239360</f>
        <v>8239360.0</v>
      </c>
    </row>
    <row r="18" spans="1:15" ht="24.9" customHeight="1">
      <c r="A18" s="38"/>
      <c r="B18" s="62"/>
      <c r="C18" s="20" t="s">
        <v>17</v>
      </c>
      <c r="D18" s="21" t="n">
        <f>10198</f>
        <v>10198.0</v>
      </c>
      <c r="E18" s="36" t="n">
        <f>1100</f>
        <v>1100.0</v>
      </c>
      <c r="F18" s="21" t="n">
        <f>7285</f>
        <v>7285.0</v>
      </c>
      <c r="G18" s="36" t="n">
        <f>350</f>
        <v>350.0</v>
      </c>
      <c r="H18" s="21" t="n">
        <f>17483</f>
        <v>17483.0</v>
      </c>
      <c r="I18" s="36" t="n">
        <f>1450</f>
        <v>1450.0</v>
      </c>
      <c r="J18" s="21" t="n">
        <f>264760790</f>
        <v>2.6476079E8</v>
      </c>
      <c r="K18" s="36" t="n">
        <f>6099690</f>
        <v>6099690.0</v>
      </c>
      <c r="L18" s="21" t="n">
        <f>223178370</f>
        <v>2.2317837E8</v>
      </c>
      <c r="M18" s="36" t="n">
        <f>3800470</f>
        <v>3800470.0</v>
      </c>
      <c r="N18" s="21" t="n">
        <f>487939160</f>
        <v>4.8793916E8</v>
      </c>
      <c r="O18" s="36" t="n">
        <f>9900160</f>
        <v>9900160.0</v>
      </c>
    </row>
    <row r="19" spans="1:15" ht="24.9" customHeight="1">
      <c r="A19" s="38"/>
      <c r="B19" s="62"/>
      <c r="C19" s="24" t="s">
        <v>18</v>
      </c>
      <c r="D19" s="25" t="n">
        <f>23023</f>
        <v>23023.0</v>
      </c>
      <c r="E19" s="37" t="n">
        <f>1890</f>
        <v>1890.0</v>
      </c>
      <c r="F19" s="25" t="n">
        <f>19562</f>
        <v>19562.0</v>
      </c>
      <c r="G19" s="37" t="n">
        <f>900</f>
        <v>900.0</v>
      </c>
      <c r="H19" s="25" t="n">
        <f>42585</f>
        <v>42585.0</v>
      </c>
      <c r="I19" s="37" t="n">
        <f>2790</f>
        <v>2790.0</v>
      </c>
      <c r="J19" s="25" t="n">
        <f>745638580</f>
        <v>7.4563858E8</v>
      </c>
      <c r="K19" s="37" t="n">
        <f>18058280</f>
        <v>1.805828E7</v>
      </c>
      <c r="L19" s="25" t="n">
        <f>705190750</f>
        <v>7.0519075E8</v>
      </c>
      <c r="M19" s="37" t="n">
        <f>8458750</f>
        <v>8458750.0</v>
      </c>
      <c r="N19" s="25" t="n">
        <f>1450829330</f>
        <v>1.45082933E9</v>
      </c>
      <c r="O19" s="37" t="n">
        <f>26517030</f>
        <v>2.651703E7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5034</f>
        <v>5034.0</v>
      </c>
      <c r="E22" s="36" t="n">
        <f>5034</f>
        <v>5034.0</v>
      </c>
      <c r="F22" s="21" t="n">
        <f>200</f>
        <v>200.0</v>
      </c>
      <c r="G22" s="36" t="n">
        <f>200</f>
        <v>200.0</v>
      </c>
      <c r="H22" s="21" t="n">
        <f>5234</f>
        <v>5234.0</v>
      </c>
      <c r="I22" s="36" t="n">
        <f>5234</f>
        <v>5234.0</v>
      </c>
      <c r="J22" s="21" t="n">
        <f>4747273868</f>
        <v>4.747273868E9</v>
      </c>
      <c r="K22" s="36" t="n">
        <f>4747273868</f>
        <v>4.747273868E9</v>
      </c>
      <c r="L22" s="21" t="n">
        <f>26000000</f>
        <v>2.6E7</v>
      </c>
      <c r="M22" s="36" t="n">
        <f>26000000</f>
        <v>2.6E7</v>
      </c>
      <c r="N22" s="21" t="n">
        <f>4773273868</f>
        <v>4.773273868E9</v>
      </c>
      <c r="O22" s="36" t="n">
        <f>4773273868</f>
        <v>4.773273868E9</v>
      </c>
    </row>
    <row r="23" spans="1:15" ht="24.9" customHeight="1">
      <c r="A23" s="38"/>
      <c r="B23" s="62"/>
      <c r="C23" s="24" t="s">
        <v>18</v>
      </c>
      <c r="D23" s="25" t="n">
        <f>5034</f>
        <v>5034.0</v>
      </c>
      <c r="E23" s="37" t="n">
        <f>5034</f>
        <v>5034.0</v>
      </c>
      <c r="F23" s="25" t="n">
        <f>200</f>
        <v>200.0</v>
      </c>
      <c r="G23" s="37" t="n">
        <f>200</f>
        <v>200.0</v>
      </c>
      <c r="H23" s="25" t="n">
        <f>5234</f>
        <v>5234.0</v>
      </c>
      <c r="I23" s="37" t="n">
        <f>5234</f>
        <v>5234.0</v>
      </c>
      <c r="J23" s="25" t="n">
        <f>4747273868</f>
        <v>4.747273868E9</v>
      </c>
      <c r="K23" s="37" t="n">
        <f>4747273868</f>
        <v>4.747273868E9</v>
      </c>
      <c r="L23" s="25" t="n">
        <f>26000000</f>
        <v>2.6E7</v>
      </c>
      <c r="M23" s="37" t="n">
        <f>26000000</f>
        <v>2.6E7</v>
      </c>
      <c r="N23" s="25" t="n">
        <f>4773273868</f>
        <v>4.773273868E9</v>
      </c>
      <c r="O23" s="37" t="n">
        <f>4773273868</f>
        <v>4.773273868E9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45</f>
        <v>45.0</v>
      </c>
      <c r="G37" s="22" t="n">
        <f>0</f>
        <v>0.0</v>
      </c>
      <c r="H37" s="21" t="n">
        <f>45</f>
        <v>45.0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1250000</f>
        <v>1250000.0</v>
      </c>
      <c r="M37" s="22" t="n">
        <f>0</f>
        <v>0.0</v>
      </c>
      <c r="N37" s="21" t="n">
        <f>1250000</f>
        <v>1250000.0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10</f>
        <v>10.0</v>
      </c>
      <c r="E38" s="36" t="n">
        <f>0</f>
        <v>0.0</v>
      </c>
      <c r="F38" s="21" t="n">
        <f>198</f>
        <v>198.0</v>
      </c>
      <c r="G38" s="36" t="n">
        <f>0</f>
        <v>0.0</v>
      </c>
      <c r="H38" s="21" t="n">
        <f>208</f>
        <v>208.0</v>
      </c>
      <c r="I38" s="36" t="n">
        <f>0</f>
        <v>0.0</v>
      </c>
      <c r="J38" s="21" t="n">
        <f>4200000</f>
        <v>4200000.0</v>
      </c>
      <c r="K38" s="36" t="n">
        <f>0</f>
        <v>0.0</v>
      </c>
      <c r="L38" s="21" t="n">
        <f>14780000</f>
        <v>1.478E7</v>
      </c>
      <c r="M38" s="36" t="n">
        <f>0</f>
        <v>0.0</v>
      </c>
      <c r="N38" s="21" t="n">
        <f>18980000</f>
        <v>1.898E7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10</f>
        <v>10.0</v>
      </c>
      <c r="E39" s="37" t="n">
        <f>0</f>
        <v>0.0</v>
      </c>
      <c r="F39" s="25" t="n">
        <f>243</f>
        <v>243.0</v>
      </c>
      <c r="G39" s="37" t="n">
        <f>0</f>
        <v>0.0</v>
      </c>
      <c r="H39" s="25" t="n">
        <f>253</f>
        <v>253.0</v>
      </c>
      <c r="I39" s="37" t="n">
        <f>0</f>
        <v>0.0</v>
      </c>
      <c r="J39" s="25" t="n">
        <f>4200000</f>
        <v>4200000.0</v>
      </c>
      <c r="K39" s="37" t="n">
        <f>0</f>
        <v>0.0</v>
      </c>
      <c r="L39" s="25" t="n">
        <f>16030000</f>
        <v>1.603E7</v>
      </c>
      <c r="M39" s="37" t="n">
        <f>0</f>
        <v>0.0</v>
      </c>
      <c r="N39" s="25" t="n">
        <f>20230000</f>
        <v>2.023E7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5099</f>
        <v>5099.0</v>
      </c>
      <c r="E41" s="36" t="n">
        <f>0</f>
        <v>0.0</v>
      </c>
      <c r="F41" s="21" t="n">
        <f>1943</f>
        <v>1943.0</v>
      </c>
      <c r="G41" s="36" t="n">
        <f>0</f>
        <v>0.0</v>
      </c>
      <c r="H41" s="21" t="n">
        <f>7042</f>
        <v>7042.0</v>
      </c>
      <c r="I41" s="36" t="n">
        <f>0</f>
        <v>0.0</v>
      </c>
      <c r="J41" s="21" t="n">
        <f>3463499</f>
        <v>3463499.0</v>
      </c>
      <c r="K41" s="36" t="n">
        <f>0</f>
        <v>0.0</v>
      </c>
      <c r="L41" s="21" t="n">
        <f>22943970</f>
        <v>2.294397E7</v>
      </c>
      <c r="M41" s="36" t="n">
        <f>0</f>
        <v>0.0</v>
      </c>
      <c r="N41" s="21" t="n">
        <f>26407469</f>
        <v>2.6407469E7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348</f>
        <v>348.0</v>
      </c>
      <c r="E42" s="36" t="n">
        <f>0</f>
        <v>0.0</v>
      </c>
      <c r="F42" s="21" t="n">
        <f>824</f>
        <v>824.0</v>
      </c>
      <c r="G42" s="36" t="n">
        <f>550</f>
        <v>550.0</v>
      </c>
      <c r="H42" s="21" t="n">
        <f>1172</f>
        <v>1172.0</v>
      </c>
      <c r="I42" s="36" t="n">
        <f>550</f>
        <v>550.0</v>
      </c>
      <c r="J42" s="21" t="n">
        <f>43639620</f>
        <v>4.363962E7</v>
      </c>
      <c r="K42" s="36" t="n">
        <f>0</f>
        <v>0.0</v>
      </c>
      <c r="L42" s="21" t="n">
        <f>19406349</f>
        <v>1.9406349E7</v>
      </c>
      <c r="M42" s="36" t="n">
        <f>3795000</f>
        <v>3795000.0</v>
      </c>
      <c r="N42" s="21" t="n">
        <f>63045969</f>
        <v>6.3045969E7</v>
      </c>
      <c r="O42" s="36" t="n">
        <f>3795000</f>
        <v>3795000.0</v>
      </c>
    </row>
    <row r="43" spans="1:15" ht="24.9" customHeight="1">
      <c r="A43" s="38"/>
      <c r="B43" s="62"/>
      <c r="C43" s="24" t="s">
        <v>18</v>
      </c>
      <c r="D43" s="25" t="n">
        <f>5447</f>
        <v>5447.0</v>
      </c>
      <c r="E43" s="37" t="n">
        <f>0</f>
        <v>0.0</v>
      </c>
      <c r="F43" s="25" t="n">
        <f>2767</f>
        <v>2767.0</v>
      </c>
      <c r="G43" s="37" t="n">
        <f>550</f>
        <v>550.0</v>
      </c>
      <c r="H43" s="25" t="n">
        <f>8214</f>
        <v>8214.0</v>
      </c>
      <c r="I43" s="37" t="n">
        <f>550</f>
        <v>550.0</v>
      </c>
      <c r="J43" s="25" t="n">
        <f>47103119</f>
        <v>4.7103119E7</v>
      </c>
      <c r="K43" s="37" t="n">
        <f>0</f>
        <v>0.0</v>
      </c>
      <c r="L43" s="25" t="n">
        <f>42350319</f>
        <v>4.2350319E7</v>
      </c>
      <c r="M43" s="37" t="n">
        <f>3795000</f>
        <v>3795000.0</v>
      </c>
      <c r="N43" s="25" t="n">
        <f>89453438</f>
        <v>8.9453438E7</v>
      </c>
      <c r="O43" s="37" t="n">
        <f>3795000</f>
        <v>3795000.0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