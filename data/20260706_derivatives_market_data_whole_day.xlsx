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<sst xmlns="http://schemas.openxmlformats.org/spreadsheetml/2006/main" count="528" uniqueCount="129">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</sst>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DATE(2026,07,06)</f>
        <v>46209.0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DATE(2026,07,06)</f>
        <v>46209.0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249584.0</f>
        <v>249584.0</v>
      </c>
      <c r="E12" s="18" t="n">
        <f>11799.0</f>
        <v>11799.0</v>
      </c>
      <c r="F12" s="19" t="n">
        <f>1.0</f>
        <v>1.0</v>
      </c>
      <c r="G12" s="17" t="n">
        <f>1787584515796.0</f>
        <v>1.787584515796E12</v>
      </c>
      <c r="H12" s="18" t="n">
        <f>129142455596.0</f>
        <v>1.29142455596E11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585493.0</f>
        <v>585493.0</v>
      </c>
      <c r="E13" s="22" t="n">
        <f>26883.0</f>
        <v>26883.0</v>
      </c>
      <c r="F13" s="23" t="n">
        <f>1.0</f>
        <v>1.0</v>
      </c>
      <c r="G13" s="21" t="n">
        <f>5103886025285.0</f>
        <v>5.103886025285E12</v>
      </c>
      <c r="H13" s="22" t="n">
        <f>491121626060.0</f>
        <v>4.9112162606E11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486969.0</f>
        <v>486969.0</v>
      </c>
      <c r="E14" s="22" t="n">
        <f>25795.0</f>
        <v>25795.0</v>
      </c>
      <c r="F14" s="23" t="n">
        <f>1.0</f>
        <v>1.0</v>
      </c>
      <c r="G14" s="21" t="n">
        <f>5118006991278.0</f>
        <v>5.118006991278E12</v>
      </c>
      <c r="H14" s="22" t="n">
        <f>633100703253.0</f>
        <v>6.33100703253E11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1322046.0</f>
        <v>1322046.0</v>
      </c>
      <c r="E15" s="26" t="n">
        <f>64477.0</f>
        <v>64477.0</v>
      </c>
      <c r="F15" s="27" t="n">
        <f>1.0</f>
        <v>1.0</v>
      </c>
      <c r="G15" s="25" t="n">
        <f>12009477532359.0</f>
        <v>1.2009477532359E13</v>
      </c>
      <c r="H15" s="26" t="n">
        <f>1253364784909.0</f>
        <v>1.253364784909E12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7102.0</f>
        <v>7102.0</v>
      </c>
      <c r="E16" s="18" t="n">
        <f>257.0</f>
        <v>257.0</v>
      </c>
      <c r="F16" s="19" t="n">
        <f>0.028</f>
        <v>0.028</v>
      </c>
      <c r="G16" s="17" t="n">
        <f>645422627500.0</f>
        <v>6.454226275E11</v>
      </c>
      <c r="H16" s="18" t="n">
        <f>32695150000.0</f>
        <v>3.269515E10</v>
      </c>
      <c r="I16" s="19" t="n">
        <f>0.361</f>
        <v>0.361</v>
      </c>
    </row>
    <row r="17" spans="1:9" ht="24.9" customHeight="1">
      <c r="A17" s="41"/>
      <c r="B17" s="39"/>
      <c r="C17" s="20" t="s">
        <v>16</v>
      </c>
      <c r="D17" s="21" t="n">
        <f>12697.0</f>
        <v>12697.0</v>
      </c>
      <c r="E17" s="22" t="n">
        <f>883.0</f>
        <v>883.0</v>
      </c>
      <c r="F17" s="23" t="n">
        <f>0.022</f>
        <v>0.022</v>
      </c>
      <c r="G17" s="21" t="n">
        <f>1422872214375.0</f>
        <v>1.422872214375E12</v>
      </c>
      <c r="H17" s="22" t="n">
        <f>112259510000.0</f>
        <v>1.1225951E11</v>
      </c>
      <c r="I17" s="23" t="n">
        <f>0.279</f>
        <v>0.279</v>
      </c>
    </row>
    <row r="18" spans="1:9" ht="24.9" customHeight="1">
      <c r="A18" s="41"/>
      <c r="B18" s="39"/>
      <c r="C18" s="20" t="s">
        <v>17</v>
      </c>
      <c r="D18" s="21" t="n">
        <f>13017.0</f>
        <v>13017.0</v>
      </c>
      <c r="E18" s="22" t="n">
        <f>1262.0</f>
        <v>1262.0</v>
      </c>
      <c r="F18" s="23" t="n">
        <f>0.027</f>
        <v>0.027</v>
      </c>
      <c r="G18" s="21" t="n">
        <f>1616910064375.0</f>
        <v>1.616910064375E12</v>
      </c>
      <c r="H18" s="22" t="n">
        <f>160319375000.0</f>
        <v>1.60319375E11</v>
      </c>
      <c r="I18" s="23" t="n">
        <f>0.316</f>
        <v>0.316</v>
      </c>
    </row>
    <row r="19" spans="1:9" ht="24.9" customHeight="1">
      <c r="A19" s="41"/>
      <c r="B19" s="39"/>
      <c r="C19" s="24" t="s">
        <v>18</v>
      </c>
      <c r="D19" s="25" t="n">
        <f>32816.0</f>
        <v>32816.0</v>
      </c>
      <c r="E19" s="26" t="n">
        <f>2402.0</f>
        <v>2402.0</v>
      </c>
      <c r="F19" s="27" t="n">
        <f>0.025</f>
        <v>0.025</v>
      </c>
      <c r="G19" s="25" t="n">
        <f>3685204906250.0</f>
        <v>3.68520490625E12</v>
      </c>
      <c r="H19" s="26" t="n">
        <f>305274035000.0</f>
        <v>3.05274035E11</v>
      </c>
      <c r="I19" s="27" t="n">
        <f>0.307</f>
        <v>0.307</v>
      </c>
    </row>
    <row r="20" spans="1:9" ht="24.9" customHeight="1">
      <c r="A20" s="41"/>
      <c r="B20" s="39" t="s">
        <v>21</v>
      </c>
      <c r="C20" s="16" t="s">
        <v>15</v>
      </c>
      <c r="D20" s="17" t="n">
        <f>235256.0</f>
        <v>235256.0</v>
      </c>
      <c r="E20" s="18" t="n">
        <f>11533.0</f>
        <v>11533.0</v>
      </c>
      <c r="F20" s="19" t="n">
        <f>0.943</f>
        <v>0.943</v>
      </c>
      <c r="G20" s="17" t="n">
        <f>1068426758596.0</f>
        <v>1.068426758596E12</v>
      </c>
      <c r="H20" s="18" t="n">
        <f>96433913596.0</f>
        <v>9.6433913596E10</v>
      </c>
      <c r="I20" s="19" t="n">
        <f>0.598</f>
        <v>0.598</v>
      </c>
    </row>
    <row r="21" spans="1:9" ht="24.9" customHeight="1">
      <c r="A21" s="41"/>
      <c r="B21" s="39"/>
      <c r="C21" s="20" t="s">
        <v>16</v>
      </c>
      <c r="D21" s="21" t="n">
        <f>563587.0</f>
        <v>563587.0</v>
      </c>
      <c r="E21" s="22" t="n">
        <f>26000.0</f>
        <v>26000.0</v>
      </c>
      <c r="F21" s="23" t="n">
        <f>0.963</f>
        <v>0.963</v>
      </c>
      <c r="G21" s="21" t="n">
        <f>3565293652710.0</f>
        <v>3.56529365271E12</v>
      </c>
      <c r="H21" s="22" t="n">
        <f>378862116060.0</f>
        <v>3.7886211606E11</v>
      </c>
      <c r="I21" s="23" t="n">
        <f>0.699</f>
        <v>0.699</v>
      </c>
    </row>
    <row r="22" spans="1:9" ht="24.9" customHeight="1">
      <c r="A22" s="41"/>
      <c r="B22" s="39"/>
      <c r="C22" s="20" t="s">
        <v>17</v>
      </c>
      <c r="D22" s="21" t="n">
        <f>465751.0</f>
        <v>465751.0</v>
      </c>
      <c r="E22" s="22" t="n">
        <f>24421.0</f>
        <v>24421.0</v>
      </c>
      <c r="F22" s="23" t="n">
        <f>0.956</f>
        <v>0.956</v>
      </c>
      <c r="G22" s="21" t="n">
        <f>3445928337583.0</f>
        <v>3.445928337583E12</v>
      </c>
      <c r="H22" s="22" t="n">
        <f>472648030333.0</f>
        <v>4.72648030333E11</v>
      </c>
      <c r="I22" s="23" t="n">
        <f>0.673</f>
        <v>0.673</v>
      </c>
    </row>
    <row r="23" spans="1:9" ht="24.9" customHeight="1">
      <c r="A23" s="41"/>
      <c r="B23" s="39"/>
      <c r="C23" s="24" t="s">
        <v>18</v>
      </c>
      <c r="D23" s="25" t="n">
        <f>1264594.0</f>
        <v>1264594.0</v>
      </c>
      <c r="E23" s="26" t="n">
        <f>61954.0</f>
        <v>61954.0</v>
      </c>
      <c r="F23" s="27" t="n">
        <f>0.957</f>
        <v>0.957</v>
      </c>
      <c r="G23" s="25" t="n">
        <f>8079648748889.0</f>
        <v>8.079648748889E12</v>
      </c>
      <c r="H23" s="26" t="n">
        <f>947944059989.0</f>
        <v>9.47944059989E11</v>
      </c>
      <c r="I23" s="27" t="n">
        <f>0.673</f>
        <v>0.673</v>
      </c>
    </row>
    <row r="24" spans="1:9" ht="24.9" customHeight="1">
      <c r="A24" s="41"/>
      <c r="B24" s="39" t="s">
        <v>22</v>
      </c>
      <c r="C24" s="16" t="s">
        <v>15</v>
      </c>
      <c r="D24" s="17" t="n">
        <f>6974.0</f>
        <v>6974.0</v>
      </c>
      <c r="E24" s="18" t="n">
        <f>0.0</f>
        <v>0.0</v>
      </c>
      <c r="F24" s="19" t="n">
        <f>0.028</f>
        <v>0.028</v>
      </c>
      <c r="G24" s="17" t="n">
        <f>72887923200.0</f>
        <v>7.28879232E10</v>
      </c>
      <c r="H24" s="18" t="n">
        <f>0.0</f>
        <v>0.0</v>
      </c>
      <c r="I24" s="19" t="n">
        <f>0.041</f>
        <v>0.041</v>
      </c>
    </row>
    <row r="25" spans="1:9" ht="24.9" customHeight="1">
      <c r="A25" s="41"/>
      <c r="B25" s="39"/>
      <c r="C25" s="20" t="s">
        <v>16</v>
      </c>
      <c r="D25" s="21" t="n">
        <f>9108.0</f>
        <v>9108.0</v>
      </c>
      <c r="E25" s="22" t="n">
        <f>0.0</f>
        <v>0.0</v>
      </c>
      <c r="F25" s="23" t="n">
        <f>0.016</f>
        <v>0.016</v>
      </c>
      <c r="G25" s="21" t="n">
        <f>115372851700.0</f>
        <v>1.153728517E11</v>
      </c>
      <c r="H25" s="22" t="n">
        <f>0.0</f>
        <v>0.0</v>
      </c>
      <c r="I25" s="23" t="n">
        <f>0.023</f>
        <v>0.023</v>
      </c>
    </row>
    <row r="26" spans="1:9" ht="24.9" customHeight="1">
      <c r="A26" s="41"/>
      <c r="B26" s="39"/>
      <c r="C26" s="20" t="s">
        <v>17</v>
      </c>
      <c r="D26" s="21" t="n">
        <f>6974.0</f>
        <v>6974.0</v>
      </c>
      <c r="E26" s="22" t="n">
        <f>0.0</f>
        <v>0.0</v>
      </c>
      <c r="F26" s="23" t="n">
        <f>0.014</f>
        <v>0.014</v>
      </c>
      <c r="G26" s="21" t="n">
        <f>51167843900.0</f>
        <v>5.11678439E10</v>
      </c>
      <c r="H26" s="22" t="n">
        <f>0.0</f>
        <v>0.0</v>
      </c>
      <c r="I26" s="23" t="n">
        <f>0.01</f>
        <v>0.01</v>
      </c>
    </row>
    <row r="27" spans="1:9" ht="24.9" customHeight="1">
      <c r="A27" s="42"/>
      <c r="B27" s="39"/>
      <c r="C27" s="24" t="s">
        <v>18</v>
      </c>
      <c r="D27" s="25" t="n">
        <f>23056.0</f>
        <v>23056.0</v>
      </c>
      <c r="E27" s="26" t="n">
        <f>0.0</f>
        <v>0.0</v>
      </c>
      <c r="F27" s="27" t="n">
        <f>0.017</f>
        <v>0.017</v>
      </c>
      <c r="G27" s="25" t="n">
        <f>239428618800.0</f>
        <v>2.394286188E11</v>
      </c>
      <c r="H27" s="26" t="n">
        <f>0.0</f>
        <v>0.0</v>
      </c>
      <c r="I27" s="27" t="n">
        <f>0.02</f>
        <v>0.02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252.0</f>
        <v>252.0</v>
      </c>
      <c r="E28" s="18" t="n">
        <f>9.0</f>
        <v>9.0</v>
      </c>
      <c r="F28" s="19" t="n">
        <f>0.001</f>
        <v>0.001</v>
      </c>
      <c r="G28" s="17" t="n">
        <f>847206500.0</f>
        <v>8.472065E8</v>
      </c>
      <c r="H28" s="18" t="n">
        <f>13392000.0</f>
        <v>1.3392E7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101.0</f>
        <v>101.0</v>
      </c>
      <c r="E29" s="22" t="n">
        <f>0.0</f>
        <v>0.0</v>
      </c>
      <c r="F29" s="23" t="n">
        <f>0.0</f>
        <v>0.0</v>
      </c>
      <c r="G29" s="21" t="n">
        <f>347306500.0</f>
        <v>3.473065E8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1227.0</f>
        <v>1227.0</v>
      </c>
      <c r="E30" s="22" t="n">
        <f>112.0</f>
        <v>112.0</v>
      </c>
      <c r="F30" s="23" t="n">
        <f>0.003</f>
        <v>0.003</v>
      </c>
      <c r="G30" s="21" t="n">
        <f>4000745420.0</f>
        <v>4.00074542E9</v>
      </c>
      <c r="H30" s="22" t="n">
        <f>133297920.0</f>
        <v>1.3329792E8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1580.0</f>
        <v>1580.0</v>
      </c>
      <c r="E31" s="26" t="n">
        <f>121.0</f>
        <v>121.0</v>
      </c>
      <c r="F31" s="27" t="n">
        <f>0.001</f>
        <v>0.001</v>
      </c>
      <c r="G31" s="25" t="n">
        <f>5195258420.0</f>
        <v>5.19525842E9</v>
      </c>
      <c r="H31" s="26" t="n">
        <f>146689920.0</f>
        <v>1.4668992E8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46209.0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46209.0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15346</f>
        <v>15346.0</v>
      </c>
      <c r="E11" s="18" t="n">
        <f>5811</f>
        <v>5811.0</v>
      </c>
      <c r="F11" s="19" t="n">
        <f>1</f>
        <v>1.0</v>
      </c>
      <c r="G11" s="17" t="n">
        <f>19300194020</f>
        <v>1.930019402E10</v>
      </c>
      <c r="H11" s="18" t="n">
        <f>18200285920</f>
        <v>1.820028592E10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42931</f>
        <v>42931.0</v>
      </c>
      <c r="E12" s="22" t="n">
        <f>5609</f>
        <v>5609.0</v>
      </c>
      <c r="F12" s="23" t="n">
        <f>1</f>
        <v>1.0</v>
      </c>
      <c r="G12" s="21" t="n">
        <f>4977841694</f>
        <v>4.977841694E9</v>
      </c>
      <c r="H12" s="22" t="n">
        <f>2350128796</f>
        <v>2.350128796E9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42966</f>
        <v>42966.0</v>
      </c>
      <c r="E13" s="22" t="n">
        <f>17315</f>
        <v>17315.0</v>
      </c>
      <c r="F13" s="23" t="n">
        <f>1</f>
        <v>1.0</v>
      </c>
      <c r="G13" s="21" t="n">
        <f>26969798281</f>
        <v>2.6969798281E10</v>
      </c>
      <c r="H13" s="22" t="n">
        <f>24134544350</f>
        <v>2.413454435E10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101243</f>
        <v>101243.0</v>
      </c>
      <c r="E14" s="26" t="n">
        <f>28735</f>
        <v>28735.0</v>
      </c>
      <c r="F14" s="27" t="n">
        <f>1</f>
        <v>1.0</v>
      </c>
      <c r="G14" s="25" t="n">
        <f>51247833995</f>
        <v>5.1247833995E10</v>
      </c>
      <c r="H14" s="26" t="n">
        <f>44684959066</f>
        <v>4.4684959066E10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15</f>
        <v>15.0</v>
      </c>
      <c r="E15" s="18" t="n">
        <f>0</f>
        <v>0.0</v>
      </c>
      <c r="F15" s="19" t="n">
        <f>0.001</f>
        <v>0.001</v>
      </c>
      <c r="G15" s="17" t="n">
        <f>4050000</f>
        <v>4050000.0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15</f>
        <v>15.0</v>
      </c>
      <c r="E16" s="22" t="n">
        <f>0</f>
        <v>0.0</v>
      </c>
      <c r="F16" s="23" t="n">
        <f>0</f>
        <v>0.0</v>
      </c>
      <c r="G16" s="21" t="n">
        <f>1350000</f>
        <v>1350000.0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125</f>
        <v>125.0</v>
      </c>
      <c r="E17" s="22" t="n">
        <f>70</f>
        <v>70.0</v>
      </c>
      <c r="F17" s="23" t="n">
        <f>0.003</f>
        <v>0.003</v>
      </c>
      <c r="G17" s="21" t="n">
        <f>59720000</f>
        <v>5.972E7</v>
      </c>
      <c r="H17" s="22" t="n">
        <f>35700000</f>
        <v>3.57E7</v>
      </c>
      <c r="I17" s="23" t="n">
        <f>0.002</f>
        <v>0.002</v>
      </c>
    </row>
    <row r="18" spans="1:9" ht="24.9" customHeight="1">
      <c r="A18" s="41"/>
      <c r="B18" s="39"/>
      <c r="C18" s="24" t="s">
        <v>18</v>
      </c>
      <c r="D18" s="25" t="n">
        <f>155</f>
        <v>155.0</v>
      </c>
      <c r="E18" s="26" t="n">
        <f>70</f>
        <v>70.0</v>
      </c>
      <c r="F18" s="27" t="n">
        <f>0.002</f>
        <v>0.002</v>
      </c>
      <c r="G18" s="25" t="n">
        <f>65120000</f>
        <v>6.512E7</v>
      </c>
      <c r="H18" s="26" t="n">
        <f>35700000</f>
        <v>3.57E7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15331</f>
        <v>15331.0</v>
      </c>
      <c r="E19" s="18" t="n">
        <f>5811</f>
        <v>5811.0</v>
      </c>
      <c r="F19" s="19" t="n">
        <f>0.999</f>
        <v>0.999</v>
      </c>
      <c r="G19" s="17" t="n">
        <f>19296144020</f>
        <v>1.929614402E10</v>
      </c>
      <c r="H19" s="18" t="n">
        <f>18200285920</f>
        <v>1.820028592E10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22716</f>
        <v>22716.0</v>
      </c>
      <c r="E20" s="22" t="n">
        <f>4094</f>
        <v>4094.0</v>
      </c>
      <c r="F20" s="23" t="n">
        <f>0.529</f>
        <v>0.529</v>
      </c>
      <c r="G20" s="21" t="n">
        <f>4906766146</f>
        <v>4.906766146E9</v>
      </c>
      <c r="H20" s="22" t="n">
        <f>2348090546</f>
        <v>2.348090546E9</v>
      </c>
      <c r="I20" s="23" t="n">
        <f>0.986</f>
        <v>0.986</v>
      </c>
    </row>
    <row r="21" spans="1:9" ht="24.9" customHeight="1">
      <c r="A21" s="41"/>
      <c r="B21" s="39"/>
      <c r="C21" s="20" t="s">
        <v>17</v>
      </c>
      <c r="D21" s="21" t="n">
        <f>33336</f>
        <v>33336.0</v>
      </c>
      <c r="E21" s="22" t="n">
        <f>16620</f>
        <v>16620.0</v>
      </c>
      <c r="F21" s="23" t="n">
        <f>0.776</f>
        <v>0.776</v>
      </c>
      <c r="G21" s="21" t="n">
        <f>26881229800</f>
        <v>2.68812298E10</v>
      </c>
      <c r="H21" s="22" t="n">
        <f>24098000600</f>
        <v>2.40980006E10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71383</f>
        <v>71383.0</v>
      </c>
      <c r="E22" s="26" t="n">
        <f>26525</f>
        <v>26525.0</v>
      </c>
      <c r="F22" s="27" t="n">
        <f>0.705</f>
        <v>0.705</v>
      </c>
      <c r="G22" s="25" t="n">
        <f>51084139966</f>
        <v>5.1084139966E10</v>
      </c>
      <c r="H22" s="26" t="n">
        <f>44646377066</f>
        <v>4.4646377066E10</v>
      </c>
      <c r="I22" s="27" t="n">
        <f>0.997</f>
        <v>0.997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20200</f>
        <v>20200.0</v>
      </c>
      <c r="E24" s="22" t="n">
        <f>1515</f>
        <v>1515.0</v>
      </c>
      <c r="F24" s="23" t="n">
        <f>0.471</f>
        <v>0.471</v>
      </c>
      <c r="G24" s="21" t="n">
        <f>69725548</f>
        <v>6.9725548E7</v>
      </c>
      <c r="H24" s="22" t="n">
        <f>2038250</f>
        <v>2038250.0</v>
      </c>
      <c r="I24" s="23" t="n">
        <f>0.014</f>
        <v>0.014</v>
      </c>
    </row>
    <row r="25" spans="1:9" ht="24.9" customHeight="1">
      <c r="A25" s="41"/>
      <c r="B25" s="39"/>
      <c r="C25" s="20" t="s">
        <v>17</v>
      </c>
      <c r="D25" s="21" t="n">
        <f>9505</f>
        <v>9505.0</v>
      </c>
      <c r="E25" s="22" t="n">
        <f>625</f>
        <v>625.0</v>
      </c>
      <c r="F25" s="23" t="n">
        <f>0.221</f>
        <v>0.221</v>
      </c>
      <c r="G25" s="21" t="n">
        <f>28848481</f>
        <v>2.8848481E7</v>
      </c>
      <c r="H25" s="22" t="n">
        <f>843750</f>
        <v>843750.0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29705</f>
        <v>29705.0</v>
      </c>
      <c r="E26" s="26" t="n">
        <f>2140</f>
        <v>2140.0</v>
      </c>
      <c r="F26" s="27" t="n">
        <f>0.293</f>
        <v>0.293</v>
      </c>
      <c r="G26" s="25" t="n">
        <f>98574029</f>
        <v>9.8574029E7</v>
      </c>
      <c r="H26" s="26" t="n">
        <f>2882000</f>
        <v>2882000.0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46209.0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46209.0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3460.0</v>
      </c>
      <c r="F12" s="18" t="n">
        <f>266</f>
        <v>266.0</v>
      </c>
      <c r="G12" s="17" t="n">
        <v>2.413381713E11</v>
      </c>
      <c r="H12" s="18" t="n">
        <f>18539011300</f>
        <v>1.85390113E10</v>
      </c>
    </row>
    <row r="13" spans="1:8" ht="24.9" customHeight="1">
      <c r="A13" s="51"/>
      <c r="B13" s="57"/>
      <c r="C13" s="39"/>
      <c r="D13" s="20" t="s">
        <v>16</v>
      </c>
      <c r="E13" s="21" t="n">
        <v>12555.0</v>
      </c>
      <c r="F13" s="22" t="n">
        <f>893</f>
        <v>893.0</v>
      </c>
      <c r="G13" s="21" t="n">
        <v>8.774341407E11</v>
      </c>
      <c r="H13" s="22" t="n">
        <f>62500661700</f>
        <v>6.25006617E10</v>
      </c>
    </row>
    <row r="14" spans="1:8" ht="24.9" customHeight="1">
      <c r="A14" s="51"/>
      <c r="B14" s="57"/>
      <c r="C14" s="39"/>
      <c r="D14" s="20" t="s">
        <v>17</v>
      </c>
      <c r="E14" s="21" t="n">
        <v>15875.0</v>
      </c>
      <c r="F14" s="22" t="n">
        <f>3016</f>
        <v>3016.0</v>
      </c>
      <c r="G14" s="21" t="n">
        <v>1.103402652993E12</v>
      </c>
      <c r="H14" s="22" t="n">
        <f>209828362993</f>
        <v>2.09828362993E11</v>
      </c>
    </row>
    <row r="15" spans="1:8" ht="24.9" customHeight="1">
      <c r="A15" s="51"/>
      <c r="B15" s="57"/>
      <c r="C15" s="39"/>
      <c r="D15" s="24" t="s">
        <v>18</v>
      </c>
      <c r="E15" s="25" t="n">
        <v>31890.0</v>
      </c>
      <c r="F15" s="26" t="n">
        <f>4175</f>
        <v>4175.0</v>
      </c>
      <c r="G15" s="25" t="n">
        <v>2.222174964993E12</v>
      </c>
      <c r="H15" s="26" t="n">
        <f>290868035993</f>
        <v>2.90868035993E11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77858.0</v>
      </c>
      <c r="F16" s="18" t="n">
        <f>10981</f>
        <v>10981.0</v>
      </c>
      <c r="G16" s="17" t="n">
        <v>5.43049201096E11</v>
      </c>
      <c r="H16" s="18" t="n">
        <f>76588389096</f>
        <v>7.6588389096E10</v>
      </c>
    </row>
    <row r="17" spans="1:8" ht="24.9" customHeight="1">
      <c r="A17" s="51"/>
      <c r="B17" s="57"/>
      <c r="C17" s="39"/>
      <c r="D17" s="20" t="s">
        <v>16</v>
      </c>
      <c r="E17" s="21" t="n">
        <v>223840.0</v>
      </c>
      <c r="F17" s="22" t="n">
        <f>20080</f>
        <v>20080.0</v>
      </c>
      <c r="G17" s="21" t="n">
        <v>1.56403032297E12</v>
      </c>
      <c r="H17" s="22" t="n">
        <f>140270757770</f>
        <v>1.4027075777E11</v>
      </c>
    </row>
    <row r="18" spans="1:8" ht="24.9" customHeight="1">
      <c r="A18" s="51"/>
      <c r="B18" s="57"/>
      <c r="C18" s="39"/>
      <c r="D18" s="20" t="s">
        <v>17</v>
      </c>
      <c r="E18" s="21" t="n">
        <v>185985.0</v>
      </c>
      <c r="F18" s="22" t="n">
        <f>17769</f>
        <v>17769.0</v>
      </c>
      <c r="G18" s="21" t="n">
        <v>1.29110036944E12</v>
      </c>
      <c r="H18" s="22" t="n">
        <f>123286747440</f>
        <v>1.2328674744E11</v>
      </c>
    </row>
    <row r="19" spans="1:8" ht="24.9" customHeight="1">
      <c r="A19" s="51"/>
      <c r="B19" s="57"/>
      <c r="C19" s="39"/>
      <c r="D19" s="24" t="s">
        <v>18</v>
      </c>
      <c r="E19" s="25" t="n">
        <v>487683.0</v>
      </c>
      <c r="F19" s="26" t="n">
        <f>48830</f>
        <v>48830.0</v>
      </c>
      <c r="G19" s="25" t="n">
        <v>3.398179893506E12</v>
      </c>
      <c r="H19" s="26" t="n">
        <f>340145894306</f>
        <v>3.40145894306E11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147326.0</v>
      </c>
      <c r="F20" s="18" t="str">
        <f>"－"</f>
        <v>－</v>
      </c>
      <c r="G20" s="17" t="n">
        <v>1.0274691455E11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291690.0</v>
      </c>
      <c r="F21" s="22" t="str">
        <f>"－"</f>
        <v>－</v>
      </c>
      <c r="G21" s="21" t="n">
        <v>2.0375832825E11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233788.0</v>
      </c>
      <c r="F22" s="22" t="str">
        <f>"－"</f>
        <v>－</v>
      </c>
      <c r="G22" s="21" t="n">
        <v>1.6226188725E11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672804.0</v>
      </c>
      <c r="F23" s="26" t="str">
        <f>"－"</f>
        <v>－</v>
      </c>
      <c r="G23" s="25" t="n">
        <v>4.6876713005E11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4265.0</v>
      </c>
      <c r="F24" s="18" t="n">
        <f>8</f>
        <v>8.0</v>
      </c>
      <c r="G24" s="17" t="n">
        <v>1.73463551E11</v>
      </c>
      <c r="H24" s="18" t="n">
        <f>325466000</f>
        <v>3.25466E8</v>
      </c>
    </row>
    <row r="25" spans="1:8" ht="24.9" customHeight="1">
      <c r="A25" s="51"/>
      <c r="B25" s="57"/>
      <c r="C25" s="39"/>
      <c r="D25" s="20" t="s">
        <v>16</v>
      </c>
      <c r="E25" s="21" t="n">
        <v>21208.0</v>
      </c>
      <c r="F25" s="22" t="n">
        <f>4240</f>
        <v>4240.0</v>
      </c>
      <c r="G25" s="21" t="n">
        <v>8.675392425E11</v>
      </c>
      <c r="H25" s="22" t="n">
        <f>172997387500</f>
        <v>1.729973875E11</v>
      </c>
    </row>
    <row r="26" spans="1:8" ht="24.9" customHeight="1">
      <c r="A26" s="51"/>
      <c r="B26" s="57"/>
      <c r="C26" s="39"/>
      <c r="D26" s="20" t="s">
        <v>17</v>
      </c>
      <c r="E26" s="21" t="n">
        <v>20929.0</v>
      </c>
      <c r="F26" s="22" t="n">
        <f>3387</f>
        <v>3387.0</v>
      </c>
      <c r="G26" s="21" t="n">
        <v>8.571464841E11</v>
      </c>
      <c r="H26" s="22" t="n">
        <f>138689999100</f>
        <v>1.386899991E11</v>
      </c>
    </row>
    <row r="27" spans="1:8" ht="24.9" customHeight="1">
      <c r="A27" s="51"/>
      <c r="B27" s="57"/>
      <c r="C27" s="39"/>
      <c r="D27" s="24" t="s">
        <v>18</v>
      </c>
      <c r="E27" s="25" t="n">
        <v>46402.0</v>
      </c>
      <c r="F27" s="26" t="n">
        <f>7635</f>
        <v>7635.0</v>
      </c>
      <c r="G27" s="25" t="n">
        <v>1.8981492776E12</v>
      </c>
      <c r="H27" s="26" t="n">
        <f>312012852600</f>
        <v>3.120128526E11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1610.0</v>
      </c>
      <c r="F28" s="18" t="n">
        <f>227</f>
        <v>227.0</v>
      </c>
      <c r="G28" s="17" t="n">
        <v>6.54910405E9</v>
      </c>
      <c r="H28" s="18" t="n">
        <f>923582800</f>
        <v>9.235828E8</v>
      </c>
    </row>
    <row r="29" spans="1:8" ht="24.9" customHeight="1">
      <c r="A29" s="51"/>
      <c r="B29" s="57"/>
      <c r="C29" s="39"/>
      <c r="D29" s="20" t="s">
        <v>16</v>
      </c>
      <c r="E29" s="21" t="n">
        <v>11452.0</v>
      </c>
      <c r="F29" s="22" t="n">
        <f>744</f>
        <v>744.0</v>
      </c>
      <c r="G29" s="21" t="n">
        <v>4.68797526E10</v>
      </c>
      <c r="H29" s="22" t="n">
        <f>3048246100</f>
        <v>3.0482461E9</v>
      </c>
    </row>
    <row r="30" spans="1:8" ht="24.9" customHeight="1">
      <c r="A30" s="51"/>
      <c r="B30" s="57"/>
      <c r="C30" s="39"/>
      <c r="D30" s="20" t="s">
        <v>17</v>
      </c>
      <c r="E30" s="21" t="n">
        <v>6759.0</v>
      </c>
      <c r="F30" s="22" t="n">
        <f>185</f>
        <v>185.0</v>
      </c>
      <c r="G30" s="21" t="n">
        <v>2.76722801E10</v>
      </c>
      <c r="H30" s="22" t="n">
        <f>756976600</f>
        <v>7.569766E8</v>
      </c>
    </row>
    <row r="31" spans="1:8" ht="24.9" customHeight="1">
      <c r="A31" s="51"/>
      <c r="B31" s="57"/>
      <c r="C31" s="39"/>
      <c r="D31" s="24" t="s">
        <v>18</v>
      </c>
      <c r="E31" s="25" t="n">
        <v>19821.0</v>
      </c>
      <c r="F31" s="26" t="n">
        <f>1156</f>
        <v>1156.0</v>
      </c>
      <c r="G31" s="25" t="n">
        <v>8.110113675E10</v>
      </c>
      <c r="H31" s="26" t="n">
        <f>4728805500</f>
        <v>4.7288055E9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164.0</v>
      </c>
      <c r="F36" s="18" t="n">
        <f>2</f>
        <v>2.0</v>
      </c>
      <c r="G36" s="17" t="n">
        <v>6.0467E8</v>
      </c>
      <c r="H36" s="18" t="n">
        <f>7375500</f>
        <v>7375500.0</v>
      </c>
    </row>
    <row r="37" spans="1:8" ht="24.9" customHeight="1">
      <c r="A37" s="51"/>
      <c r="B37" s="57"/>
      <c r="C37" s="39"/>
      <c r="D37" s="20" t="s">
        <v>16</v>
      </c>
      <c r="E37" s="21" t="n">
        <v>1051.0</v>
      </c>
      <c r="F37" s="22" t="n">
        <f>3</f>
        <v>3.0</v>
      </c>
      <c r="G37" s="21" t="n">
        <v>3.90010449E9</v>
      </c>
      <c r="H37" s="22" t="n">
        <f>11141990</f>
        <v>1.114199E7</v>
      </c>
    </row>
    <row r="38" spans="1:8" ht="24.9" customHeight="1">
      <c r="A38" s="51"/>
      <c r="B38" s="57"/>
      <c r="C38" s="39"/>
      <c r="D38" s="20" t="s">
        <v>17</v>
      </c>
      <c r="E38" s="21" t="n">
        <v>738.0</v>
      </c>
      <c r="F38" s="22" t="n">
        <f>10</f>
        <v>10.0</v>
      </c>
      <c r="G38" s="21" t="n">
        <v>2.74032348E9</v>
      </c>
      <c r="H38" s="22" t="n">
        <f>37027980</f>
        <v>3.702798E7</v>
      </c>
    </row>
    <row r="39" spans="1:8" ht="24.9" customHeight="1">
      <c r="A39" s="51"/>
      <c r="B39" s="57"/>
      <c r="C39" s="39"/>
      <c r="D39" s="24" t="s">
        <v>18</v>
      </c>
      <c r="E39" s="25" t="n">
        <v>1953.0</v>
      </c>
      <c r="F39" s="26" t="n">
        <f>15</f>
        <v>15.0</v>
      </c>
      <c r="G39" s="25" t="n">
        <v>7.24509797E9</v>
      </c>
      <c r="H39" s="26" t="n">
        <f>55545470</f>
        <v>5.554547E7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5.0</v>
      </c>
      <c r="F48" s="18" t="n">
        <f>5</f>
        <v>5.0</v>
      </c>
      <c r="G48" s="17" t="n">
        <v>9025000.0</v>
      </c>
      <c r="H48" s="18" t="n">
        <f>9025000</f>
        <v>9025000.0</v>
      </c>
    </row>
    <row r="49" spans="1:8" ht="24.9" customHeight="1">
      <c r="A49" s="51"/>
      <c r="B49" s="57"/>
      <c r="C49" s="39"/>
      <c r="D49" s="20" t="s">
        <v>16</v>
      </c>
      <c r="E49" s="21" t="n">
        <v>314.0</v>
      </c>
      <c r="F49" s="22" t="n">
        <f>0</f>
        <v>0.0</v>
      </c>
      <c r="G49" s="21" t="n">
        <v>5.73711E8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76.0</v>
      </c>
      <c r="F50" s="22" t="n">
        <f>4</f>
        <v>4.0</v>
      </c>
      <c r="G50" s="21" t="n">
        <v>1.3915142E8</v>
      </c>
      <c r="H50" s="22" t="n">
        <f>7298920</f>
        <v>7298920.0</v>
      </c>
    </row>
    <row r="51" spans="1:8" ht="24.9" customHeight="1">
      <c r="A51" s="51"/>
      <c r="B51" s="57"/>
      <c r="C51" s="39"/>
      <c r="D51" s="24" t="s">
        <v>18</v>
      </c>
      <c r="E51" s="25" t="n">
        <v>395.0</v>
      </c>
      <c r="F51" s="26" t="n">
        <f>9</f>
        <v>9.0</v>
      </c>
      <c r="G51" s="25" t="n">
        <v>7.2188742E8</v>
      </c>
      <c r="H51" s="26" t="n">
        <f>16323920</f>
        <v>1.632392E7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462.0</v>
      </c>
      <c r="F56" s="18" t="n">
        <f>42</f>
        <v>42.0</v>
      </c>
      <c r="G56" s="17" t="n">
        <v>3.350909E8</v>
      </c>
      <c r="H56" s="18" t="n">
        <f>30439900</f>
        <v>3.04399E7</v>
      </c>
    </row>
    <row r="57" spans="1:8" ht="24.9" customHeight="1">
      <c r="A57" s="51"/>
      <c r="B57" s="57"/>
      <c r="C57" s="39"/>
      <c r="D57" s="20" t="s">
        <v>16</v>
      </c>
      <c r="E57" s="21" t="n">
        <v>1424.0</v>
      </c>
      <c r="F57" s="22" t="n">
        <f>39</f>
        <v>39.0</v>
      </c>
      <c r="G57" s="21" t="n">
        <v>1.048265E9</v>
      </c>
      <c r="H57" s="22" t="n">
        <f>28601000</f>
        <v>2.8601E7</v>
      </c>
    </row>
    <row r="58" spans="1:8" ht="24.9" customHeight="1">
      <c r="A58" s="51"/>
      <c r="B58" s="57"/>
      <c r="C58" s="39"/>
      <c r="D58" s="20" t="s">
        <v>17</v>
      </c>
      <c r="E58" s="21" t="n">
        <v>1419.0</v>
      </c>
      <c r="F58" s="22" t="n">
        <f>49</f>
        <v>49.0</v>
      </c>
      <c r="G58" s="21" t="n">
        <v>1.0447081E9</v>
      </c>
      <c r="H58" s="22" t="n">
        <f>36298100</f>
        <v>3.62981E7</v>
      </c>
    </row>
    <row r="59" spans="1:8" ht="24.9" customHeight="1">
      <c r="A59" s="51"/>
      <c r="B59" s="57"/>
      <c r="C59" s="39"/>
      <c r="D59" s="24" t="s">
        <v>18</v>
      </c>
      <c r="E59" s="25" t="n">
        <v>3305.0</v>
      </c>
      <c r="F59" s="26" t="n">
        <f>130</f>
        <v>130.0</v>
      </c>
      <c r="G59" s="25" t="n">
        <v>2.428064E9</v>
      </c>
      <c r="H59" s="26" t="n">
        <f>95339000</f>
        <v>9.5339E7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33.0</v>
      </c>
      <c r="F60" s="18" t="n">
        <f>2</f>
        <v>2.0</v>
      </c>
      <c r="G60" s="17" t="n">
        <v>1.753624E8</v>
      </c>
      <c r="H60" s="18" t="n">
        <f>10624000</f>
        <v>1.0624E7</v>
      </c>
    </row>
    <row r="61" spans="1:8" ht="24.9" customHeight="1">
      <c r="A61" s="51"/>
      <c r="B61" s="57"/>
      <c r="C61" s="39"/>
      <c r="D61" s="20" t="s">
        <v>16</v>
      </c>
      <c r="E61" s="21" t="n">
        <v>13.0</v>
      </c>
      <c r="F61" s="22" t="n">
        <f>1</f>
        <v>1.0</v>
      </c>
      <c r="G61" s="21" t="n">
        <v>6.92092E7</v>
      </c>
      <c r="H61" s="22" t="n">
        <f>5320000</f>
        <v>5320000.0</v>
      </c>
    </row>
    <row r="62" spans="1:8" ht="24.9" customHeight="1">
      <c r="A62" s="51"/>
      <c r="B62" s="57"/>
      <c r="C62" s="39"/>
      <c r="D62" s="20" t="s">
        <v>17</v>
      </c>
      <c r="E62" s="21" t="n">
        <v>10.0</v>
      </c>
      <c r="F62" s="22" t="n">
        <f>1</f>
        <v>1.0</v>
      </c>
      <c r="G62" s="21" t="n">
        <v>5.31698E7</v>
      </c>
      <c r="H62" s="22" t="n">
        <f>5319200</f>
        <v>5319200.0</v>
      </c>
    </row>
    <row r="63" spans="1:8" ht="24.9" customHeight="1">
      <c r="A63" s="51"/>
      <c r="B63" s="57"/>
      <c r="C63" s="39"/>
      <c r="D63" s="24" t="s">
        <v>18</v>
      </c>
      <c r="E63" s="25" t="n">
        <v>56.0</v>
      </c>
      <c r="F63" s="26" t="n">
        <f>4</f>
        <v>4.0</v>
      </c>
      <c r="G63" s="25" t="n">
        <v>2.977414E8</v>
      </c>
      <c r="H63" s="26" t="n">
        <f>21263200</f>
        <v>2.12632E7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1.0</v>
      </c>
      <c r="F76" s="18" t="n">
        <f>0</f>
        <v>0.0</v>
      </c>
      <c r="G76" s="17" t="n">
        <v>370000.0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13.0</v>
      </c>
      <c r="F77" s="22" t="n">
        <f>0</f>
        <v>0.0</v>
      </c>
      <c r="G77" s="21" t="n">
        <v>4831000.0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2.0</v>
      </c>
      <c r="F78" s="22" t="n">
        <f>0</f>
        <v>0.0</v>
      </c>
      <c r="G78" s="21" t="n">
        <v>739500.0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16.0</v>
      </c>
      <c r="F79" s="26" t="n">
        <f>0</f>
        <v>0.0</v>
      </c>
      <c r="G79" s="25" t="n">
        <v>5940500.0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20.0</v>
      </c>
      <c r="F92" s="18" t="n">
        <f>0</f>
        <v>0.0</v>
      </c>
      <c r="G92" s="17" t="n">
        <v>3.20813E7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11.0</v>
      </c>
      <c r="F93" s="22" t="n">
        <f>0</f>
        <v>0.0</v>
      </c>
      <c r="G93" s="21" t="n">
        <v>1.76898E7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50.0</v>
      </c>
      <c r="F94" s="22" t="n">
        <f>0</f>
        <v>0.0</v>
      </c>
      <c r="G94" s="21" t="n">
        <v>8.05594E7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81.0</v>
      </c>
      <c r="F95" s="26" t="n">
        <f>0</f>
        <v>0.0</v>
      </c>
      <c r="G95" s="25" t="n">
        <v>1.303305E8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52.0</v>
      </c>
      <c r="F96" s="18" t="n">
        <f>0</f>
        <v>0.0</v>
      </c>
      <c r="G96" s="17" t="n">
        <v>1.23217E8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16.0</v>
      </c>
      <c r="F97" s="22" t="n">
        <f>0</f>
        <v>0.0</v>
      </c>
      <c r="G97" s="21" t="n">
        <v>3.80552E7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120.0</v>
      </c>
      <c r="F98" s="22" t="n">
        <f>0</f>
        <v>0.0</v>
      </c>
      <c r="G98" s="21" t="n">
        <v>2.86012E8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188.0</v>
      </c>
      <c r="F99" s="26" t="n">
        <f>0</f>
        <v>0.0</v>
      </c>
      <c r="G99" s="25" t="n">
        <v>4.472842E8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4586.0</v>
      </c>
      <c r="F108" s="18" t="n">
        <f>257</f>
        <v>257.0</v>
      </c>
      <c r="G108" s="17" t="n">
        <v>5.8315104E11</v>
      </c>
      <c r="H108" s="18" t="n">
        <f>32695150000</f>
        <v>3.269515E10</v>
      </c>
    </row>
    <row r="109" spans="1:8" ht="24.9" customHeight="1">
      <c r="A109" s="51"/>
      <c r="B109" s="57"/>
      <c r="C109" s="39"/>
      <c r="D109" s="20" t="s">
        <v>16</v>
      </c>
      <c r="E109" s="21" t="n">
        <v>10831.0</v>
      </c>
      <c r="F109" s="22" t="n">
        <f>883</f>
        <v>883.0</v>
      </c>
      <c r="G109" s="21" t="n">
        <v>1.37681537E12</v>
      </c>
      <c r="H109" s="22" t="n">
        <f>112259510000</f>
        <v>1.1225951E11</v>
      </c>
    </row>
    <row r="110" spans="1:8" ht="24.9" customHeight="1">
      <c r="A110" s="51"/>
      <c r="B110" s="57"/>
      <c r="C110" s="39"/>
      <c r="D110" s="20" t="s">
        <v>17</v>
      </c>
      <c r="E110" s="21" t="n">
        <v>12678.0</v>
      </c>
      <c r="F110" s="22" t="n">
        <f>1262</f>
        <v>1262.0</v>
      </c>
      <c r="G110" s="21" t="n">
        <v>1.610120355E12</v>
      </c>
      <c r="H110" s="22" t="n">
        <f>160319375000</f>
        <v>1.60319375E11</v>
      </c>
    </row>
    <row r="111" spans="1:8" ht="24.9" customHeight="1">
      <c r="A111" s="51"/>
      <c r="B111" s="57"/>
      <c r="C111" s="39"/>
      <c r="D111" s="24" t="s">
        <v>18</v>
      </c>
      <c r="E111" s="25" t="n">
        <v>28095.0</v>
      </c>
      <c r="F111" s="26" t="n">
        <f>2402</f>
        <v>2402.0</v>
      </c>
      <c r="G111" s="25" t="n">
        <v>3.570086765E12</v>
      </c>
      <c r="H111" s="26" t="n">
        <f>305274035000</f>
        <v>3.05274035E11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1.0</v>
      </c>
      <c r="F113" s="22" t="n">
        <f>0</f>
        <v>0.0</v>
      </c>
      <c r="G113" s="21" t="n">
        <v>1.271E7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1.0</v>
      </c>
      <c r="F114" s="22" t="n">
        <f>0</f>
        <v>0.0</v>
      </c>
      <c r="G114" s="21" t="n">
        <v>1.27E7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2.0</v>
      </c>
      <c r="F115" s="26" t="n">
        <f>0</f>
        <v>0.0</v>
      </c>
      <c r="G115" s="25" t="n">
        <v>2.541E7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100.0</v>
      </c>
      <c r="F118" s="22" t="n">
        <f>0</f>
        <v>0.0</v>
      </c>
      <c r="G118" s="21" t="n">
        <v>8.965E8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100.0</v>
      </c>
      <c r="F119" s="26" t="n">
        <f>0</f>
        <v>0.0</v>
      </c>
      <c r="G119" s="25" t="n">
        <v>8.965E8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2516.0</v>
      </c>
      <c r="F120" s="18" t="n">
        <f>0</f>
        <v>0.0</v>
      </c>
      <c r="G120" s="17" t="n">
        <v>6.22715875E10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1865.0</v>
      </c>
      <c r="F121" s="22" t="n">
        <f>0</f>
        <v>0.0</v>
      </c>
      <c r="G121" s="21" t="n">
        <v>4.6044134375E10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238.0</v>
      </c>
      <c r="F122" s="22" t="n">
        <f>0</f>
        <v>0.0</v>
      </c>
      <c r="G122" s="21" t="n">
        <v>5.880509375E9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4619.0</v>
      </c>
      <c r="F123" s="26" t="n">
        <f>0</f>
        <v>0.0</v>
      </c>
      <c r="G123" s="25" t="n">
        <v>1.1419623125E11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2863.0</v>
      </c>
      <c r="F124" s="18" t="n">
        <f>0</f>
        <v>0.0</v>
      </c>
      <c r="G124" s="17" t="n">
        <v>6.3310812E10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4704.0</v>
      </c>
      <c r="F125" s="22" t="n">
        <f>0</f>
        <v>0.0</v>
      </c>
      <c r="G125" s="21" t="n">
        <v>1.04469718E11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1778.0</v>
      </c>
      <c r="F126" s="22" t="n">
        <f>0</f>
        <v>0.0</v>
      </c>
      <c r="G126" s="21" t="n">
        <v>3.9436655E10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9345.0</v>
      </c>
      <c r="F127" s="26" t="n">
        <f>0</f>
        <v>0.0</v>
      </c>
      <c r="G127" s="25" t="n">
        <v>2.07217185E11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15.0</v>
      </c>
      <c r="F128" s="18" t="n">
        <f>0</f>
        <v>0.0</v>
      </c>
      <c r="G128" s="17" t="n">
        <v>3.30335E7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49.0</v>
      </c>
      <c r="F129" s="22" t="n">
        <f>0</f>
        <v>0.0</v>
      </c>
      <c r="G129" s="21" t="n">
        <v>1.084807E8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26.0</v>
      </c>
      <c r="F130" s="22" t="n">
        <f>0</f>
        <v>0.0</v>
      </c>
      <c r="G130" s="21" t="n">
        <v>5.73044E7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90.0</v>
      </c>
      <c r="F131" s="26" t="n">
        <f>0</f>
        <v>0.0</v>
      </c>
      <c r="G131" s="25" t="n">
        <v>1.988186E8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2984.0</v>
      </c>
      <c r="F132" s="18" t="n">
        <f>0</f>
        <v>0.0</v>
      </c>
      <c r="G132" s="17" t="n">
        <v>6.6003251E9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2690.0</v>
      </c>
      <c r="F133" s="22" t="n">
        <f>0</f>
        <v>0.0</v>
      </c>
      <c r="G133" s="21" t="n">
        <v>5.9824596E9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2520.0</v>
      </c>
      <c r="F134" s="22" t="n">
        <f>0</f>
        <v>0.0</v>
      </c>
      <c r="G134" s="21" t="n">
        <v>5.5900105E9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8194.0</v>
      </c>
      <c r="F135" s="26" t="n">
        <f>0</f>
        <v>0.0</v>
      </c>
      <c r="G135" s="25" t="n">
        <v>1.81727952E10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48.0</v>
      </c>
      <c r="F136" s="18" t="n">
        <f>0</f>
        <v>0.0</v>
      </c>
      <c r="G136" s="17" t="n">
        <v>1.050985E8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64.0</v>
      </c>
      <c r="F137" s="22" t="n">
        <f>0</f>
        <v>0.0</v>
      </c>
      <c r="G137" s="21" t="n">
        <v>1.410943E8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47.0</v>
      </c>
      <c r="F138" s="22" t="n">
        <f>0</f>
        <v>0.0</v>
      </c>
      <c r="G138" s="21" t="n">
        <v>1.031794E8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159.0</v>
      </c>
      <c r="F139" s="26" t="n">
        <f>0</f>
        <v>0.0</v>
      </c>
      <c r="G139" s="25" t="n">
        <v>3.493722E8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1.0</v>
      </c>
      <c r="F141" s="22" t="n">
        <f>0</f>
        <v>0.0</v>
      </c>
      <c r="G141" s="21" t="n">
        <v>1.0197E7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2.0</v>
      </c>
      <c r="F142" s="22" t="n">
        <f>0</f>
        <v>0.0</v>
      </c>
      <c r="G142" s="21" t="n">
        <v>1.9884E7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3.0</v>
      </c>
      <c r="F143" s="26" t="n">
        <f>0</f>
        <v>0.0</v>
      </c>
      <c r="G143" s="25" t="n">
        <v>3.0081E7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547.0</v>
      </c>
      <c r="F144" s="18" t="n">
        <f>0</f>
        <v>0.0</v>
      </c>
      <c r="G144" s="17" t="n">
        <v>2.283991E9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883.0</v>
      </c>
      <c r="F145" s="22" t="n">
        <f>0</f>
        <v>0.0</v>
      </c>
      <c r="G145" s="21" t="n">
        <v>3.7039275E9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917.0</v>
      </c>
      <c r="F146" s="22" t="n">
        <f>0</f>
        <v>0.0</v>
      </c>
      <c r="G146" s="21" t="n">
        <v>3.8161915E9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2347.0</v>
      </c>
      <c r="F147" s="26" t="n">
        <f>0</f>
        <v>0.0</v>
      </c>
      <c r="G147" s="25" t="n">
        <v>9.80411E9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112.0</v>
      </c>
      <c r="F148" s="18" t="n">
        <f>0</f>
        <v>0.0</v>
      </c>
      <c r="G148" s="17" t="n">
        <v>9.55519E7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149.0</v>
      </c>
      <c r="F149" s="22" t="n">
        <f>0</f>
        <v>0.0</v>
      </c>
      <c r="G149" s="21" t="n">
        <v>1.281124E8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256.0</v>
      </c>
      <c r="F150" s="22" t="n">
        <f>0</f>
        <v>0.0</v>
      </c>
      <c r="G150" s="21" t="n">
        <v>2.17026E8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517.0</v>
      </c>
      <c r="F151" s="26" t="n">
        <f>0</f>
        <v>0.0</v>
      </c>
      <c r="G151" s="25" t="n">
        <v>4.406903E8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241.0</v>
      </c>
      <c r="F152" s="18" t="n">
        <f>0</f>
        <v>0.0</v>
      </c>
      <c r="G152" s="17" t="n">
        <v>2.003976E8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199.0</v>
      </c>
      <c r="F153" s="22" t="n">
        <f>0</f>
        <v>0.0</v>
      </c>
      <c r="G153" s="21" t="n">
        <v>1.664537E8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219.0</v>
      </c>
      <c r="F154" s="22" t="n">
        <f>0</f>
        <v>0.0</v>
      </c>
      <c r="G154" s="21" t="n">
        <v>1.814462E8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659.0</v>
      </c>
      <c r="F155" s="26" t="n">
        <f>0</f>
        <v>0.0</v>
      </c>
      <c r="G155" s="25" t="n">
        <v>5.482975E8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62.0</v>
      </c>
      <c r="F156" s="18" t="n">
        <f>0</f>
        <v>0.0</v>
      </c>
      <c r="G156" s="17" t="n">
        <v>5.23056E7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84.0</v>
      </c>
      <c r="F157" s="22" t="n">
        <f>0</f>
        <v>0.0</v>
      </c>
      <c r="G157" s="21" t="n">
        <v>7.1114E7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614.0</v>
      </c>
      <c r="F158" s="22" t="n">
        <f>0</f>
        <v>0.0</v>
      </c>
      <c r="G158" s="21" t="n">
        <v>5.109539E8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760.0</v>
      </c>
      <c r="F159" s="26" t="n">
        <f>0</f>
        <v>0.0</v>
      </c>
      <c r="G159" s="25" t="n">
        <v>6.343735E8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94.0</v>
      </c>
      <c r="F168" s="18" t="n">
        <f>0</f>
        <v>0.0</v>
      </c>
      <c r="G168" s="17" t="n">
        <v>1.92628E8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281.0</v>
      </c>
      <c r="F169" s="22" t="n">
        <f>0</f>
        <v>0.0</v>
      </c>
      <c r="G169" s="21" t="n">
        <v>5.845285E8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583.0</v>
      </c>
      <c r="F170" s="22" t="n">
        <f>0</f>
        <v>0.0</v>
      </c>
      <c r="G170" s="21" t="n">
        <v>1.214807E9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958.0</v>
      </c>
      <c r="F171" s="26" t="n">
        <f>0</f>
        <v>0.0</v>
      </c>
      <c r="G171" s="25" t="n">
        <v>1.9919635E9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8.0</v>
      </c>
      <c r="F176" s="18" t="n">
        <f>0</f>
        <v>0.0</v>
      </c>
      <c r="G176" s="17" t="n">
        <v>1.378E7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4.0</v>
      </c>
      <c r="F177" s="22" t="n">
        <f>0</f>
        <v>0.0</v>
      </c>
      <c r="G177" s="21" t="n">
        <v>6766000.0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12.0</v>
      </c>
      <c r="F178" s="22" t="n">
        <f>0</f>
        <v>0.0</v>
      </c>
      <c r="G178" s="21" t="n">
        <v>2.0386E7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24.0</v>
      </c>
      <c r="F179" s="26" t="n">
        <f>0</f>
        <v>0.0</v>
      </c>
      <c r="G179" s="25" t="n">
        <v>4.0932E7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243.0</v>
      </c>
      <c r="F204" s="18" t="n">
        <f>0</f>
        <v>0.0</v>
      </c>
      <c r="G204" s="17" t="n">
        <v>8.338145E8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101.0</v>
      </c>
      <c r="F205" s="22" t="n">
        <f>0</f>
        <v>0.0</v>
      </c>
      <c r="G205" s="21" t="n">
        <v>3.473065E8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1115.0</v>
      </c>
      <c r="F206" s="22" t="n">
        <f>0</f>
        <v>0.0</v>
      </c>
      <c r="G206" s="21" t="n">
        <v>3.8674475E9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1459.0</v>
      </c>
      <c r="F207" s="26" t="n">
        <f>0</f>
        <v>0.0</v>
      </c>
      <c r="G207" s="25" t="n">
        <v>5.0485685E9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9.0</v>
      </c>
      <c r="F208" s="18" t="n">
        <f>9</f>
        <v>9.0</v>
      </c>
      <c r="G208" s="17" t="n">
        <v>1.3392E7</v>
      </c>
      <c r="H208" s="18" t="n">
        <f>13392000</f>
        <v>1.3392E7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88.0</v>
      </c>
      <c r="F210" s="22" t="n">
        <f>88</f>
        <v>88.0</v>
      </c>
      <c r="G210" s="21" t="n">
        <v>1.086624E8</v>
      </c>
      <c r="H210" s="22" t="n">
        <f>108662400</f>
        <v>1.086624E8</v>
      </c>
    </row>
    <row r="211" spans="1:8" ht="24.9" customHeight="1">
      <c r="A211" s="57"/>
      <c r="B211" s="59"/>
      <c r="C211" s="39"/>
      <c r="D211" s="24" t="s">
        <v>18</v>
      </c>
      <c r="E211" s="25" t="n">
        <v>97.0</v>
      </c>
      <c r="F211" s="26" t="n">
        <f>97</f>
        <v>97.0</v>
      </c>
      <c r="G211" s="25" t="n">
        <v>1.220544E8</v>
      </c>
      <c r="H211" s="26" t="n">
        <f>122054400</f>
        <v>1.220544E8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24.0</v>
      </c>
      <c r="F214" s="22" t="n">
        <f>24</f>
        <v>24.0</v>
      </c>
      <c r="G214" s="21" t="n">
        <v>2.463552E7</v>
      </c>
      <c r="H214" s="22" t="n">
        <f>24635520</f>
        <v>2.463552E7</v>
      </c>
    </row>
    <row r="215" spans="1:8" ht="24.9" customHeight="1">
      <c r="A215" s="57"/>
      <c r="B215" s="59"/>
      <c r="C215" s="39"/>
      <c r="D215" s="24" t="s">
        <v>18</v>
      </c>
      <c r="E215" s="25" t="n">
        <v>24.0</v>
      </c>
      <c r="F215" s="26" t="n">
        <f>24</f>
        <v>24.0</v>
      </c>
      <c r="G215" s="25" t="n">
        <v>2.463552E7</v>
      </c>
      <c r="H215" s="26" t="n">
        <f>24635520</f>
        <v>2.463552E7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46209.0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46209.0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5905</f>
        <v>5905.0</v>
      </c>
      <c r="E12" s="35" t="n">
        <f>3955</f>
        <v>3955.0</v>
      </c>
      <c r="F12" s="17" t="n">
        <f>2581</f>
        <v>2581.0</v>
      </c>
      <c r="G12" s="35" t="n">
        <f>1429</f>
        <v>1429.0</v>
      </c>
      <c r="H12" s="17" t="n">
        <f>8486</f>
        <v>8486.0</v>
      </c>
      <c r="I12" s="35" t="n">
        <f>5384</f>
        <v>5384.0</v>
      </c>
      <c r="J12" s="17" t="n">
        <f>8052241880</f>
        <v>8.05224188E9</v>
      </c>
      <c r="K12" s="35" t="n">
        <f>7742726880</f>
        <v>7.74272688E9</v>
      </c>
      <c r="L12" s="17" t="n">
        <f>10819009500</f>
        <v>1.08190095E10</v>
      </c>
      <c r="M12" s="35" t="n">
        <f>10442006500</f>
        <v>1.04420065E10</v>
      </c>
      <c r="N12" s="17" t="n">
        <f>18871251380</f>
        <v>1.887125138E10</v>
      </c>
      <c r="O12" s="35" t="n">
        <f>18184733380</f>
        <v>1.818473338E10</v>
      </c>
    </row>
    <row r="13" spans="1:15" ht="24.9" customHeight="1">
      <c r="A13" s="38"/>
      <c r="B13" s="62"/>
      <c r="C13" s="20" t="s">
        <v>16</v>
      </c>
      <c r="D13" s="21" t="n">
        <f>5585</f>
        <v>5585.0</v>
      </c>
      <c r="E13" s="36" t="n">
        <f>928</f>
        <v>928.0</v>
      </c>
      <c r="F13" s="21" t="n">
        <f>5668</f>
        <v>5668.0</v>
      </c>
      <c r="G13" s="36" t="n">
        <f>2095</f>
        <v>2095.0</v>
      </c>
      <c r="H13" s="21" t="n">
        <f>11253</f>
        <v>11253.0</v>
      </c>
      <c r="I13" s="36" t="n">
        <f>3023</f>
        <v>3023.0</v>
      </c>
      <c r="J13" s="21" t="n">
        <f>1206954850</f>
        <v>1.20695485E9</v>
      </c>
      <c r="K13" s="36" t="n">
        <f>240964850</f>
        <v>2.4096485E8</v>
      </c>
      <c r="L13" s="21" t="n">
        <f>2970179230</f>
        <v>2.97017923E9</v>
      </c>
      <c r="M13" s="36" t="n">
        <f>1906327230</f>
        <v>1.90632723E9</v>
      </c>
      <c r="N13" s="21" t="n">
        <f>4177134080</f>
        <v>4.17713408E9</v>
      </c>
      <c r="O13" s="36" t="n">
        <f>2147292080</f>
        <v>2.14729208E9</v>
      </c>
    </row>
    <row r="14" spans="1:15" ht="24.9" customHeight="1">
      <c r="A14" s="38"/>
      <c r="B14" s="62"/>
      <c r="C14" s="20" t="s">
        <v>17</v>
      </c>
      <c r="D14" s="21" t="n">
        <f>17816</f>
        <v>17816.0</v>
      </c>
      <c r="E14" s="36" t="n">
        <f>12920</f>
        <v>12920.0</v>
      </c>
      <c r="F14" s="21" t="n">
        <f>5917</f>
        <v>5917.0</v>
      </c>
      <c r="G14" s="36" t="n">
        <f>2550</f>
        <v>2550.0</v>
      </c>
      <c r="H14" s="21" t="n">
        <f>23733</f>
        <v>23733.0</v>
      </c>
      <c r="I14" s="36" t="n">
        <f>15470</f>
        <v>15470.0</v>
      </c>
      <c r="J14" s="21" t="n">
        <f>20314288880</f>
        <v>2.031428888E10</v>
      </c>
      <c r="K14" s="36" t="n">
        <f>18825829880</f>
        <v>1.882582988E10</v>
      </c>
      <c r="L14" s="21" t="n">
        <f>5482123300</f>
        <v>5.4821233E9</v>
      </c>
      <c r="M14" s="36" t="n">
        <f>4630404300</f>
        <v>4.6304043E9</v>
      </c>
      <c r="N14" s="21" t="n">
        <f>25796412180</f>
        <v>2.579641218E10</v>
      </c>
      <c r="O14" s="36" t="n">
        <f>23456234180</f>
        <v>2.345623418E10</v>
      </c>
    </row>
    <row r="15" spans="1:15" ht="24.9" customHeight="1">
      <c r="A15" s="38"/>
      <c r="B15" s="62"/>
      <c r="C15" s="24" t="s">
        <v>18</v>
      </c>
      <c r="D15" s="25" t="n">
        <f>29306</f>
        <v>29306.0</v>
      </c>
      <c r="E15" s="37" t="n">
        <f>17803</f>
        <v>17803.0</v>
      </c>
      <c r="F15" s="25" t="n">
        <f>14166</f>
        <v>14166.0</v>
      </c>
      <c r="G15" s="37" t="n">
        <f>6074</f>
        <v>6074.0</v>
      </c>
      <c r="H15" s="25" t="n">
        <f>43472</f>
        <v>43472.0</v>
      </c>
      <c r="I15" s="37" t="n">
        <f>23877</f>
        <v>23877.0</v>
      </c>
      <c r="J15" s="25" t="n">
        <f>29573485610</f>
        <v>2.957348561E10</v>
      </c>
      <c r="K15" s="37" t="n">
        <f>26809521610</f>
        <v>2.680952161E10</v>
      </c>
      <c r="L15" s="25" t="n">
        <f>19271312030</f>
        <v>1.927131203E10</v>
      </c>
      <c r="M15" s="37" t="n">
        <f>16978738030</f>
        <v>1.697873803E10</v>
      </c>
      <c r="N15" s="25" t="n">
        <f>48844797640</f>
        <v>4.884479764E10</v>
      </c>
      <c r="O15" s="37" t="n">
        <f>43788259640</f>
        <v>4.378825964E10</v>
      </c>
    </row>
    <row r="16" spans="1:15" ht="24.9" customHeight="1">
      <c r="A16" s="38"/>
      <c r="B16" s="61" t="s">
        <v>105</v>
      </c>
      <c r="C16" s="16" t="s">
        <v>15</v>
      </c>
      <c r="D16" s="17" t="n">
        <f>4058</f>
        <v>4058.0</v>
      </c>
      <c r="E16" s="35" t="n">
        <f>320</f>
        <v>320.0</v>
      </c>
      <c r="F16" s="17" t="n">
        <f>2770</f>
        <v>2770.0</v>
      </c>
      <c r="G16" s="35" t="n">
        <f>90</f>
        <v>90.0</v>
      </c>
      <c r="H16" s="17" t="n">
        <f>6828</f>
        <v>6828.0</v>
      </c>
      <c r="I16" s="35" t="n">
        <f>410</f>
        <v>410.0</v>
      </c>
      <c r="J16" s="17" t="n">
        <f>155171170</f>
        <v>1.5517117E8</v>
      </c>
      <c r="K16" s="35" t="n">
        <f>4252170</f>
        <v>4252170.0</v>
      </c>
      <c r="L16" s="17" t="n">
        <f>260717650</f>
        <v>2.6071765E8</v>
      </c>
      <c r="M16" s="35" t="n">
        <f>2296550</f>
        <v>2296550.0</v>
      </c>
      <c r="N16" s="17" t="n">
        <f>415888820</f>
        <v>4.1588882E8</v>
      </c>
      <c r="O16" s="35" t="n">
        <f>6548720</f>
        <v>6548720.0</v>
      </c>
    </row>
    <row r="17" spans="1:15" ht="24.9" customHeight="1">
      <c r="A17" s="38"/>
      <c r="B17" s="62"/>
      <c r="C17" s="20" t="s">
        <v>16</v>
      </c>
      <c r="D17" s="21" t="n">
        <f>6643</f>
        <v>6643.0</v>
      </c>
      <c r="E17" s="36" t="n">
        <f>550</f>
        <v>550.0</v>
      </c>
      <c r="F17" s="21" t="n">
        <f>4289</f>
        <v>4289.0</v>
      </c>
      <c r="G17" s="36" t="n">
        <f>70</f>
        <v>70.0</v>
      </c>
      <c r="H17" s="21" t="n">
        <f>10932</f>
        <v>10932.0</v>
      </c>
      <c r="I17" s="36" t="n">
        <f>620</f>
        <v>620.0</v>
      </c>
      <c r="J17" s="21" t="n">
        <f>240646920</f>
        <v>2.4064692E8</v>
      </c>
      <c r="K17" s="36" t="n">
        <f>4725920</f>
        <v>4725920.0</v>
      </c>
      <c r="L17" s="21" t="n">
        <f>273502370</f>
        <v>2.7350237E8</v>
      </c>
      <c r="M17" s="36" t="n">
        <f>2564770</f>
        <v>2564770.0</v>
      </c>
      <c r="N17" s="21" t="n">
        <f>514149290</f>
        <v>5.1414929E8</v>
      </c>
      <c r="O17" s="36" t="n">
        <f>7290690</f>
        <v>7290690.0</v>
      </c>
    </row>
    <row r="18" spans="1:15" ht="24.9" customHeight="1">
      <c r="A18" s="38"/>
      <c r="B18" s="62"/>
      <c r="C18" s="20" t="s">
        <v>17</v>
      </c>
      <c r="D18" s="21" t="n">
        <f>4576</f>
        <v>4576.0</v>
      </c>
      <c r="E18" s="36" t="n">
        <f>170</f>
        <v>170.0</v>
      </c>
      <c r="F18" s="21" t="n">
        <f>3997</f>
        <v>3997.0</v>
      </c>
      <c r="G18" s="36" t="n">
        <f>30</f>
        <v>30.0</v>
      </c>
      <c r="H18" s="21" t="n">
        <f>8573</f>
        <v>8573.0</v>
      </c>
      <c r="I18" s="36" t="n">
        <f>200</f>
        <v>200.0</v>
      </c>
      <c r="J18" s="21" t="n">
        <f>159492460</f>
        <v>1.5949246E8</v>
      </c>
      <c r="K18" s="36" t="n">
        <f>2619660</f>
        <v>2619660.0</v>
      </c>
      <c r="L18" s="21" t="n">
        <f>213500160</f>
        <v>2.1350016E8</v>
      </c>
      <c r="M18" s="36" t="n">
        <f>446760</f>
        <v>446760.0</v>
      </c>
      <c r="N18" s="21" t="n">
        <f>372992620</f>
        <v>3.7299262E8</v>
      </c>
      <c r="O18" s="36" t="n">
        <f>3066420</f>
        <v>3066420.0</v>
      </c>
    </row>
    <row r="19" spans="1:15" ht="24.9" customHeight="1">
      <c r="A19" s="38"/>
      <c r="B19" s="62"/>
      <c r="C19" s="24" t="s">
        <v>18</v>
      </c>
      <c r="D19" s="25" t="n">
        <f>15277</f>
        <v>15277.0</v>
      </c>
      <c r="E19" s="37" t="n">
        <f>1040</f>
        <v>1040.0</v>
      </c>
      <c r="F19" s="25" t="n">
        <f>11056</f>
        <v>11056.0</v>
      </c>
      <c r="G19" s="37" t="n">
        <f>190</f>
        <v>190.0</v>
      </c>
      <c r="H19" s="25" t="n">
        <f>26333</f>
        <v>26333.0</v>
      </c>
      <c r="I19" s="37" t="n">
        <f>1230</f>
        <v>1230.0</v>
      </c>
      <c r="J19" s="25" t="n">
        <f>555310550</f>
        <v>5.5531055E8</v>
      </c>
      <c r="K19" s="37" t="n">
        <f>11597750</f>
        <v>1.159775E7</v>
      </c>
      <c r="L19" s="25" t="n">
        <f>747720180</f>
        <v>7.4772018E8</v>
      </c>
      <c r="M19" s="37" t="n">
        <f>5308080</f>
        <v>5308080.0</v>
      </c>
      <c r="N19" s="25" t="n">
        <f>1303030730</f>
        <v>1.30303073E9</v>
      </c>
      <c r="O19" s="37" t="n">
        <f>16905830</f>
        <v>1.690583E7</v>
      </c>
    </row>
    <row r="20" spans="1:15" ht="24.9" customHeight="1">
      <c r="A20" s="38"/>
      <c r="B20" s="61" t="s">
        <v>106</v>
      </c>
      <c r="C20" s="16" t="s">
        <v>15</v>
      </c>
      <c r="D20" s="17" t="n">
        <f>17</f>
        <v>17.0</v>
      </c>
      <c r="E20" s="35" t="n">
        <f>17</f>
        <v>17.0</v>
      </c>
      <c r="F20" s="17" t="n">
        <f>0</f>
        <v>0.0</v>
      </c>
      <c r="G20" s="35" t="n">
        <f>0</f>
        <v>0.0</v>
      </c>
      <c r="H20" s="17" t="n">
        <f>17</f>
        <v>17.0</v>
      </c>
      <c r="I20" s="35" t="n">
        <f>17</f>
        <v>17.0</v>
      </c>
      <c r="J20" s="17" t="n">
        <f>9003820</f>
        <v>9003820.0</v>
      </c>
      <c r="K20" s="35" t="n">
        <f>9003820</f>
        <v>9003820.0</v>
      </c>
      <c r="L20" s="17" t="n">
        <f>0</f>
        <v>0.0</v>
      </c>
      <c r="M20" s="35" t="n">
        <f>0</f>
        <v>0.0</v>
      </c>
      <c r="N20" s="17" t="n">
        <f>9003820</f>
        <v>9003820.0</v>
      </c>
      <c r="O20" s="35" t="n">
        <f>9003820</f>
        <v>9003820.0</v>
      </c>
    </row>
    <row r="21" spans="1:15" ht="24.9" customHeight="1">
      <c r="A21" s="38"/>
      <c r="B21" s="62"/>
      <c r="C21" s="20" t="s">
        <v>16</v>
      </c>
      <c r="D21" s="21" t="n">
        <f>255</f>
        <v>255.0</v>
      </c>
      <c r="E21" s="36" t="n">
        <f>220</f>
        <v>220.0</v>
      </c>
      <c r="F21" s="21" t="n">
        <f>276</f>
        <v>276.0</v>
      </c>
      <c r="G21" s="36" t="n">
        <f>231</f>
        <v>231.0</v>
      </c>
      <c r="H21" s="21" t="n">
        <f>531</f>
        <v>531.0</v>
      </c>
      <c r="I21" s="36" t="n">
        <f>451</f>
        <v>451.0</v>
      </c>
      <c r="J21" s="21" t="n">
        <f>125288470</f>
        <v>1.2528847E8</v>
      </c>
      <c r="K21" s="36" t="n">
        <f>119963470</f>
        <v>1.1996347E8</v>
      </c>
      <c r="L21" s="21" t="n">
        <f>90194306</f>
        <v>9.0194306E7</v>
      </c>
      <c r="M21" s="36" t="n">
        <f>73544306</f>
        <v>7.3544306E7</v>
      </c>
      <c r="N21" s="21" t="n">
        <f>215482776</f>
        <v>2.15482776E8</v>
      </c>
      <c r="O21" s="36" t="n">
        <f>193507776</f>
        <v>1.93507776E8</v>
      </c>
    </row>
    <row r="22" spans="1:15" ht="24.9" customHeight="1">
      <c r="A22" s="38"/>
      <c r="B22" s="62"/>
      <c r="C22" s="20" t="s">
        <v>17</v>
      </c>
      <c r="D22" s="21" t="n">
        <f>460</f>
        <v>460.0</v>
      </c>
      <c r="E22" s="36" t="n">
        <f>400</f>
        <v>400.0</v>
      </c>
      <c r="F22" s="21" t="n">
        <f>570</f>
        <v>570.0</v>
      </c>
      <c r="G22" s="36" t="n">
        <f>550</f>
        <v>550.0</v>
      </c>
      <c r="H22" s="21" t="n">
        <f>1030</f>
        <v>1030.0</v>
      </c>
      <c r="I22" s="36" t="n">
        <f>950</f>
        <v>950.0</v>
      </c>
      <c r="J22" s="21" t="n">
        <f>521525000</f>
        <v>5.21525E8</v>
      </c>
      <c r="K22" s="36" t="n">
        <f>458000000</f>
        <v>4.58E8</v>
      </c>
      <c r="L22" s="21" t="n">
        <f>190300000</f>
        <v>1.903E8</v>
      </c>
      <c r="M22" s="36" t="n">
        <f>180700000</f>
        <v>1.807E8</v>
      </c>
      <c r="N22" s="21" t="n">
        <f>711825000</f>
        <v>7.11825E8</v>
      </c>
      <c r="O22" s="36" t="n">
        <f>638700000</f>
        <v>6.387E8</v>
      </c>
    </row>
    <row r="23" spans="1:15" ht="24.9" customHeight="1">
      <c r="A23" s="38"/>
      <c r="B23" s="62"/>
      <c r="C23" s="24" t="s">
        <v>18</v>
      </c>
      <c r="D23" s="25" t="n">
        <f>732</f>
        <v>732.0</v>
      </c>
      <c r="E23" s="37" t="n">
        <f>637</f>
        <v>637.0</v>
      </c>
      <c r="F23" s="25" t="n">
        <f>846</f>
        <v>846.0</v>
      </c>
      <c r="G23" s="37" t="n">
        <f>781</f>
        <v>781.0</v>
      </c>
      <c r="H23" s="25" t="n">
        <f>1578</f>
        <v>1578.0</v>
      </c>
      <c r="I23" s="37" t="n">
        <f>1418</f>
        <v>1418.0</v>
      </c>
      <c r="J23" s="25" t="n">
        <f>655817290</f>
        <v>6.5581729E8</v>
      </c>
      <c r="K23" s="37" t="n">
        <f>586967290</f>
        <v>5.8696729E8</v>
      </c>
      <c r="L23" s="25" t="n">
        <f>280494306</f>
        <v>2.80494306E8</v>
      </c>
      <c r="M23" s="37" t="n">
        <f>254244306</f>
        <v>2.54244306E8</v>
      </c>
      <c r="N23" s="25" t="n">
        <f>936311596</f>
        <v>9.36311596E8</v>
      </c>
      <c r="O23" s="37" t="n">
        <f>841211596</f>
        <v>8.41211596E8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15</f>
        <v>15.0</v>
      </c>
      <c r="G36" s="18" t="n">
        <f>0</f>
        <v>0.0</v>
      </c>
      <c r="H36" s="17" t="n">
        <f>15</f>
        <v>15.0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4050000</f>
        <v>4050000.0</v>
      </c>
      <c r="M36" s="18" t="n">
        <f>0</f>
        <v>0.0</v>
      </c>
      <c r="N36" s="17" t="n">
        <f>4050000</f>
        <v>4050000.0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15</f>
        <v>15.0</v>
      </c>
      <c r="G37" s="22" t="n">
        <f>0</f>
        <v>0.0</v>
      </c>
      <c r="H37" s="21" t="n">
        <f>15</f>
        <v>15.0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1350000</f>
        <v>1350000.0</v>
      </c>
      <c r="M37" s="22" t="n">
        <f>0</f>
        <v>0.0</v>
      </c>
      <c r="N37" s="21" t="n">
        <f>1350000</f>
        <v>1350000.0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61</f>
        <v>61.0</v>
      </c>
      <c r="E38" s="36" t="n">
        <f>35</f>
        <v>35.0</v>
      </c>
      <c r="F38" s="21" t="n">
        <f>64</f>
        <v>64.0</v>
      </c>
      <c r="G38" s="36" t="n">
        <f>35</f>
        <v>35.0</v>
      </c>
      <c r="H38" s="21" t="n">
        <f>125</f>
        <v>125.0</v>
      </c>
      <c r="I38" s="36" t="n">
        <f>70</f>
        <v>70.0</v>
      </c>
      <c r="J38" s="21" t="n">
        <f>35400000</f>
        <v>3.54E7</v>
      </c>
      <c r="K38" s="36" t="n">
        <f>21700000</f>
        <v>2.17E7</v>
      </c>
      <c r="L38" s="21" t="n">
        <f>24320000</f>
        <v>2.432E7</v>
      </c>
      <c r="M38" s="36" t="n">
        <f>14000000</f>
        <v>1.4E7</v>
      </c>
      <c r="N38" s="21" t="n">
        <f>59720000</f>
        <v>5.972E7</v>
      </c>
      <c r="O38" s="36" t="n">
        <f>35700000</f>
        <v>3.57E7</v>
      </c>
    </row>
    <row r="39" spans="1:15" ht="24.9" customHeight="1">
      <c r="A39" s="38"/>
      <c r="B39" s="62"/>
      <c r="C39" s="24" t="s">
        <v>18</v>
      </c>
      <c r="D39" s="25" t="n">
        <f>61</f>
        <v>61.0</v>
      </c>
      <c r="E39" s="37" t="n">
        <f>35</f>
        <v>35.0</v>
      </c>
      <c r="F39" s="25" t="n">
        <f>94</f>
        <v>94.0</v>
      </c>
      <c r="G39" s="37" t="n">
        <f>35</f>
        <v>35.0</v>
      </c>
      <c r="H39" s="25" t="n">
        <f>155</f>
        <v>155.0</v>
      </c>
      <c r="I39" s="37" t="n">
        <f>70</f>
        <v>70.0</v>
      </c>
      <c r="J39" s="25" t="n">
        <f>35400000</f>
        <v>3.54E7</v>
      </c>
      <c r="K39" s="37" t="n">
        <f>21700000</f>
        <v>2.17E7</v>
      </c>
      <c r="L39" s="25" t="n">
        <f>29720000</f>
        <v>2.972E7</v>
      </c>
      <c r="M39" s="37" t="n">
        <f>14000000</f>
        <v>1.4E7</v>
      </c>
      <c r="N39" s="25" t="n">
        <f>65120000</f>
        <v>6.512E7</v>
      </c>
      <c r="O39" s="37" t="n">
        <f>35700000</f>
        <v>3.57E7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10364</f>
        <v>10364.0</v>
      </c>
      <c r="E41" s="36" t="n">
        <f>115</f>
        <v>115.0</v>
      </c>
      <c r="F41" s="21" t="n">
        <f>9836</f>
        <v>9836.0</v>
      </c>
      <c r="G41" s="36" t="n">
        <f>1400</f>
        <v>1400.0</v>
      </c>
      <c r="H41" s="21" t="n">
        <f>20200</f>
        <v>20200.0</v>
      </c>
      <c r="I41" s="36" t="n">
        <f>1515</f>
        <v>1515.0</v>
      </c>
      <c r="J41" s="21" t="n">
        <f>15191738</f>
        <v>1.5191738E7</v>
      </c>
      <c r="K41" s="36" t="n">
        <f>750250</f>
        <v>750250.0</v>
      </c>
      <c r="L41" s="21" t="n">
        <f>54533810</f>
        <v>5.453381E7</v>
      </c>
      <c r="M41" s="36" t="n">
        <f>1288000</f>
        <v>1288000.0</v>
      </c>
      <c r="N41" s="21" t="n">
        <f>69725548</f>
        <v>6.9725548E7</v>
      </c>
      <c r="O41" s="36" t="n">
        <f>2038250</f>
        <v>2038250.0</v>
      </c>
    </row>
    <row r="42" spans="1:15" ht="24.9" customHeight="1">
      <c r="A42" s="38"/>
      <c r="B42" s="62"/>
      <c r="C42" s="20" t="s">
        <v>17</v>
      </c>
      <c r="D42" s="21" t="n">
        <f>2810</f>
        <v>2810.0</v>
      </c>
      <c r="E42" s="36" t="n">
        <f>625</f>
        <v>625.0</v>
      </c>
      <c r="F42" s="21" t="n">
        <f>6695</f>
        <v>6695.0</v>
      </c>
      <c r="G42" s="36" t="n">
        <f>0</f>
        <v>0.0</v>
      </c>
      <c r="H42" s="21" t="n">
        <f>9505</f>
        <v>9505.0</v>
      </c>
      <c r="I42" s="36" t="n">
        <f>625</f>
        <v>625.0</v>
      </c>
      <c r="J42" s="21" t="n">
        <f>14103263</f>
        <v>1.4103263E7</v>
      </c>
      <c r="K42" s="36" t="n">
        <f>843750</f>
        <v>843750.0</v>
      </c>
      <c r="L42" s="21" t="n">
        <f>14745218</f>
        <v>1.4745218E7</v>
      </c>
      <c r="M42" s="36" t="n">
        <f>0</f>
        <v>0.0</v>
      </c>
      <c r="N42" s="21" t="n">
        <f>28848481</f>
        <v>2.8848481E7</v>
      </c>
      <c r="O42" s="36" t="n">
        <f>843750</f>
        <v>843750.0</v>
      </c>
    </row>
    <row r="43" spans="1:15" ht="24.9" customHeight="1">
      <c r="A43" s="38"/>
      <c r="B43" s="62"/>
      <c r="C43" s="24" t="s">
        <v>18</v>
      </c>
      <c r="D43" s="25" t="n">
        <f>13174</f>
        <v>13174.0</v>
      </c>
      <c r="E43" s="37" t="n">
        <f>740</f>
        <v>740.0</v>
      </c>
      <c r="F43" s="25" t="n">
        <f>16531</f>
        <v>16531.0</v>
      </c>
      <c r="G43" s="37" t="n">
        <f>1400</f>
        <v>1400.0</v>
      </c>
      <c r="H43" s="25" t="n">
        <f>29705</f>
        <v>29705.0</v>
      </c>
      <c r="I43" s="37" t="n">
        <f>2140</f>
        <v>2140.0</v>
      </c>
      <c r="J43" s="25" t="n">
        <f>29295001</f>
        <v>2.9295001E7</v>
      </c>
      <c r="K43" s="37" t="n">
        <f>1594000</f>
        <v>1594000.0</v>
      </c>
      <c r="L43" s="25" t="n">
        <f>69279028</f>
        <v>6.9279028E7</v>
      </c>
      <c r="M43" s="37" t="n">
        <f>1288000</f>
        <v>1288000.0</v>
      </c>
      <c r="N43" s="25" t="n">
        <f>98574029</f>
        <v>9.8574029E7</v>
      </c>
      <c r="O43" s="37" t="n">
        <f>2882000</f>
        <v>2882000.0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