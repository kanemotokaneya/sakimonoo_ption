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<sst xmlns="http://schemas.openxmlformats.org/spreadsheetml/2006/main" count="528" uniqueCount="129">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</sst>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DATE(2026,07,27)</f>
        <v>46230.0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DATE(2026,07,27)</f>
        <v>46230.0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799759.0</f>
        <v>799759.0</v>
      </c>
      <c r="E12" s="18" t="n">
        <f>37546.0</f>
        <v>37546.0</v>
      </c>
      <c r="F12" s="19" t="n">
        <f>1.0</f>
        <v>1.0</v>
      </c>
      <c r="G12" s="17" t="n">
        <f>5038909612795.0</f>
        <v>5.038909612795E12</v>
      </c>
      <c r="H12" s="18" t="n">
        <f>414664104170.0</f>
        <v>4.1466410417E11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554291.0</f>
        <v>554291.0</v>
      </c>
      <c r="E13" s="22" t="n">
        <f>21602.0</f>
        <v>21602.0</v>
      </c>
      <c r="F13" s="23" t="n">
        <f>1.0</f>
        <v>1.0</v>
      </c>
      <c r="G13" s="21" t="n">
        <f>4713937528560.0</f>
        <v>4.71393752856E12</v>
      </c>
      <c r="H13" s="22" t="n">
        <f>222928850260.0</f>
        <v>2.2292885026E11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457765.0</f>
        <v>457765.0</v>
      </c>
      <c r="E14" s="22" t="n">
        <f>24810.0</f>
        <v>24810.0</v>
      </c>
      <c r="F14" s="23" t="n">
        <f>1.0</f>
        <v>1.0</v>
      </c>
      <c r="G14" s="21" t="n">
        <f>4900944556591.0</f>
        <v>4.900944556591E12</v>
      </c>
      <c r="H14" s="22" t="n">
        <f>641709827666.0</f>
        <v>6.41709827666E11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1811815.0</f>
        <v>1811815.0</v>
      </c>
      <c r="E15" s="26" t="n">
        <f>83958.0</f>
        <v>83958.0</v>
      </c>
      <c r="F15" s="27" t="n">
        <f>1.0</f>
        <v>1.0</v>
      </c>
      <c r="G15" s="25" t="n">
        <f>14653791697946.0</f>
        <v>1.4653791697946E13</v>
      </c>
      <c r="H15" s="26" t="n">
        <f>1279302782096.0</f>
        <v>1.279302782096E12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20566.0</f>
        <v>20566.0</v>
      </c>
      <c r="E16" s="18" t="n">
        <f>504.0</f>
        <v>504.0</v>
      </c>
      <c r="F16" s="19" t="n">
        <f>0.026</f>
        <v>0.026</v>
      </c>
      <c r="G16" s="17" t="n">
        <f>1440820579375.0</f>
        <v>1.440820579375E12</v>
      </c>
      <c r="H16" s="18" t="n">
        <f>63934720000.0</f>
        <v>6.393472E10</v>
      </c>
      <c r="I16" s="19" t="n">
        <f>0.286</f>
        <v>0.286</v>
      </c>
    </row>
    <row r="17" spans="1:9" ht="24.9" customHeight="1">
      <c r="A17" s="41"/>
      <c r="B17" s="39"/>
      <c r="C17" s="20" t="s">
        <v>16</v>
      </c>
      <c r="D17" s="21" t="n">
        <f>13409.0</f>
        <v>13409.0</v>
      </c>
      <c r="E17" s="22" t="n">
        <f>249.0</f>
        <v>249.0</v>
      </c>
      <c r="F17" s="23" t="n">
        <f>0.024</f>
        <v>0.024</v>
      </c>
      <c r="G17" s="21" t="n">
        <f>1425159329750.0</f>
        <v>1.42515932975E12</v>
      </c>
      <c r="H17" s="22" t="n">
        <f>31688105000.0</f>
        <v>3.1688105E10</v>
      </c>
      <c r="I17" s="23" t="n">
        <f>0.302</f>
        <v>0.302</v>
      </c>
    </row>
    <row r="18" spans="1:9" ht="24.9" customHeight="1">
      <c r="A18" s="41"/>
      <c r="B18" s="39"/>
      <c r="C18" s="20" t="s">
        <v>17</v>
      </c>
      <c r="D18" s="21" t="n">
        <f>11145.0</f>
        <v>11145.0</v>
      </c>
      <c r="E18" s="22" t="n">
        <f>532.0</f>
        <v>532.0</v>
      </c>
      <c r="F18" s="23" t="n">
        <f>0.024</f>
        <v>0.024</v>
      </c>
      <c r="G18" s="21" t="n">
        <f>1311492269125.0</f>
        <v>1.311492269125E12</v>
      </c>
      <c r="H18" s="22" t="n">
        <f>67691185000.0</f>
        <v>6.7691185E10</v>
      </c>
      <c r="I18" s="23" t="n">
        <f>0.268</f>
        <v>0.268</v>
      </c>
    </row>
    <row r="19" spans="1:9" ht="24.9" customHeight="1">
      <c r="A19" s="41"/>
      <c r="B19" s="39"/>
      <c r="C19" s="24" t="s">
        <v>18</v>
      </c>
      <c r="D19" s="25" t="n">
        <f>45120.0</f>
        <v>45120.0</v>
      </c>
      <c r="E19" s="26" t="n">
        <f>1285.0</f>
        <v>1285.0</v>
      </c>
      <c r="F19" s="27" t="n">
        <f>0.025</f>
        <v>0.025</v>
      </c>
      <c r="G19" s="25" t="n">
        <f>4177472178250.0</f>
        <v>4.17747217825E12</v>
      </c>
      <c r="H19" s="26" t="n">
        <f>163314010000.0</f>
        <v>1.6331401E11</v>
      </c>
      <c r="I19" s="27" t="n">
        <f>0.285</f>
        <v>0.285</v>
      </c>
    </row>
    <row r="20" spans="1:9" ht="24.9" customHeight="1">
      <c r="A20" s="41"/>
      <c r="B20" s="39" t="s">
        <v>21</v>
      </c>
      <c r="C20" s="16" t="s">
        <v>15</v>
      </c>
      <c r="D20" s="17" t="n">
        <f>769495.0</f>
        <v>769495.0</v>
      </c>
      <c r="E20" s="18" t="n">
        <f>37042.0</f>
        <v>37042.0</v>
      </c>
      <c r="F20" s="19" t="n">
        <f>0.962</f>
        <v>0.962</v>
      </c>
      <c r="G20" s="17" t="n">
        <f>3503187600120.0</f>
        <v>3.50318760012E12</v>
      </c>
      <c r="H20" s="18" t="n">
        <f>350729384170.0</f>
        <v>3.5072938417E11</v>
      </c>
      <c r="I20" s="19" t="n">
        <f>0.695</f>
        <v>0.695</v>
      </c>
    </row>
    <row r="21" spans="1:9" ht="24.9" customHeight="1">
      <c r="A21" s="41"/>
      <c r="B21" s="39"/>
      <c r="C21" s="20" t="s">
        <v>16</v>
      </c>
      <c r="D21" s="21" t="n">
        <f>533858.0</f>
        <v>533858.0</v>
      </c>
      <c r="E21" s="22" t="n">
        <f>21337.0</f>
        <v>21337.0</v>
      </c>
      <c r="F21" s="23" t="n">
        <f>0.963</f>
        <v>0.963</v>
      </c>
      <c r="G21" s="21" t="n">
        <f>3202487883210.0</f>
        <v>3.20248788321E12</v>
      </c>
      <c r="H21" s="22" t="n">
        <f>191207731260.0</f>
        <v>1.9120773126E11</v>
      </c>
      <c r="I21" s="23" t="n">
        <f>0.679</f>
        <v>0.679</v>
      </c>
    </row>
    <row r="22" spans="1:9" ht="24.9" customHeight="1">
      <c r="A22" s="41"/>
      <c r="B22" s="39"/>
      <c r="C22" s="20" t="s">
        <v>17</v>
      </c>
      <c r="D22" s="21" t="n">
        <f>439696.0</f>
        <v>439696.0</v>
      </c>
      <c r="E22" s="22" t="n">
        <f>24168.0</f>
        <v>24168.0</v>
      </c>
      <c r="F22" s="23" t="n">
        <f>0.961</f>
        <v>0.961</v>
      </c>
      <c r="G22" s="21" t="n">
        <f>3535794735216.0</f>
        <v>3.535794735216E12</v>
      </c>
      <c r="H22" s="22" t="n">
        <f>573639762666.0</f>
        <v>5.73639762666E11</v>
      </c>
      <c r="I22" s="23" t="n">
        <f>0.721</f>
        <v>0.721</v>
      </c>
    </row>
    <row r="23" spans="1:9" ht="24.9" customHeight="1">
      <c r="A23" s="41"/>
      <c r="B23" s="39"/>
      <c r="C23" s="24" t="s">
        <v>18</v>
      </c>
      <c r="D23" s="25" t="n">
        <f>1743049.0</f>
        <v>1743049.0</v>
      </c>
      <c r="E23" s="26" t="n">
        <f>82547.0</f>
        <v>82547.0</v>
      </c>
      <c r="F23" s="27" t="n">
        <f>0.962</f>
        <v>0.962</v>
      </c>
      <c r="G23" s="25" t="n">
        <f>10241470218546.0</f>
        <v>1.0241470218546E13</v>
      </c>
      <c r="H23" s="26" t="n">
        <f>1115576878096.0</f>
        <v>1.115576878096E12</v>
      </c>
      <c r="I23" s="27" t="n">
        <f>0.699</f>
        <v>0.699</v>
      </c>
    </row>
    <row r="24" spans="1:9" ht="24.9" customHeight="1">
      <c r="A24" s="41"/>
      <c r="B24" s="39" t="s">
        <v>22</v>
      </c>
      <c r="C24" s="16" t="s">
        <v>15</v>
      </c>
      <c r="D24" s="17" t="n">
        <f>9191.0</f>
        <v>9191.0</v>
      </c>
      <c r="E24" s="18" t="n">
        <f>0.0</f>
        <v>0.0</v>
      </c>
      <c r="F24" s="19" t="n">
        <f>0.011</f>
        <v>0.011</v>
      </c>
      <c r="G24" s="17" t="n">
        <f>92849299300.0</f>
        <v>9.28492993E10</v>
      </c>
      <c r="H24" s="18" t="n">
        <f>0.0</f>
        <v>0.0</v>
      </c>
      <c r="I24" s="19" t="n">
        <f>0.018</f>
        <v>0.018</v>
      </c>
    </row>
    <row r="25" spans="1:9" ht="24.9" customHeight="1">
      <c r="A25" s="41"/>
      <c r="B25" s="39"/>
      <c r="C25" s="20" t="s">
        <v>16</v>
      </c>
      <c r="D25" s="21" t="n">
        <f>6800.0</f>
        <v>6800.0</v>
      </c>
      <c r="E25" s="22" t="n">
        <f>16.0</f>
        <v>16.0</v>
      </c>
      <c r="F25" s="23" t="n">
        <f>0.012</f>
        <v>0.012</v>
      </c>
      <c r="G25" s="21" t="n">
        <f>85416756100.0</f>
        <v>8.54167561E10</v>
      </c>
      <c r="H25" s="22" t="n">
        <f>33014000.0</f>
        <v>3.3014E7</v>
      </c>
      <c r="I25" s="23" t="n">
        <f>0.018</f>
        <v>0.018</v>
      </c>
    </row>
    <row r="26" spans="1:9" ht="24.9" customHeight="1">
      <c r="A26" s="41"/>
      <c r="B26" s="39"/>
      <c r="C26" s="20" t="s">
        <v>17</v>
      </c>
      <c r="D26" s="21" t="n">
        <f>4640.0</f>
        <v>4640.0</v>
      </c>
      <c r="E26" s="22" t="n">
        <f>10.0</f>
        <v>10.0</v>
      </c>
      <c r="F26" s="23" t="n">
        <f>0.01</f>
        <v>0.01</v>
      </c>
      <c r="G26" s="21" t="n">
        <f>45061360250.0</f>
        <v>4.506136025E10</v>
      </c>
      <c r="H26" s="22" t="n">
        <f>220780000.0</f>
        <v>2.2078E8</v>
      </c>
      <c r="I26" s="23" t="n">
        <f>0.009</f>
        <v>0.009</v>
      </c>
    </row>
    <row r="27" spans="1:9" ht="24.9" customHeight="1">
      <c r="A27" s="42"/>
      <c r="B27" s="39"/>
      <c r="C27" s="24" t="s">
        <v>18</v>
      </c>
      <c r="D27" s="25" t="n">
        <f>20631.0</f>
        <v>20631.0</v>
      </c>
      <c r="E27" s="26" t="n">
        <f>26.0</f>
        <v>26.0</v>
      </c>
      <c r="F27" s="27" t="n">
        <f>0.011</f>
        <v>0.011</v>
      </c>
      <c r="G27" s="25" t="n">
        <f>223327415650.0</f>
        <v>2.2332741565E11</v>
      </c>
      <c r="H27" s="26" t="n">
        <f>253794000.0</f>
        <v>2.53794E8</v>
      </c>
      <c r="I27" s="27" t="n">
        <f>0.015</f>
        <v>0.015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507.0</f>
        <v>507.0</v>
      </c>
      <c r="E28" s="18" t="n">
        <f>0.0</f>
        <v>0.0</v>
      </c>
      <c r="F28" s="19" t="n">
        <f>0.001</f>
        <v>0.001</v>
      </c>
      <c r="G28" s="17" t="n">
        <f>2052134000.0</f>
        <v>2.052134E9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224.0</f>
        <v>224.0</v>
      </c>
      <c r="E29" s="22" t="n">
        <f>0.0</f>
        <v>0.0</v>
      </c>
      <c r="F29" s="23" t="n">
        <f>0.0</f>
        <v>0.0</v>
      </c>
      <c r="G29" s="21" t="n">
        <f>873559500.0</f>
        <v>8.735595E8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2284.0</f>
        <v>2284.0</v>
      </c>
      <c r="E30" s="22" t="n">
        <f>100.0</f>
        <v>100.0</v>
      </c>
      <c r="F30" s="23" t="n">
        <f>0.005</f>
        <v>0.005</v>
      </c>
      <c r="G30" s="21" t="n">
        <f>8596192000.0</f>
        <v>8.596192E9</v>
      </c>
      <c r="H30" s="22" t="n">
        <f>158100000.0</f>
        <v>1.581E8</v>
      </c>
      <c r="I30" s="23" t="n">
        <f>0.002</f>
        <v>0.002</v>
      </c>
    </row>
    <row r="31" spans="1:9" ht="24.9" customHeight="1">
      <c r="A31" s="38"/>
      <c r="B31" s="39"/>
      <c r="C31" s="24" t="s">
        <v>18</v>
      </c>
      <c r="D31" s="25" t="n">
        <f>3015.0</f>
        <v>3015.0</v>
      </c>
      <c r="E31" s="26" t="n">
        <f>100.0</f>
        <v>100.0</v>
      </c>
      <c r="F31" s="27" t="n">
        <f>0.002</f>
        <v>0.002</v>
      </c>
      <c r="G31" s="25" t="n">
        <f>11521885500.0</f>
        <v>1.15218855E10</v>
      </c>
      <c r="H31" s="26" t="n">
        <f>158100000.0</f>
        <v>1.581E8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46230.0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46230.0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23880</f>
        <v>23880.0</v>
      </c>
      <c r="E11" s="18" t="n">
        <f>9903</f>
        <v>9903.0</v>
      </c>
      <c r="F11" s="19" t="n">
        <f>1</f>
        <v>1.0</v>
      </c>
      <c r="G11" s="17" t="n">
        <f>13120747682</f>
        <v>1.3120747682E10</v>
      </c>
      <c r="H11" s="18" t="n">
        <f>10960326082</f>
        <v>1.0960326082E10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46344</f>
        <v>46344.0</v>
      </c>
      <c r="E12" s="22" t="n">
        <f>4618</f>
        <v>4618.0</v>
      </c>
      <c r="F12" s="23" t="n">
        <f>1</f>
        <v>1.0</v>
      </c>
      <c r="G12" s="21" t="n">
        <f>9307450123</f>
        <v>9.307450123E9</v>
      </c>
      <c r="H12" s="22" t="n">
        <f>6567138110</f>
        <v>6.56713811E9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29287</f>
        <v>29287.0</v>
      </c>
      <c r="E13" s="22" t="n">
        <f>12003</f>
        <v>12003.0</v>
      </c>
      <c r="F13" s="23" t="n">
        <f>1</f>
        <v>1.0</v>
      </c>
      <c r="G13" s="21" t="n">
        <f>27665548016</f>
        <v>2.7665548016E10</v>
      </c>
      <c r="H13" s="22" t="n">
        <f>25427258230</f>
        <v>2.542725823E10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99511</f>
        <v>99511.0</v>
      </c>
      <c r="E14" s="26" t="n">
        <f>26524</f>
        <v>26524.0</v>
      </c>
      <c r="F14" s="27" t="n">
        <f>1</f>
        <v>1.0</v>
      </c>
      <c r="G14" s="25" t="n">
        <f>50093745821</f>
        <v>5.0093745821E10</v>
      </c>
      <c r="H14" s="26" t="n">
        <f>42954722422</f>
        <v>4.2954722422E10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30</f>
        <v>30.0</v>
      </c>
      <c r="E15" s="18" t="n">
        <f>30</f>
        <v>30.0</v>
      </c>
      <c r="F15" s="19" t="n">
        <f>0.001</f>
        <v>0.001</v>
      </c>
      <c r="G15" s="17" t="n">
        <f>8700000</f>
        <v>8700000.0</v>
      </c>
      <c r="H15" s="18" t="n">
        <f>8700000</f>
        <v>8700000.0</v>
      </c>
      <c r="I15" s="19" t="n">
        <f>0.001</f>
        <v>0.001</v>
      </c>
    </row>
    <row r="16" spans="1:9" ht="24.9" customHeight="1">
      <c r="A16" s="41"/>
      <c r="B16" s="39"/>
      <c r="C16" s="20" t="s">
        <v>16</v>
      </c>
      <c r="D16" s="21" t="n">
        <f>169</f>
        <v>169.0</v>
      </c>
      <c r="E16" s="22" t="n">
        <f>150</f>
        <v>150.0</v>
      </c>
      <c r="F16" s="23" t="n">
        <f>0.004</f>
        <v>0.004</v>
      </c>
      <c r="G16" s="21" t="n">
        <f>12180000</f>
        <v>1.218E7</v>
      </c>
      <c r="H16" s="22" t="n">
        <f>10250000</f>
        <v>1.025E7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20</f>
        <v>20.0</v>
      </c>
      <c r="E17" s="22" t="n">
        <f>0</f>
        <v>0.0</v>
      </c>
      <c r="F17" s="23" t="n">
        <f>0.001</f>
        <v>0.001</v>
      </c>
      <c r="G17" s="21" t="n">
        <f>4850000</f>
        <v>4850000.0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219</f>
        <v>219.0</v>
      </c>
      <c r="E18" s="26" t="n">
        <f>180</f>
        <v>180.0</v>
      </c>
      <c r="F18" s="27" t="n">
        <f>0.002</f>
        <v>0.002</v>
      </c>
      <c r="G18" s="25" t="n">
        <f>25730000</f>
        <v>2.573E7</v>
      </c>
      <c r="H18" s="26" t="n">
        <f>18950000</f>
        <v>1.895E7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23850</f>
        <v>23850.0</v>
      </c>
      <c r="E19" s="18" t="n">
        <f>9873</f>
        <v>9873.0</v>
      </c>
      <c r="F19" s="19" t="n">
        <f>0.999</f>
        <v>0.999</v>
      </c>
      <c r="G19" s="17" t="n">
        <f>13112047682</f>
        <v>1.3112047682E10</v>
      </c>
      <c r="H19" s="18" t="n">
        <f>10951626082</f>
        <v>1.0951626082E10</v>
      </c>
      <c r="I19" s="19" t="n">
        <f>0.999</f>
        <v>0.999</v>
      </c>
    </row>
    <row r="20" spans="1:9" ht="24.9" customHeight="1">
      <c r="A20" s="41"/>
      <c r="B20" s="39"/>
      <c r="C20" s="20" t="s">
        <v>16</v>
      </c>
      <c r="D20" s="21" t="n">
        <f>21817</f>
        <v>21817.0</v>
      </c>
      <c r="E20" s="22" t="n">
        <f>4468</f>
        <v>4468.0</v>
      </c>
      <c r="F20" s="23" t="n">
        <f>0.471</f>
        <v>0.471</v>
      </c>
      <c r="G20" s="21" t="n">
        <f>9192091810</f>
        <v>9.19209181E9</v>
      </c>
      <c r="H20" s="22" t="n">
        <f>6556888110</f>
        <v>6.55688811E9</v>
      </c>
      <c r="I20" s="23" t="n">
        <f>0.988</f>
        <v>0.988</v>
      </c>
    </row>
    <row r="21" spans="1:9" ht="24.9" customHeight="1">
      <c r="A21" s="41"/>
      <c r="B21" s="39"/>
      <c r="C21" s="20" t="s">
        <v>17</v>
      </c>
      <c r="D21" s="21" t="n">
        <f>23857</f>
        <v>23857.0</v>
      </c>
      <c r="E21" s="22" t="n">
        <f>11601</f>
        <v>11601.0</v>
      </c>
      <c r="F21" s="23" t="n">
        <f>0.815</f>
        <v>0.815</v>
      </c>
      <c r="G21" s="21" t="n">
        <f>27576071130</f>
        <v>2.757607113E10</v>
      </c>
      <c r="H21" s="22" t="n">
        <f>25398605230</f>
        <v>2.539860523E10</v>
      </c>
      <c r="I21" s="23" t="n">
        <f>0.997</f>
        <v>0.997</v>
      </c>
    </row>
    <row r="22" spans="1:9" ht="24.9" customHeight="1">
      <c r="A22" s="41"/>
      <c r="B22" s="39"/>
      <c r="C22" s="24" t="s">
        <v>18</v>
      </c>
      <c r="D22" s="25" t="n">
        <f>69524</f>
        <v>69524.0</v>
      </c>
      <c r="E22" s="26" t="n">
        <f>25942</f>
        <v>25942.0</v>
      </c>
      <c r="F22" s="27" t="n">
        <f>0.699</f>
        <v>0.699</v>
      </c>
      <c r="G22" s="25" t="n">
        <f>49880210622</f>
        <v>4.9880210622E10</v>
      </c>
      <c r="H22" s="26" t="n">
        <f>42907119422</f>
        <v>4.2907119422E10</v>
      </c>
      <c r="I22" s="27" t="n">
        <f>0.996</f>
        <v>0.996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24358</f>
        <v>24358.0</v>
      </c>
      <c r="E24" s="22" t="n">
        <f>0</f>
        <v>0.0</v>
      </c>
      <c r="F24" s="23" t="n">
        <f>0.526</f>
        <v>0.526</v>
      </c>
      <c r="G24" s="21" t="n">
        <f>103178313</f>
        <v>1.03178313E8</v>
      </c>
      <c r="H24" s="22" t="n">
        <f>0</f>
        <v>0.0</v>
      </c>
      <c r="I24" s="23" t="n">
        <f>0.011</f>
        <v>0.011</v>
      </c>
    </row>
    <row r="25" spans="1:9" ht="24.9" customHeight="1">
      <c r="A25" s="41"/>
      <c r="B25" s="39"/>
      <c r="C25" s="20" t="s">
        <v>17</v>
      </c>
      <c r="D25" s="21" t="n">
        <f>5410</f>
        <v>5410.0</v>
      </c>
      <c r="E25" s="22" t="n">
        <f>402</f>
        <v>402.0</v>
      </c>
      <c r="F25" s="23" t="n">
        <f>0.185</f>
        <v>0.185</v>
      </c>
      <c r="G25" s="21" t="n">
        <f>84626886</f>
        <v>8.4626886E7</v>
      </c>
      <c r="H25" s="22" t="n">
        <f>28653000</f>
        <v>2.8653E7</v>
      </c>
      <c r="I25" s="23" t="n">
        <f>0.003</f>
        <v>0.003</v>
      </c>
    </row>
    <row r="26" spans="1:9" ht="24.9" customHeight="1">
      <c r="A26" s="41"/>
      <c r="B26" s="39"/>
      <c r="C26" s="24" t="s">
        <v>18</v>
      </c>
      <c r="D26" s="25" t="n">
        <f>29768</f>
        <v>29768.0</v>
      </c>
      <c r="E26" s="26" t="n">
        <f>402</f>
        <v>402.0</v>
      </c>
      <c r="F26" s="27" t="n">
        <f>0.299</f>
        <v>0.299</v>
      </c>
      <c r="G26" s="25" t="n">
        <f>187805199</f>
        <v>1.87805199E8</v>
      </c>
      <c r="H26" s="26" t="n">
        <f>28653000</f>
        <v>2.8653E7</v>
      </c>
      <c r="I26" s="27" t="n">
        <f>0.004</f>
        <v>0.004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46230.0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46230.0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14349.0</v>
      </c>
      <c r="F12" s="18" t="n">
        <f>1883</f>
        <v>1883.0</v>
      </c>
      <c r="G12" s="17" t="n">
        <v>9.289848662E11</v>
      </c>
      <c r="H12" s="18" t="n">
        <f>122040783200</f>
        <v>1.220407832E11</v>
      </c>
    </row>
    <row r="13" spans="1:8" ht="24.9" customHeight="1">
      <c r="A13" s="51"/>
      <c r="B13" s="57"/>
      <c r="C13" s="39"/>
      <c r="D13" s="20" t="s">
        <v>16</v>
      </c>
      <c r="E13" s="21" t="n">
        <v>13646.0</v>
      </c>
      <c r="F13" s="22" t="n">
        <f>886</f>
        <v>886.0</v>
      </c>
      <c r="G13" s="21" t="n">
        <v>8.839606426E11</v>
      </c>
      <c r="H13" s="22" t="n">
        <f>57390167600</f>
        <v>5.73901676E10</v>
      </c>
    </row>
    <row r="14" spans="1:8" ht="24.9" customHeight="1">
      <c r="A14" s="51"/>
      <c r="B14" s="57"/>
      <c r="C14" s="39"/>
      <c r="D14" s="20" t="s">
        <v>17</v>
      </c>
      <c r="E14" s="21" t="n">
        <v>18494.0</v>
      </c>
      <c r="F14" s="22" t="n">
        <f>5184</f>
        <v>5184.0</v>
      </c>
      <c r="G14" s="21" t="n">
        <v>1.19982164537E12</v>
      </c>
      <c r="H14" s="22" t="n">
        <f>336580550370</f>
        <v>3.3658055037E11</v>
      </c>
    </row>
    <row r="15" spans="1:8" ht="24.9" customHeight="1">
      <c r="A15" s="51"/>
      <c r="B15" s="57"/>
      <c r="C15" s="39"/>
      <c r="D15" s="24" t="s">
        <v>18</v>
      </c>
      <c r="E15" s="25" t="n">
        <v>46489.0</v>
      </c>
      <c r="F15" s="26" t="n">
        <f>7953</f>
        <v>7953.0</v>
      </c>
      <c r="G15" s="25" t="n">
        <v>3.01276715417E12</v>
      </c>
      <c r="H15" s="26" t="n">
        <f>516011501170</f>
        <v>5.1601150117E11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271917.0</v>
      </c>
      <c r="F16" s="18" t="n">
        <f>33309</f>
        <v>33309.0</v>
      </c>
      <c r="G16" s="17" t="n">
        <v>1.76081091046E12</v>
      </c>
      <c r="H16" s="18" t="n">
        <f>215734350460</f>
        <v>2.1573435046E11</v>
      </c>
    </row>
    <row r="17" spans="1:8" ht="24.9" customHeight="1">
      <c r="A17" s="51"/>
      <c r="B17" s="57"/>
      <c r="C17" s="39"/>
      <c r="D17" s="20" t="s">
        <v>16</v>
      </c>
      <c r="E17" s="21" t="n">
        <v>232824.0</v>
      </c>
      <c r="F17" s="22" t="n">
        <f>20134</f>
        <v>20134.0</v>
      </c>
      <c r="G17" s="21" t="n">
        <v>1.50820365462E12</v>
      </c>
      <c r="H17" s="22" t="n">
        <f>130420157620</f>
        <v>1.3042015762E11</v>
      </c>
    </row>
    <row r="18" spans="1:8" ht="24.9" customHeight="1">
      <c r="A18" s="51"/>
      <c r="B18" s="57"/>
      <c r="C18" s="39"/>
      <c r="D18" s="20" t="s">
        <v>17</v>
      </c>
      <c r="E18" s="21" t="n">
        <v>178317.0</v>
      </c>
      <c r="F18" s="22" t="n">
        <f>14760</f>
        <v>14760.0</v>
      </c>
      <c r="G18" s="21" t="n">
        <v>1.155982670966E12</v>
      </c>
      <c r="H18" s="22" t="n">
        <f>95667563966</f>
        <v>9.5667563966E10</v>
      </c>
    </row>
    <row r="19" spans="1:8" ht="24.9" customHeight="1">
      <c r="A19" s="51"/>
      <c r="B19" s="57"/>
      <c r="C19" s="39"/>
      <c r="D19" s="24" t="s">
        <v>18</v>
      </c>
      <c r="E19" s="25" t="n">
        <v>683058.0</v>
      </c>
      <c r="F19" s="26" t="n">
        <f>68203</f>
        <v>68203.0</v>
      </c>
      <c r="G19" s="25" t="n">
        <v>4.424997236046E12</v>
      </c>
      <c r="H19" s="26" t="n">
        <f>441822072046</f>
        <v>4.41822072046E11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464018.0</v>
      </c>
      <c r="F20" s="18" t="str">
        <f>"－"</f>
        <v>－</v>
      </c>
      <c r="G20" s="17" t="n">
        <v>3.00515125E11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261811.0</v>
      </c>
      <c r="F21" s="22" t="str">
        <f>"－"</f>
        <v>－</v>
      </c>
      <c r="G21" s="21" t="n">
        <v>1.695811084E11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208122.0</v>
      </c>
      <c r="F22" s="22" t="str">
        <f>"－"</f>
        <v>－</v>
      </c>
      <c r="G22" s="21" t="n">
        <v>1.3490090805E11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933951.0</v>
      </c>
      <c r="F23" s="26" t="str">
        <f>"－"</f>
        <v>－</v>
      </c>
      <c r="G23" s="25" t="n">
        <v>6.0499714145E11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12060.0</v>
      </c>
      <c r="F24" s="18" t="n">
        <f>152</f>
        <v>152.0</v>
      </c>
      <c r="G24" s="17" t="n">
        <v>4.864456344E11</v>
      </c>
      <c r="H24" s="18" t="n">
        <f>6108269400</f>
        <v>6.1082694E9</v>
      </c>
    </row>
    <row r="25" spans="1:8" ht="24.9" customHeight="1">
      <c r="A25" s="51"/>
      <c r="B25" s="57"/>
      <c r="C25" s="39"/>
      <c r="D25" s="20" t="s">
        <v>16</v>
      </c>
      <c r="E25" s="21" t="n">
        <v>14846.0</v>
      </c>
      <c r="F25" s="22" t="n">
        <f>60</f>
        <v>60.0</v>
      </c>
      <c r="G25" s="21" t="n">
        <v>6.001060335E11</v>
      </c>
      <c r="H25" s="22" t="n">
        <f>2427903500</f>
        <v>2.4279035E9</v>
      </c>
    </row>
    <row r="26" spans="1:8" ht="24.9" customHeight="1">
      <c r="A26" s="51"/>
      <c r="B26" s="57"/>
      <c r="C26" s="39"/>
      <c r="D26" s="20" t="s">
        <v>17</v>
      </c>
      <c r="E26" s="21" t="n">
        <v>24735.0</v>
      </c>
      <c r="F26" s="22" t="n">
        <f>3355</f>
        <v>3355.0</v>
      </c>
      <c r="G26" s="21" t="n">
        <v>1.00546598192E12</v>
      </c>
      <c r="H26" s="22" t="n">
        <f>136494796920</f>
        <v>1.3649479692E11</v>
      </c>
    </row>
    <row r="27" spans="1:8" ht="24.9" customHeight="1">
      <c r="A27" s="51"/>
      <c r="B27" s="57"/>
      <c r="C27" s="39"/>
      <c r="D27" s="24" t="s">
        <v>18</v>
      </c>
      <c r="E27" s="25" t="n">
        <v>51641.0</v>
      </c>
      <c r="F27" s="26" t="n">
        <f>3567</f>
        <v>3567.0</v>
      </c>
      <c r="G27" s="25" t="n">
        <v>2.09201764982E12</v>
      </c>
      <c r="H27" s="26" t="n">
        <f>145030969820</f>
        <v>1.4503096982E11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5652.0</v>
      </c>
      <c r="F28" s="18" t="n">
        <f>1654</f>
        <v>1654.0</v>
      </c>
      <c r="G28" s="17" t="n">
        <v>2.278579157E10</v>
      </c>
      <c r="H28" s="18" t="n">
        <f>6682776320</f>
        <v>6.68277632E9</v>
      </c>
    </row>
    <row r="29" spans="1:8" ht="24.9" customHeight="1">
      <c r="A29" s="51"/>
      <c r="B29" s="57"/>
      <c r="C29" s="39"/>
      <c r="D29" s="20" t="s">
        <v>16</v>
      </c>
      <c r="E29" s="21" t="n">
        <v>8753.0</v>
      </c>
      <c r="F29" s="22" t="n">
        <f>231</f>
        <v>231.0</v>
      </c>
      <c r="G29" s="21" t="n">
        <v>3.538055795E10</v>
      </c>
      <c r="H29" s="22" t="n">
        <f>933897200</f>
        <v>9.338972E8</v>
      </c>
    </row>
    <row r="30" spans="1:8" ht="24.9" customHeight="1">
      <c r="A30" s="51"/>
      <c r="B30" s="57"/>
      <c r="C30" s="39"/>
      <c r="D30" s="20" t="s">
        <v>17</v>
      </c>
      <c r="E30" s="21" t="n">
        <v>7800.0</v>
      </c>
      <c r="F30" s="22" t="n">
        <f>287</f>
        <v>287.0</v>
      </c>
      <c r="G30" s="21" t="n">
        <v>3.16835931E10</v>
      </c>
      <c r="H30" s="22" t="n">
        <f>1165443600</f>
        <v>1.1654436E9</v>
      </c>
    </row>
    <row r="31" spans="1:8" ht="24.9" customHeight="1">
      <c r="A31" s="51"/>
      <c r="B31" s="57"/>
      <c r="C31" s="39"/>
      <c r="D31" s="24" t="s">
        <v>18</v>
      </c>
      <c r="E31" s="25" t="n">
        <v>22205.0</v>
      </c>
      <c r="F31" s="26" t="n">
        <f>2172</f>
        <v>2172.0</v>
      </c>
      <c r="G31" s="25" t="n">
        <v>8.984994262E10</v>
      </c>
      <c r="H31" s="26" t="n">
        <f>8782117120</f>
        <v>8.78211712E9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418.0</v>
      </c>
      <c r="F36" s="18" t="n">
        <f>0</f>
        <v>0.0</v>
      </c>
      <c r="G36" s="17" t="n">
        <v>1.522451E9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1235.0</v>
      </c>
      <c r="F37" s="22" t="n">
        <f>6</f>
        <v>6.0</v>
      </c>
      <c r="G37" s="21" t="n">
        <v>4.50847444E9</v>
      </c>
      <c r="H37" s="22" t="n">
        <f>22037440</f>
        <v>2.203744E7</v>
      </c>
    </row>
    <row r="38" spans="1:8" ht="24.9" customHeight="1">
      <c r="A38" s="51"/>
      <c r="B38" s="57"/>
      <c r="C38" s="39"/>
      <c r="D38" s="20" t="s">
        <v>17</v>
      </c>
      <c r="E38" s="21" t="n">
        <v>997.0</v>
      </c>
      <c r="F38" s="22" t="n">
        <f>0</f>
        <v>0.0</v>
      </c>
      <c r="G38" s="21" t="n">
        <v>3.651919E9</v>
      </c>
      <c r="H38" s="22" t="n">
        <f>0</f>
        <v>0.0</v>
      </c>
    </row>
    <row r="39" spans="1:8" ht="24.9" customHeight="1">
      <c r="A39" s="51"/>
      <c r="B39" s="57"/>
      <c r="C39" s="39"/>
      <c r="D39" s="24" t="s">
        <v>18</v>
      </c>
      <c r="E39" s="25" t="n">
        <v>2650.0</v>
      </c>
      <c r="F39" s="26" t="n">
        <f>6</f>
        <v>6.0</v>
      </c>
      <c r="G39" s="25" t="n">
        <v>9.68284444E9</v>
      </c>
      <c r="H39" s="26" t="n">
        <f>22037440</f>
        <v>2.203744E7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14.0</v>
      </c>
      <c r="F44" s="18" t="n">
        <f>14</f>
        <v>14.0</v>
      </c>
      <c r="G44" s="17" t="n">
        <v>1.07632E8</v>
      </c>
      <c r="H44" s="18" t="n">
        <f>107632000</f>
        <v>1.07632E8</v>
      </c>
    </row>
    <row r="45" spans="1:8" ht="24.9" customHeight="1">
      <c r="A45" s="51"/>
      <c r="B45" s="57"/>
      <c r="C45" s="39"/>
      <c r="D45" s="20" t="s">
        <v>16</v>
      </c>
      <c r="E45" s="21" t="n">
        <v>1.0</v>
      </c>
      <c r="F45" s="22" t="n">
        <f>0</f>
        <v>0.0</v>
      </c>
      <c r="G45" s="21" t="n">
        <v>7705000.0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455.0</v>
      </c>
      <c r="F46" s="22" t="n">
        <f>455</f>
        <v>455.0</v>
      </c>
      <c r="G46" s="21" t="n">
        <v>3.5308E9</v>
      </c>
      <c r="H46" s="22" t="n">
        <f>3530800000</f>
        <v>3.5308E9</v>
      </c>
    </row>
    <row r="47" spans="1:8" ht="24.9" customHeight="1">
      <c r="A47" s="51"/>
      <c r="B47" s="57"/>
      <c r="C47" s="39"/>
      <c r="D47" s="24" t="s">
        <v>18</v>
      </c>
      <c r="E47" s="25" t="n">
        <v>470.0</v>
      </c>
      <c r="F47" s="26" t="n">
        <f>469</f>
        <v>469.0</v>
      </c>
      <c r="G47" s="25" t="n">
        <v>3.646137E9</v>
      </c>
      <c r="H47" s="26" t="n">
        <f>3638432000</f>
        <v>3.638432E9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3.0</v>
      </c>
      <c r="F48" s="18" t="n">
        <f>3</f>
        <v>3.0</v>
      </c>
      <c r="G48" s="17" t="n">
        <v>5525000.0</v>
      </c>
      <c r="H48" s="18" t="n">
        <f>5525000</f>
        <v>5525000.0</v>
      </c>
    </row>
    <row r="49" spans="1:8" ht="24.9" customHeight="1">
      <c r="A49" s="51"/>
      <c r="B49" s="57"/>
      <c r="C49" s="39"/>
      <c r="D49" s="20" t="s">
        <v>16</v>
      </c>
      <c r="E49" s="21" t="n">
        <v>97.0</v>
      </c>
      <c r="F49" s="22" t="n">
        <f>0</f>
        <v>0.0</v>
      </c>
      <c r="G49" s="21" t="n">
        <v>1.8006E8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141.0</v>
      </c>
      <c r="F50" s="22" t="n">
        <f>96</f>
        <v>96.0</v>
      </c>
      <c r="G50" s="21" t="n">
        <v>2.6320675E8</v>
      </c>
      <c r="H50" s="22" t="n">
        <f>179231250</f>
        <v>1.7923125E8</v>
      </c>
    </row>
    <row r="51" spans="1:8" ht="24.9" customHeight="1">
      <c r="A51" s="51"/>
      <c r="B51" s="57"/>
      <c r="C51" s="39"/>
      <c r="D51" s="24" t="s">
        <v>18</v>
      </c>
      <c r="E51" s="25" t="n">
        <v>241.0</v>
      </c>
      <c r="F51" s="26" t="n">
        <f>99</f>
        <v>99.0</v>
      </c>
      <c r="G51" s="25" t="n">
        <v>4.4879175E8</v>
      </c>
      <c r="H51" s="26" t="n">
        <f>184756250</f>
        <v>1.8475625E8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710.0</v>
      </c>
      <c r="F56" s="18" t="n">
        <f>20</f>
        <v>20.0</v>
      </c>
      <c r="G56" s="17" t="n">
        <v>4.812133E8</v>
      </c>
      <c r="H56" s="18" t="n">
        <f>13537300</f>
        <v>1.35373E7</v>
      </c>
    </row>
    <row r="57" spans="1:8" ht="24.9" customHeight="1">
      <c r="A57" s="51"/>
      <c r="B57" s="57"/>
      <c r="C57" s="39"/>
      <c r="D57" s="20" t="s">
        <v>16</v>
      </c>
      <c r="E57" s="21" t="n">
        <v>588.0</v>
      </c>
      <c r="F57" s="22" t="n">
        <f>20</f>
        <v>20.0</v>
      </c>
      <c r="G57" s="21" t="n">
        <v>3.982359E8</v>
      </c>
      <c r="H57" s="22" t="n">
        <f>13567900</f>
        <v>1.35679E7</v>
      </c>
    </row>
    <row r="58" spans="1:8" ht="24.9" customHeight="1">
      <c r="A58" s="51"/>
      <c r="B58" s="57"/>
      <c r="C58" s="39"/>
      <c r="D58" s="20" t="s">
        <v>17</v>
      </c>
      <c r="E58" s="21" t="n">
        <v>615.0</v>
      </c>
      <c r="F58" s="22" t="n">
        <f>31</f>
        <v>31.0</v>
      </c>
      <c r="G58" s="21" t="n">
        <v>4.2049956E8</v>
      </c>
      <c r="H58" s="22" t="n">
        <f>21376560</f>
        <v>2.137656E7</v>
      </c>
    </row>
    <row r="59" spans="1:8" ht="24.9" customHeight="1">
      <c r="A59" s="51"/>
      <c r="B59" s="57"/>
      <c r="C59" s="39"/>
      <c r="D59" s="24" t="s">
        <v>18</v>
      </c>
      <c r="E59" s="25" t="n">
        <v>1913.0</v>
      </c>
      <c r="F59" s="26" t="n">
        <f>71</f>
        <v>71.0</v>
      </c>
      <c r="G59" s="25" t="n">
        <v>1.29994876E9</v>
      </c>
      <c r="H59" s="26" t="n">
        <f>48481760</f>
        <v>4.848176E7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245.0</v>
      </c>
      <c r="F60" s="18" t="n">
        <f>7</f>
        <v>7.0</v>
      </c>
      <c r="G60" s="17" t="n">
        <v>1.27687399E9</v>
      </c>
      <c r="H60" s="18" t="n">
        <f>36510490</f>
        <v>3.651049E7</v>
      </c>
    </row>
    <row r="61" spans="1:8" ht="24.9" customHeight="1">
      <c r="A61" s="51"/>
      <c r="B61" s="57"/>
      <c r="C61" s="39"/>
      <c r="D61" s="20" t="s">
        <v>16</v>
      </c>
      <c r="E61" s="21" t="n">
        <v>20.0</v>
      </c>
      <c r="F61" s="22" t="n">
        <f>0</f>
        <v>0.0</v>
      </c>
      <c r="G61" s="21" t="n">
        <v>1.048716E8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12.0</v>
      </c>
      <c r="F62" s="22" t="n">
        <f>0</f>
        <v>0.0</v>
      </c>
      <c r="G62" s="21" t="n">
        <v>6.29846E7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277.0</v>
      </c>
      <c r="F63" s="26" t="n">
        <f>7</f>
        <v>7.0</v>
      </c>
      <c r="G63" s="25" t="n">
        <v>1.44473019E9</v>
      </c>
      <c r="H63" s="26" t="n">
        <f>36510490</f>
        <v>3.651049E7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3.0</v>
      </c>
      <c r="F77" s="22" t="n">
        <f>0</f>
        <v>0.0</v>
      </c>
      <c r="G77" s="21" t="n">
        <v>1137000.0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2.0</v>
      </c>
      <c r="F78" s="22" t="n">
        <f>0</f>
        <v>0.0</v>
      </c>
      <c r="G78" s="21" t="n">
        <v>755500.0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5.0</v>
      </c>
      <c r="F79" s="26" t="n">
        <f>0</f>
        <v>0.0</v>
      </c>
      <c r="G79" s="25" t="n">
        <v>1892500.0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15.0</v>
      </c>
      <c r="F92" s="18" t="n">
        <f>0</f>
        <v>0.0</v>
      </c>
      <c r="G92" s="17" t="n">
        <v>2.44618E7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34.0</v>
      </c>
      <c r="F93" s="22" t="n">
        <f>0</f>
        <v>0.0</v>
      </c>
      <c r="G93" s="21" t="n">
        <v>5.54022E7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6.0</v>
      </c>
      <c r="F94" s="22" t="n">
        <f>0</f>
        <v>0.0</v>
      </c>
      <c r="G94" s="21" t="n">
        <v>9770400.0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55.0</v>
      </c>
      <c r="F95" s="26" t="n">
        <f>0</f>
        <v>0.0</v>
      </c>
      <c r="G95" s="25" t="n">
        <v>8.96344E7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94.0</v>
      </c>
      <c r="F96" s="18" t="n">
        <f>0</f>
        <v>0.0</v>
      </c>
      <c r="G96" s="17" t="n">
        <v>2.271154E8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94.0</v>
      </c>
      <c r="F99" s="26" t="n">
        <f>0</f>
        <v>0.0</v>
      </c>
      <c r="G99" s="25" t="n">
        <v>2.271154E8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9125.0</v>
      </c>
      <c r="F108" s="18" t="n">
        <f>504</f>
        <v>504.0</v>
      </c>
      <c r="G108" s="17" t="n">
        <v>1.15855199E12</v>
      </c>
      <c r="H108" s="18" t="n">
        <f>63934720000</f>
        <v>6.393472E10</v>
      </c>
    </row>
    <row r="109" spans="1:8" ht="24.9" customHeight="1">
      <c r="A109" s="51"/>
      <c r="B109" s="57"/>
      <c r="C109" s="39"/>
      <c r="D109" s="20" t="s">
        <v>16</v>
      </c>
      <c r="E109" s="21" t="n">
        <v>10745.0</v>
      </c>
      <c r="F109" s="22" t="n">
        <f>249</f>
        <v>249.0</v>
      </c>
      <c r="G109" s="21" t="n">
        <v>1.367051815E12</v>
      </c>
      <c r="H109" s="22" t="n">
        <f>31688105000</f>
        <v>3.1688105E10</v>
      </c>
    </row>
    <row r="110" spans="1:8" ht="24.9" customHeight="1">
      <c r="A110" s="51"/>
      <c r="B110" s="57"/>
      <c r="C110" s="39"/>
      <c r="D110" s="20" t="s">
        <v>17</v>
      </c>
      <c r="E110" s="21" t="n">
        <v>10195.0</v>
      </c>
      <c r="F110" s="22" t="n">
        <f>532</f>
        <v>532.0</v>
      </c>
      <c r="G110" s="21" t="n">
        <v>1.296925255E12</v>
      </c>
      <c r="H110" s="22" t="n">
        <f>67691185000</f>
        <v>6.7691185E10</v>
      </c>
    </row>
    <row r="111" spans="1:8" ht="24.9" customHeight="1">
      <c r="A111" s="51"/>
      <c r="B111" s="57"/>
      <c r="C111" s="39"/>
      <c r="D111" s="24" t="s">
        <v>18</v>
      </c>
      <c r="E111" s="25" t="n">
        <v>30065.0</v>
      </c>
      <c r="F111" s="26" t="n">
        <f>1285</f>
        <v>1285.0</v>
      </c>
      <c r="G111" s="25" t="n">
        <v>3.82252906E12</v>
      </c>
      <c r="H111" s="26" t="n">
        <f>163314010000</f>
        <v>1.6331401E11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632.0</v>
      </c>
      <c r="F113" s="22" t="n">
        <f>0</f>
        <v>0.0</v>
      </c>
      <c r="G113" s="21" t="n">
        <v>8.040816E9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678.0</v>
      </c>
      <c r="F114" s="22" t="n">
        <f>0</f>
        <v>0.0</v>
      </c>
      <c r="G114" s="21" t="n">
        <v>8.625776E9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1310.0</v>
      </c>
      <c r="F115" s="26" t="n">
        <f>0</f>
        <v>0.0</v>
      </c>
      <c r="G115" s="25" t="n">
        <v>1.6666592E10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50.0</v>
      </c>
      <c r="F118" s="22" t="n">
        <f>0</f>
        <v>0.0</v>
      </c>
      <c r="G118" s="21" t="n">
        <v>4.5335E8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50.0</v>
      </c>
      <c r="F119" s="26" t="n">
        <f>0</f>
        <v>0.0</v>
      </c>
      <c r="G119" s="25" t="n">
        <v>4.5335E8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11441.0</v>
      </c>
      <c r="F120" s="18" t="n">
        <f>0</f>
        <v>0.0</v>
      </c>
      <c r="G120" s="17" t="n">
        <v>2.82268589375E11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2032.0</v>
      </c>
      <c r="F121" s="22" t="n">
        <f>0</f>
        <v>0.0</v>
      </c>
      <c r="G121" s="21" t="n">
        <v>5.006669875E10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222.0</v>
      </c>
      <c r="F122" s="22" t="n">
        <f>0</f>
        <v>0.0</v>
      </c>
      <c r="G122" s="21" t="n">
        <v>5.487888125E9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13695.0</v>
      </c>
      <c r="F123" s="26" t="n">
        <f>0</f>
        <v>0.0</v>
      </c>
      <c r="G123" s="25" t="n">
        <v>3.3782317625E11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3683.0</v>
      </c>
      <c r="F124" s="18" t="n">
        <f>0</f>
        <v>0.0</v>
      </c>
      <c r="G124" s="17" t="n">
        <v>8.0550077E10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3535.0</v>
      </c>
      <c r="F125" s="22" t="n">
        <f>0</f>
        <v>0.0</v>
      </c>
      <c r="G125" s="21" t="n">
        <v>7.7932228E10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1783.0</v>
      </c>
      <c r="F126" s="22" t="n">
        <f>10</f>
        <v>10.0</v>
      </c>
      <c r="G126" s="21" t="n">
        <v>3.9257791E10</v>
      </c>
      <c r="H126" s="22" t="n">
        <f>220780000</f>
        <v>2.2078E8</v>
      </c>
    </row>
    <row r="127" spans="1:8" ht="24.9" customHeight="1">
      <c r="A127" s="51"/>
      <c r="B127" s="57"/>
      <c r="C127" s="39"/>
      <c r="D127" s="24" t="s">
        <v>18</v>
      </c>
      <c r="E127" s="25" t="n">
        <v>9001.0</v>
      </c>
      <c r="F127" s="26" t="n">
        <f>10</f>
        <v>10.0</v>
      </c>
      <c r="G127" s="25" t="n">
        <v>1.97740096E11</v>
      </c>
      <c r="H127" s="26" t="n">
        <f>220780000</f>
        <v>2.2078E8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113.0</v>
      </c>
      <c r="F128" s="18" t="n">
        <f>0</f>
        <v>0.0</v>
      </c>
      <c r="G128" s="17" t="n">
        <v>2.458258E8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65.0</v>
      </c>
      <c r="F129" s="22" t="n">
        <f>0</f>
        <v>0.0</v>
      </c>
      <c r="G129" s="21" t="n">
        <v>1.427109E8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18.0</v>
      </c>
      <c r="F130" s="22" t="n">
        <f>0</f>
        <v>0.0</v>
      </c>
      <c r="G130" s="21" t="n">
        <v>3.95045E7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196.0</v>
      </c>
      <c r="F131" s="26" t="n">
        <f>0</f>
        <v>0.0</v>
      </c>
      <c r="G131" s="25" t="n">
        <v>4.280412E8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4419.0</v>
      </c>
      <c r="F132" s="18" t="n">
        <f>0</f>
        <v>0.0</v>
      </c>
      <c r="G132" s="17" t="n">
        <v>9.6632703E9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1918.0</v>
      </c>
      <c r="F133" s="22" t="n">
        <f>0</f>
        <v>0.0</v>
      </c>
      <c r="G133" s="21" t="n">
        <v>4.2345599E9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1232.0</v>
      </c>
      <c r="F134" s="22" t="n">
        <f>0</f>
        <v>0.0</v>
      </c>
      <c r="G134" s="21" t="n">
        <v>2.7145085E9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7569.0</v>
      </c>
      <c r="F135" s="26" t="n">
        <f>0</f>
        <v>0.0</v>
      </c>
      <c r="G135" s="25" t="n">
        <v>1.66123387E10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32.0</v>
      </c>
      <c r="F136" s="18" t="n">
        <f>0</f>
        <v>0.0</v>
      </c>
      <c r="G136" s="17" t="n">
        <v>6.92171E7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26.0</v>
      </c>
      <c r="F137" s="22" t="n">
        <f>0</f>
        <v>0.0</v>
      </c>
      <c r="G137" s="21" t="n">
        <v>5.67075E7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18.0</v>
      </c>
      <c r="F138" s="22" t="n">
        <f>0</f>
        <v>0.0</v>
      </c>
      <c r="G138" s="21" t="n">
        <v>3.91664E7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76.0</v>
      </c>
      <c r="F139" s="26" t="n">
        <f>0</f>
        <v>0.0</v>
      </c>
      <c r="G139" s="25" t="n">
        <v>1.65091E8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456.0</v>
      </c>
      <c r="F144" s="18" t="n">
        <f>0</f>
        <v>0.0</v>
      </c>
      <c r="G144" s="17" t="n">
        <v>1.883515E9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508.0</v>
      </c>
      <c r="F145" s="22" t="n">
        <f>0</f>
        <v>0.0</v>
      </c>
      <c r="G145" s="21" t="n">
        <v>2.134724E9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440.0</v>
      </c>
      <c r="F146" s="22" t="n">
        <f>0</f>
        <v>0.0</v>
      </c>
      <c r="G146" s="21" t="n">
        <v>1.8520845E9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1404.0</v>
      </c>
      <c r="F147" s="26" t="n">
        <f>0</f>
        <v>0.0</v>
      </c>
      <c r="G147" s="25" t="n">
        <v>5.8703235E9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28.0</v>
      </c>
      <c r="F148" s="18" t="n">
        <f>0</f>
        <v>0.0</v>
      </c>
      <c r="G148" s="17" t="n">
        <v>2.37928E7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127.0</v>
      </c>
      <c r="F149" s="22" t="n">
        <f>0</f>
        <v>0.0</v>
      </c>
      <c r="G149" s="21" t="n">
        <v>1.090529E8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28.0</v>
      </c>
      <c r="F150" s="22" t="n">
        <f>0</f>
        <v>0.0</v>
      </c>
      <c r="G150" s="21" t="n">
        <v>2.4091E7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183.0</v>
      </c>
      <c r="F151" s="26" t="n">
        <f>0</f>
        <v>0.0</v>
      </c>
      <c r="G151" s="25" t="n">
        <v>1.569367E8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343.0</v>
      </c>
      <c r="F152" s="18" t="n">
        <f>0</f>
        <v>0.0</v>
      </c>
      <c r="G152" s="17" t="n">
        <v>2.831165E8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201.0</v>
      </c>
      <c r="F153" s="22" t="n">
        <f>0</f>
        <v>0.0</v>
      </c>
      <c r="G153" s="21" t="n">
        <v>1.685255E8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275.0</v>
      </c>
      <c r="F154" s="22" t="n">
        <f>0</f>
        <v>0.0</v>
      </c>
      <c r="G154" s="21" t="n">
        <v>2.3062475E8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819.0</v>
      </c>
      <c r="F155" s="26" t="n">
        <f>0</f>
        <v>0.0</v>
      </c>
      <c r="G155" s="25" t="n">
        <v>6.8226675E8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90.0</v>
      </c>
      <c r="F156" s="18" t="n">
        <f>0</f>
        <v>0.0</v>
      </c>
      <c r="G156" s="17" t="n">
        <v>7.41758E7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189.0</v>
      </c>
      <c r="F157" s="22" t="n">
        <f>0</f>
        <v>0.0</v>
      </c>
      <c r="G157" s="21" t="n">
        <v>1.585724E8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692.0</v>
      </c>
      <c r="F158" s="22" t="n">
        <f>0</f>
        <v>0.0</v>
      </c>
      <c r="G158" s="21" t="n">
        <v>5.828541E8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971.0</v>
      </c>
      <c r="F159" s="26" t="n">
        <f>0</f>
        <v>0.0</v>
      </c>
      <c r="G159" s="25" t="n">
        <v>8.156023E8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27.0</v>
      </c>
      <c r="F168" s="18" t="n">
        <f>0</f>
        <v>0.0</v>
      </c>
      <c r="G168" s="17" t="n">
        <v>5.6309E7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231.0</v>
      </c>
      <c r="F169" s="22" t="n">
        <f>16</f>
        <v>16.0</v>
      </c>
      <c r="G169" s="21" t="n">
        <v>4.79675E8</v>
      </c>
      <c r="H169" s="22" t="n">
        <f>33014000</f>
        <v>3.3014E7</v>
      </c>
    </row>
    <row r="170" spans="1:8" ht="24.9" customHeight="1">
      <c r="A170" s="51"/>
      <c r="B170" s="57"/>
      <c r="C170" s="39"/>
      <c r="D170" s="20" t="s">
        <v>17</v>
      </c>
      <c r="E170" s="21" t="n">
        <v>154.0</v>
      </c>
      <c r="F170" s="22" t="n">
        <f>0</f>
        <v>0.0</v>
      </c>
      <c r="G170" s="21" t="n">
        <v>3.207355E8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412.0</v>
      </c>
      <c r="F171" s="26" t="n">
        <f>16</f>
        <v>16.0</v>
      </c>
      <c r="G171" s="25" t="n">
        <v>8.567195E8</v>
      </c>
      <c r="H171" s="26" t="n">
        <f>33014000</f>
        <v>3.3014E7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0.0</v>
      </c>
      <c r="F179" s="26" t="n">
        <f>0</f>
        <v>0.0</v>
      </c>
      <c r="G179" s="25" t="n">
        <v>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507.0</v>
      </c>
      <c r="F204" s="18" t="n">
        <f>0</f>
        <v>0.0</v>
      </c>
      <c r="G204" s="17" t="n">
        <v>2.052134E9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224.0</v>
      </c>
      <c r="F205" s="22" t="n">
        <f>0</f>
        <v>0.0</v>
      </c>
      <c r="G205" s="21" t="n">
        <v>8.735595E8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2184.0</v>
      </c>
      <c r="F206" s="22" t="n">
        <f>0</f>
        <v>0.0</v>
      </c>
      <c r="G206" s="21" t="n">
        <v>8.438092E9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2915.0</v>
      </c>
      <c r="F207" s="26" t="n">
        <f>0</f>
        <v>0.0</v>
      </c>
      <c r="G207" s="25" t="n">
        <v>1.13637855E10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100.0</v>
      </c>
      <c r="F210" s="22" t="n">
        <f>100</f>
        <v>100.0</v>
      </c>
      <c r="G210" s="21" t="n">
        <v>1.581E8</v>
      </c>
      <c r="H210" s="22" t="n">
        <f>158100000</f>
        <v>1.581E8</v>
      </c>
    </row>
    <row r="211" spans="1:8" ht="24.9" customHeight="1">
      <c r="A211" s="57"/>
      <c r="B211" s="59"/>
      <c r="C211" s="39"/>
      <c r="D211" s="24" t="s">
        <v>18</v>
      </c>
      <c r="E211" s="25" t="n">
        <v>100.0</v>
      </c>
      <c r="F211" s="26" t="n">
        <f>100</f>
        <v>100.0</v>
      </c>
      <c r="G211" s="25" t="n">
        <v>1.581E8</v>
      </c>
      <c r="H211" s="26" t="n">
        <f>158100000</f>
        <v>1.581E8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46230.0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46230.0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6989</f>
        <v>6989.0</v>
      </c>
      <c r="E12" s="35" t="n">
        <f>5549</f>
        <v>5549.0</v>
      </c>
      <c r="F12" s="17" t="n">
        <f>4259</f>
        <v>4259.0</v>
      </c>
      <c r="G12" s="35" t="n">
        <f>3365</f>
        <v>3365.0</v>
      </c>
      <c r="H12" s="17" t="n">
        <f>11248</f>
        <v>11248.0</v>
      </c>
      <c r="I12" s="35" t="n">
        <f>8914</f>
        <v>8914.0</v>
      </c>
      <c r="J12" s="17" t="n">
        <f>9576400680</f>
        <v>9.57640068E9</v>
      </c>
      <c r="K12" s="35" t="n">
        <f>8544014680</f>
        <v>8.54401468E9</v>
      </c>
      <c r="L12" s="17" t="n">
        <f>2796593750</f>
        <v>2.79659375E9</v>
      </c>
      <c r="M12" s="35" t="n">
        <f>2360213750</f>
        <v>2.36021375E9</v>
      </c>
      <c r="N12" s="17" t="n">
        <f>12372994430</f>
        <v>1.237299443E10</v>
      </c>
      <c r="O12" s="35" t="n">
        <f>10904228430</f>
        <v>1.090422843E10</v>
      </c>
    </row>
    <row r="13" spans="1:15" ht="24.9" customHeight="1">
      <c r="A13" s="38"/>
      <c r="B13" s="62"/>
      <c r="C13" s="20" t="s">
        <v>16</v>
      </c>
      <c r="D13" s="21" t="n">
        <f>4145</f>
        <v>4145.0</v>
      </c>
      <c r="E13" s="36" t="n">
        <f>2357</f>
        <v>2357.0</v>
      </c>
      <c r="F13" s="21" t="n">
        <f>2797</f>
        <v>2797.0</v>
      </c>
      <c r="G13" s="36" t="n">
        <f>961</f>
        <v>961.0</v>
      </c>
      <c r="H13" s="21" t="n">
        <f>6942</f>
        <v>6942.0</v>
      </c>
      <c r="I13" s="36" t="n">
        <f>3318</f>
        <v>3318.0</v>
      </c>
      <c r="J13" s="21" t="n">
        <f>5611309530</f>
        <v>5.61130953E9</v>
      </c>
      <c r="K13" s="36" t="n">
        <f>4530439530</f>
        <v>4.53043953E9</v>
      </c>
      <c r="L13" s="21" t="n">
        <f>2788074380</f>
        <v>2.78807438E9</v>
      </c>
      <c r="M13" s="36" t="n">
        <f>1823224380</f>
        <v>1.82322438E9</v>
      </c>
      <c r="N13" s="21" t="n">
        <f>8399383910</f>
        <v>8.39938391E9</v>
      </c>
      <c r="O13" s="36" t="n">
        <f>6353663910</f>
        <v>6.35366391E9</v>
      </c>
    </row>
    <row r="14" spans="1:15" ht="24.9" customHeight="1">
      <c r="A14" s="38"/>
      <c r="B14" s="62"/>
      <c r="C14" s="20" t="s">
        <v>17</v>
      </c>
      <c r="D14" s="21" t="n">
        <f>10014</f>
        <v>10014.0</v>
      </c>
      <c r="E14" s="36" t="n">
        <f>7792</f>
        <v>7792.0</v>
      </c>
      <c r="F14" s="21" t="n">
        <f>3547</f>
        <v>3547.0</v>
      </c>
      <c r="G14" s="36" t="n">
        <f>2249</f>
        <v>2249.0</v>
      </c>
      <c r="H14" s="21" t="n">
        <f>13561</f>
        <v>13561.0</v>
      </c>
      <c r="I14" s="36" t="n">
        <f>10041</f>
        <v>10041.0</v>
      </c>
      <c r="J14" s="21" t="n">
        <f>18546312920</f>
        <v>1.854631292E10</v>
      </c>
      <c r="K14" s="36" t="n">
        <f>17520449920</f>
        <v>1.752044992E10</v>
      </c>
      <c r="L14" s="21" t="n">
        <f>7579408800</f>
        <v>7.5794088E9</v>
      </c>
      <c r="M14" s="36" t="n">
        <f>6778400800</f>
        <v>6.7784008E9</v>
      </c>
      <c r="N14" s="21" t="n">
        <f>26125721720</f>
        <v>2.612572172E10</v>
      </c>
      <c r="O14" s="36" t="n">
        <f>24298850720</f>
        <v>2.429885072E10</v>
      </c>
    </row>
    <row r="15" spans="1:15" ht="24.9" customHeight="1">
      <c r="A15" s="38"/>
      <c r="B15" s="62"/>
      <c r="C15" s="24" t="s">
        <v>18</v>
      </c>
      <c r="D15" s="25" t="n">
        <f>21148</f>
        <v>21148.0</v>
      </c>
      <c r="E15" s="37" t="n">
        <f>15698</f>
        <v>15698.0</v>
      </c>
      <c r="F15" s="25" t="n">
        <f>10603</f>
        <v>10603.0</v>
      </c>
      <c r="G15" s="37" t="n">
        <f>6575</f>
        <v>6575.0</v>
      </c>
      <c r="H15" s="25" t="n">
        <f>31751</f>
        <v>31751.0</v>
      </c>
      <c r="I15" s="37" t="n">
        <f>22273</f>
        <v>22273.0</v>
      </c>
      <c r="J15" s="25" t="n">
        <f>33734023130</f>
        <v>3.373402313E10</v>
      </c>
      <c r="K15" s="37" t="n">
        <f>30594904130</f>
        <v>3.059490413E10</v>
      </c>
      <c r="L15" s="25" t="n">
        <f>13164076930</f>
        <v>1.316407693E10</v>
      </c>
      <c r="M15" s="37" t="n">
        <f>10961838930</f>
        <v>1.096183893E10</v>
      </c>
      <c r="N15" s="25" t="n">
        <f>46898100060</f>
        <v>4.689810006E10</v>
      </c>
      <c r="O15" s="37" t="n">
        <f>41556743060</f>
        <v>4.155674306E10</v>
      </c>
    </row>
    <row r="16" spans="1:15" ht="24.9" customHeight="1">
      <c r="A16" s="38"/>
      <c r="B16" s="61" t="s">
        <v>105</v>
      </c>
      <c r="C16" s="16" t="s">
        <v>15</v>
      </c>
      <c r="D16" s="17" t="n">
        <f>5423</f>
        <v>5423.0</v>
      </c>
      <c r="E16" s="35" t="n">
        <f>140</f>
        <v>140.0</v>
      </c>
      <c r="F16" s="17" t="n">
        <f>7140</f>
        <v>7140.0</v>
      </c>
      <c r="G16" s="35" t="n">
        <f>780</f>
        <v>780.0</v>
      </c>
      <c r="H16" s="17" t="n">
        <f>12563</f>
        <v>12563.0</v>
      </c>
      <c r="I16" s="35" t="n">
        <f>920</f>
        <v>920.0</v>
      </c>
      <c r="J16" s="17" t="n">
        <f>434235040</f>
        <v>4.3423504E8</v>
      </c>
      <c r="K16" s="35" t="n">
        <f>13042040</f>
        <v>1.304204E7</v>
      </c>
      <c r="L16" s="17" t="n">
        <f>285905130</f>
        <v>2.8590513E8</v>
      </c>
      <c r="M16" s="35" t="n">
        <f>15442530</f>
        <v>1.544253E7</v>
      </c>
      <c r="N16" s="17" t="n">
        <f>720140170</f>
        <v>7.2014017E8</v>
      </c>
      <c r="O16" s="35" t="n">
        <f>28484570</f>
        <v>2.848457E7</v>
      </c>
    </row>
    <row r="17" spans="1:15" ht="24.9" customHeight="1">
      <c r="A17" s="38"/>
      <c r="B17" s="62"/>
      <c r="C17" s="20" t="s">
        <v>16</v>
      </c>
      <c r="D17" s="21" t="n">
        <f>5698</f>
        <v>5698.0</v>
      </c>
      <c r="E17" s="36" t="n">
        <f>340</f>
        <v>340.0</v>
      </c>
      <c r="F17" s="21" t="n">
        <f>8977</f>
        <v>8977.0</v>
      </c>
      <c r="G17" s="36" t="n">
        <f>610</f>
        <v>610.0</v>
      </c>
      <c r="H17" s="21" t="n">
        <f>14675</f>
        <v>14675.0</v>
      </c>
      <c r="I17" s="36" t="n">
        <f>950</f>
        <v>950.0</v>
      </c>
      <c r="J17" s="21" t="n">
        <f>339499900</f>
        <v>3.394999E8</v>
      </c>
      <c r="K17" s="36" t="n">
        <f>21747800</f>
        <v>2.17478E7</v>
      </c>
      <c r="L17" s="21" t="n">
        <f>280508000</f>
        <v>2.80508E8</v>
      </c>
      <c r="M17" s="36" t="n">
        <f>8776400</f>
        <v>8776400.0</v>
      </c>
      <c r="N17" s="21" t="n">
        <f>620007900</f>
        <v>6.200079E8</v>
      </c>
      <c r="O17" s="36" t="n">
        <f>30524200</f>
        <v>3.05242E7</v>
      </c>
    </row>
    <row r="18" spans="1:15" ht="24.9" customHeight="1">
      <c r="A18" s="38"/>
      <c r="B18" s="62"/>
      <c r="C18" s="20" t="s">
        <v>17</v>
      </c>
      <c r="D18" s="21" t="n">
        <f>3957</f>
        <v>3957.0</v>
      </c>
      <c r="E18" s="36" t="n">
        <f>160</f>
        <v>160.0</v>
      </c>
      <c r="F18" s="21" t="n">
        <f>5209</f>
        <v>5209.0</v>
      </c>
      <c r="G18" s="36" t="n">
        <f>270</f>
        <v>270.0</v>
      </c>
      <c r="H18" s="21" t="n">
        <f>9166</f>
        <v>9166.0</v>
      </c>
      <c r="I18" s="36" t="n">
        <f>430</f>
        <v>430.0</v>
      </c>
      <c r="J18" s="21" t="n">
        <f>197127860</f>
        <v>1.9712786E8</v>
      </c>
      <c r="K18" s="36" t="n">
        <f>5998560</f>
        <v>5998560.0</v>
      </c>
      <c r="L18" s="21" t="n">
        <f>161451550</f>
        <v>1.6145155E8</v>
      </c>
      <c r="M18" s="36" t="n">
        <f>1985950</f>
        <v>1985950.0</v>
      </c>
      <c r="N18" s="21" t="n">
        <f>358579410</f>
        <v>3.5857941E8</v>
      </c>
      <c r="O18" s="36" t="n">
        <f>7984510</f>
        <v>7984510.0</v>
      </c>
    </row>
    <row r="19" spans="1:15" ht="24.9" customHeight="1">
      <c r="A19" s="38"/>
      <c r="B19" s="62"/>
      <c r="C19" s="24" t="s">
        <v>18</v>
      </c>
      <c r="D19" s="25" t="n">
        <f>15078</f>
        <v>15078.0</v>
      </c>
      <c r="E19" s="37" t="n">
        <f>640</f>
        <v>640.0</v>
      </c>
      <c r="F19" s="25" t="n">
        <f>21326</f>
        <v>21326.0</v>
      </c>
      <c r="G19" s="37" t="n">
        <f>1660</f>
        <v>1660.0</v>
      </c>
      <c r="H19" s="25" t="n">
        <f>36404</f>
        <v>36404.0</v>
      </c>
      <c r="I19" s="37" t="n">
        <f>2300</f>
        <v>2300.0</v>
      </c>
      <c r="J19" s="25" t="n">
        <f>970862800</f>
        <v>9.708628E8</v>
      </c>
      <c r="K19" s="37" t="n">
        <f>40788400</f>
        <v>4.07884E7</v>
      </c>
      <c r="L19" s="25" t="n">
        <f>727864680</f>
        <v>7.2786468E8</v>
      </c>
      <c r="M19" s="37" t="n">
        <f>26204880</f>
        <v>2.620488E7</v>
      </c>
      <c r="N19" s="25" t="n">
        <f>1698727480</f>
        <v>1.69872748E9</v>
      </c>
      <c r="O19" s="37" t="n">
        <f>66993280</f>
        <v>6.699328E7</v>
      </c>
    </row>
    <row r="20" spans="1:15" ht="24.9" customHeight="1">
      <c r="A20" s="38"/>
      <c r="B20" s="61" t="s">
        <v>106</v>
      </c>
      <c r="C20" s="16" t="s">
        <v>15</v>
      </c>
      <c r="D20" s="17" t="n">
        <f>39</f>
        <v>39.0</v>
      </c>
      <c r="E20" s="35" t="n">
        <f>39</f>
        <v>39.0</v>
      </c>
      <c r="F20" s="17" t="n">
        <f>0</f>
        <v>0.0</v>
      </c>
      <c r="G20" s="35" t="n">
        <f>0</f>
        <v>0.0</v>
      </c>
      <c r="H20" s="17" t="n">
        <f>39</f>
        <v>39.0</v>
      </c>
      <c r="I20" s="35" t="n">
        <f>39</f>
        <v>39.0</v>
      </c>
      <c r="J20" s="17" t="n">
        <f>18913082</f>
        <v>1.8913082E7</v>
      </c>
      <c r="K20" s="35" t="n">
        <f>18913082</f>
        <v>1.8913082E7</v>
      </c>
      <c r="L20" s="17" t="n">
        <f>0</f>
        <v>0.0</v>
      </c>
      <c r="M20" s="35" t="n">
        <f>0</f>
        <v>0.0</v>
      </c>
      <c r="N20" s="17" t="n">
        <f>18913082</f>
        <v>1.8913082E7</v>
      </c>
      <c r="O20" s="35" t="n">
        <f>18913082</f>
        <v>1.8913082E7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200</f>
        <v>200.0</v>
      </c>
      <c r="G21" s="36" t="n">
        <f>200</f>
        <v>200.0</v>
      </c>
      <c r="H21" s="21" t="n">
        <f>200</f>
        <v>200.0</v>
      </c>
      <c r="I21" s="36" t="n">
        <f>200</f>
        <v>200.0</v>
      </c>
      <c r="J21" s="21" t="n">
        <f>0</f>
        <v>0.0</v>
      </c>
      <c r="K21" s="36" t="n">
        <f>0</f>
        <v>0.0</v>
      </c>
      <c r="L21" s="21" t="n">
        <f>172700000</f>
        <v>1.727E8</v>
      </c>
      <c r="M21" s="36" t="n">
        <f>172700000</f>
        <v>1.727E8</v>
      </c>
      <c r="N21" s="21" t="n">
        <f>172700000</f>
        <v>1.727E8</v>
      </c>
      <c r="O21" s="36" t="n">
        <f>172700000</f>
        <v>1.727E8</v>
      </c>
    </row>
    <row r="22" spans="1:15" ht="24.9" customHeight="1">
      <c r="A22" s="38"/>
      <c r="B22" s="62"/>
      <c r="C22" s="20" t="s">
        <v>17</v>
      </c>
      <c r="D22" s="21" t="n">
        <f>1130</f>
        <v>1130.0</v>
      </c>
      <c r="E22" s="36" t="n">
        <f>1130</f>
        <v>1130.0</v>
      </c>
      <c r="F22" s="21" t="n">
        <f>0</f>
        <v>0.0</v>
      </c>
      <c r="G22" s="36" t="n">
        <f>0</f>
        <v>0.0</v>
      </c>
      <c r="H22" s="21" t="n">
        <f>1130</f>
        <v>1130.0</v>
      </c>
      <c r="I22" s="36" t="n">
        <f>1130</f>
        <v>1130.0</v>
      </c>
      <c r="J22" s="21" t="n">
        <f>1091770000</f>
        <v>1.09177E9</v>
      </c>
      <c r="K22" s="36" t="n">
        <f>1091770000</f>
        <v>1.09177E9</v>
      </c>
      <c r="L22" s="21" t="n">
        <f>0</f>
        <v>0.0</v>
      </c>
      <c r="M22" s="36" t="n">
        <f>0</f>
        <v>0.0</v>
      </c>
      <c r="N22" s="21" t="n">
        <f>1091770000</f>
        <v>1.09177E9</v>
      </c>
      <c r="O22" s="36" t="n">
        <f>1091770000</f>
        <v>1.09177E9</v>
      </c>
    </row>
    <row r="23" spans="1:15" ht="24.9" customHeight="1">
      <c r="A23" s="38"/>
      <c r="B23" s="62"/>
      <c r="C23" s="24" t="s">
        <v>18</v>
      </c>
      <c r="D23" s="25" t="n">
        <f>1169</f>
        <v>1169.0</v>
      </c>
      <c r="E23" s="37" t="n">
        <f>1169</f>
        <v>1169.0</v>
      </c>
      <c r="F23" s="25" t="n">
        <f>200</f>
        <v>200.0</v>
      </c>
      <c r="G23" s="37" t="n">
        <f>200</f>
        <v>200.0</v>
      </c>
      <c r="H23" s="25" t="n">
        <f>1369</f>
        <v>1369.0</v>
      </c>
      <c r="I23" s="37" t="n">
        <f>1369</f>
        <v>1369.0</v>
      </c>
      <c r="J23" s="25" t="n">
        <f>1110683082</f>
        <v>1.110683082E9</v>
      </c>
      <c r="K23" s="37" t="n">
        <f>1110683082</f>
        <v>1.110683082E9</v>
      </c>
      <c r="L23" s="25" t="n">
        <f>172700000</f>
        <v>1.727E8</v>
      </c>
      <c r="M23" s="37" t="n">
        <f>172700000</f>
        <v>1.727E8</v>
      </c>
      <c r="N23" s="25" t="n">
        <f>1283383082</f>
        <v>1.283383082E9</v>
      </c>
      <c r="O23" s="37" t="n">
        <f>1283383082</f>
        <v>1.283383082E9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30</f>
        <v>30.0</v>
      </c>
      <c r="E36" s="18" t="n">
        <f>30</f>
        <v>30.0</v>
      </c>
      <c r="F36" s="17" t="n">
        <f>0</f>
        <v>0.0</v>
      </c>
      <c r="G36" s="18" t="n">
        <f>0</f>
        <v>0.0</v>
      </c>
      <c r="H36" s="17" t="n">
        <f>30</f>
        <v>30.0</v>
      </c>
      <c r="I36" s="18" t="n">
        <f>30</f>
        <v>30.0</v>
      </c>
      <c r="J36" s="17" t="n">
        <f>8700000</f>
        <v>8700000.0</v>
      </c>
      <c r="K36" s="18" t="n">
        <f>8700000</f>
        <v>8700000.0</v>
      </c>
      <c r="L36" s="17" t="n">
        <f>0</f>
        <v>0.0</v>
      </c>
      <c r="M36" s="18" t="n">
        <f>0</f>
        <v>0.0</v>
      </c>
      <c r="N36" s="17" t="n">
        <f>8700000</f>
        <v>8700000.0</v>
      </c>
      <c r="O36" s="18" t="n">
        <f>8700000</f>
        <v>8700000.0</v>
      </c>
    </row>
    <row r="37" spans="1:15" ht="24.9" customHeight="1">
      <c r="A37" s="38"/>
      <c r="B37" s="62"/>
      <c r="C37" s="20" t="s">
        <v>16</v>
      </c>
      <c r="D37" s="21" t="n">
        <f>102</f>
        <v>102.0</v>
      </c>
      <c r="E37" s="22" t="n">
        <f>100</f>
        <v>100.0</v>
      </c>
      <c r="F37" s="21" t="n">
        <f>67</f>
        <v>67.0</v>
      </c>
      <c r="G37" s="22" t="n">
        <f>50</f>
        <v>50.0</v>
      </c>
      <c r="H37" s="21" t="n">
        <f>169</f>
        <v>169.0</v>
      </c>
      <c r="I37" s="22" t="n">
        <f>150</f>
        <v>150.0</v>
      </c>
      <c r="J37" s="21" t="n">
        <f>5580000</f>
        <v>5580000.0</v>
      </c>
      <c r="K37" s="22" t="n">
        <f>5500000</f>
        <v>5500000.0</v>
      </c>
      <c r="L37" s="21" t="n">
        <f>6600000</f>
        <v>6600000.0</v>
      </c>
      <c r="M37" s="22" t="n">
        <f>4750000</f>
        <v>4750000.0</v>
      </c>
      <c r="N37" s="21" t="n">
        <f>12180000</f>
        <v>1.218E7</v>
      </c>
      <c r="O37" s="22" t="n">
        <f>10250000</f>
        <v>1.025E7</v>
      </c>
    </row>
    <row r="38" spans="1:15" ht="24.9" customHeight="1">
      <c r="A38" s="38"/>
      <c r="B38" s="62"/>
      <c r="C38" s="20" t="s">
        <v>17</v>
      </c>
      <c r="D38" s="21" t="n">
        <f>0</f>
        <v>0.0</v>
      </c>
      <c r="E38" s="36" t="n">
        <f>0</f>
        <v>0.0</v>
      </c>
      <c r="F38" s="21" t="n">
        <f>20</f>
        <v>20.0</v>
      </c>
      <c r="G38" s="36" t="n">
        <f>0</f>
        <v>0.0</v>
      </c>
      <c r="H38" s="21" t="n">
        <f>20</f>
        <v>20.0</v>
      </c>
      <c r="I38" s="36" t="n">
        <f>0</f>
        <v>0.0</v>
      </c>
      <c r="J38" s="21" t="n">
        <f>0</f>
        <v>0.0</v>
      </c>
      <c r="K38" s="36" t="n">
        <f>0</f>
        <v>0.0</v>
      </c>
      <c r="L38" s="21" t="n">
        <f>4850000</f>
        <v>4850000.0</v>
      </c>
      <c r="M38" s="36" t="n">
        <f>0</f>
        <v>0.0</v>
      </c>
      <c r="N38" s="21" t="n">
        <f>4850000</f>
        <v>4850000.0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132</f>
        <v>132.0</v>
      </c>
      <c r="E39" s="37" t="n">
        <f>130</f>
        <v>130.0</v>
      </c>
      <c r="F39" s="25" t="n">
        <f>87</f>
        <v>87.0</v>
      </c>
      <c r="G39" s="37" t="n">
        <f>50</f>
        <v>50.0</v>
      </c>
      <c r="H39" s="25" t="n">
        <f>219</f>
        <v>219.0</v>
      </c>
      <c r="I39" s="37" t="n">
        <f>180</f>
        <v>180.0</v>
      </c>
      <c r="J39" s="25" t="n">
        <f>14280000</f>
        <v>1.428E7</v>
      </c>
      <c r="K39" s="37" t="n">
        <f>14200000</f>
        <v>1.42E7</v>
      </c>
      <c r="L39" s="25" t="n">
        <f>11450000</f>
        <v>1.145E7</v>
      </c>
      <c r="M39" s="37" t="n">
        <f>4750000</f>
        <v>4750000.0</v>
      </c>
      <c r="N39" s="25" t="n">
        <f>25730000</f>
        <v>2.573E7</v>
      </c>
      <c r="O39" s="37" t="n">
        <f>18950000</f>
        <v>1.895E7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11790</f>
        <v>11790.0</v>
      </c>
      <c r="E41" s="36" t="n">
        <f>0</f>
        <v>0.0</v>
      </c>
      <c r="F41" s="21" t="n">
        <f>12568</f>
        <v>12568.0</v>
      </c>
      <c r="G41" s="36" t="n">
        <f>0</f>
        <v>0.0</v>
      </c>
      <c r="H41" s="21" t="n">
        <f>24358</f>
        <v>24358.0</v>
      </c>
      <c r="I41" s="36" t="n">
        <f>0</f>
        <v>0.0</v>
      </c>
      <c r="J41" s="21" t="n">
        <f>59308083</f>
        <v>5.9308083E7</v>
      </c>
      <c r="K41" s="36" t="n">
        <f>0</f>
        <v>0.0</v>
      </c>
      <c r="L41" s="21" t="n">
        <f>43870230</f>
        <v>4.387023E7</v>
      </c>
      <c r="M41" s="36" t="n">
        <f>0</f>
        <v>0.0</v>
      </c>
      <c r="N41" s="21" t="n">
        <f>103178313</f>
        <v>1.03178313E8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3496</f>
        <v>3496.0</v>
      </c>
      <c r="E42" s="36" t="n">
        <f>200</f>
        <v>200.0</v>
      </c>
      <c r="F42" s="21" t="n">
        <f>1914</f>
        <v>1914.0</v>
      </c>
      <c r="G42" s="36" t="n">
        <f>202</f>
        <v>202.0</v>
      </c>
      <c r="H42" s="21" t="n">
        <f>5410</f>
        <v>5410.0</v>
      </c>
      <c r="I42" s="36" t="n">
        <f>402</f>
        <v>402.0</v>
      </c>
      <c r="J42" s="21" t="n">
        <f>58167860</f>
        <v>5.816786E7</v>
      </c>
      <c r="K42" s="36" t="n">
        <f>10620000</f>
        <v>1.062E7</v>
      </c>
      <c r="L42" s="21" t="n">
        <f>26459026</f>
        <v>2.6459026E7</v>
      </c>
      <c r="M42" s="36" t="n">
        <f>18033000</f>
        <v>1.8033E7</v>
      </c>
      <c r="N42" s="21" t="n">
        <f>84626886</f>
        <v>8.4626886E7</v>
      </c>
      <c r="O42" s="36" t="n">
        <f>28653000</f>
        <v>2.8653E7</v>
      </c>
    </row>
    <row r="43" spans="1:15" ht="24.9" customHeight="1">
      <c r="A43" s="38"/>
      <c r="B43" s="62"/>
      <c r="C43" s="24" t="s">
        <v>18</v>
      </c>
      <c r="D43" s="25" t="n">
        <f>15286</f>
        <v>15286.0</v>
      </c>
      <c r="E43" s="37" t="n">
        <f>200</f>
        <v>200.0</v>
      </c>
      <c r="F43" s="25" t="n">
        <f>14482</f>
        <v>14482.0</v>
      </c>
      <c r="G43" s="37" t="n">
        <f>202</f>
        <v>202.0</v>
      </c>
      <c r="H43" s="25" t="n">
        <f>29768</f>
        <v>29768.0</v>
      </c>
      <c r="I43" s="37" t="n">
        <f>402</f>
        <v>402.0</v>
      </c>
      <c r="J43" s="25" t="n">
        <f>117475943</f>
        <v>1.17475943E8</v>
      </c>
      <c r="K43" s="37" t="n">
        <f>10620000</f>
        <v>1.062E7</v>
      </c>
      <c r="L43" s="25" t="n">
        <f>70329256</f>
        <v>7.0329256E7</v>
      </c>
      <c r="M43" s="37" t="n">
        <f>18033000</f>
        <v>1.8033E7</v>
      </c>
      <c r="N43" s="25" t="n">
        <f>187805199</f>
        <v>1.87805199E8</v>
      </c>
      <c r="O43" s="37" t="n">
        <f>28653000</f>
        <v>2.8653E7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