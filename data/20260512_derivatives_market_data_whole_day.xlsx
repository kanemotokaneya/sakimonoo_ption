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<sst xmlns="http://schemas.openxmlformats.org/spreadsheetml/2006/main" count="528" uniqueCount="129">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</sst>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DATE(2026,05,12)</f>
        <v>46154.0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DATE(2026,05,12)</f>
        <v>46154.0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455839.0</f>
        <v>455839.0</v>
      </c>
      <c r="E12" s="18" t="n">
        <f>23257.0</f>
        <v>23257.0</v>
      </c>
      <c r="F12" s="19" t="n">
        <f>1.0</f>
        <v>1.0</v>
      </c>
      <c r="G12" s="17" t="n">
        <f>3496404404876.0</f>
        <v>3.496404404876E12</v>
      </c>
      <c r="H12" s="18" t="n">
        <f>219641279176.0</f>
        <v>2.19641279176E11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459396.0</f>
        <v>459396.0</v>
      </c>
      <c r="E13" s="22" t="n">
        <f>26999.0</f>
        <v>26999.0</v>
      </c>
      <c r="F13" s="23" t="n">
        <f>1.0</f>
        <v>1.0</v>
      </c>
      <c r="G13" s="21" t="n">
        <f>4882694924420.0</f>
        <v>4.88269492442E12</v>
      </c>
      <c r="H13" s="22" t="n">
        <f>426661540470.0</f>
        <v>4.2666154047E11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411675.0</f>
        <v>411675.0</v>
      </c>
      <c r="E14" s="22" t="n">
        <f>30161.0</f>
        <v>30161.0</v>
      </c>
      <c r="F14" s="23" t="n">
        <f>1.0</f>
        <v>1.0</v>
      </c>
      <c r="G14" s="21" t="n">
        <f>5553766571381.0</f>
        <v>5.553766571381E12</v>
      </c>
      <c r="H14" s="22" t="n">
        <f>857367422706.0</f>
        <v>8.57367422706E11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1326910.0</f>
        <v>1326910.0</v>
      </c>
      <c r="E15" s="26" t="n">
        <f>80417.0</f>
        <v>80417.0</v>
      </c>
      <c r="F15" s="27" t="n">
        <f>1.0</f>
        <v>1.0</v>
      </c>
      <c r="G15" s="25" t="n">
        <f>13932865900677.0</f>
        <v>1.3932865900677E13</v>
      </c>
      <c r="H15" s="26" t="n">
        <f>1503670242352.0</f>
        <v>1.503670242352E12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11012.0</f>
        <v>11012.0</v>
      </c>
      <c r="E16" s="18" t="n">
        <f>305.0</f>
        <v>305.0</v>
      </c>
      <c r="F16" s="19" t="n">
        <f>0.024</f>
        <v>0.024</v>
      </c>
      <c r="G16" s="17" t="n">
        <f>1258509905000.0</f>
        <v>1.258509905E12</v>
      </c>
      <c r="H16" s="18" t="n">
        <f>39476050000.0</f>
        <v>3.947605E10</v>
      </c>
      <c r="I16" s="19" t="n">
        <f>0.36</f>
        <v>0.36</v>
      </c>
    </row>
    <row r="17" spans="1:9" ht="24.9" customHeight="1">
      <c r="A17" s="41"/>
      <c r="B17" s="39"/>
      <c r="C17" s="20" t="s">
        <v>16</v>
      </c>
      <c r="D17" s="21" t="n">
        <f>17479.0</f>
        <v>17479.0</v>
      </c>
      <c r="E17" s="22" t="n">
        <f>602.0</f>
        <v>602.0</v>
      </c>
      <c r="F17" s="23" t="n">
        <f>0.038</f>
        <v>0.038</v>
      </c>
      <c r="G17" s="21" t="n">
        <f>2075478389000.0</f>
        <v>2.075478389E12</v>
      </c>
      <c r="H17" s="22" t="n">
        <f>77769020000.0</f>
        <v>7.776902E10</v>
      </c>
      <c r="I17" s="23" t="n">
        <f>0.425</f>
        <v>0.425</v>
      </c>
    </row>
    <row r="18" spans="1:9" ht="24.9" customHeight="1">
      <c r="A18" s="41"/>
      <c r="B18" s="39"/>
      <c r="C18" s="20" t="s">
        <v>17</v>
      </c>
      <c r="D18" s="21" t="n">
        <f>17520.0</f>
        <v>17520.0</v>
      </c>
      <c r="E18" s="22" t="n">
        <f>968.0</f>
        <v>968.0</v>
      </c>
      <c r="F18" s="23" t="n">
        <f>0.043</f>
        <v>0.043</v>
      </c>
      <c r="G18" s="21" t="n">
        <f>2079250700875.0</f>
        <v>2.079250700875E12</v>
      </c>
      <c r="H18" s="22" t="n">
        <f>125009000000.0</f>
        <v>1.25009E11</v>
      </c>
      <c r="I18" s="23" t="n">
        <f>0.374</f>
        <v>0.374</v>
      </c>
    </row>
    <row r="19" spans="1:9" ht="24.9" customHeight="1">
      <c r="A19" s="41"/>
      <c r="B19" s="39"/>
      <c r="C19" s="24" t="s">
        <v>18</v>
      </c>
      <c r="D19" s="25" t="n">
        <f>46011.0</f>
        <v>46011.0</v>
      </c>
      <c r="E19" s="26" t="n">
        <f>1875.0</f>
        <v>1875.0</v>
      </c>
      <c r="F19" s="27" t="n">
        <f>0.035</f>
        <v>0.035</v>
      </c>
      <c r="G19" s="25" t="n">
        <f>5413238994875.0</f>
        <v>5.413238994875E12</v>
      </c>
      <c r="H19" s="26" t="n">
        <f>242254070000.0</f>
        <v>2.4225407E11</v>
      </c>
      <c r="I19" s="27" t="n">
        <f>0.389</f>
        <v>0.389</v>
      </c>
    </row>
    <row r="20" spans="1:9" ht="24.9" customHeight="1">
      <c r="A20" s="41"/>
      <c r="B20" s="39" t="s">
        <v>21</v>
      </c>
      <c r="C20" s="16" t="s">
        <v>15</v>
      </c>
      <c r="D20" s="17" t="n">
        <f>430961.0</f>
        <v>430961.0</v>
      </c>
      <c r="E20" s="18" t="n">
        <f>22952.0</f>
        <v>22952.0</v>
      </c>
      <c r="F20" s="19" t="n">
        <f>0.945</f>
        <v>0.945</v>
      </c>
      <c r="G20" s="17" t="n">
        <f>2092430889876.0</f>
        <v>2.092430889876E12</v>
      </c>
      <c r="H20" s="18" t="n">
        <f>180165229176.0</f>
        <v>1.80165229176E11</v>
      </c>
      <c r="I20" s="19" t="n">
        <f>0.598</f>
        <v>0.598</v>
      </c>
    </row>
    <row r="21" spans="1:9" ht="24.9" customHeight="1">
      <c r="A21" s="41"/>
      <c r="B21" s="39"/>
      <c r="C21" s="20" t="s">
        <v>16</v>
      </c>
      <c r="D21" s="21" t="n">
        <f>430603.0</f>
        <v>430603.0</v>
      </c>
      <c r="E21" s="22" t="n">
        <f>26391.0</f>
        <v>26391.0</v>
      </c>
      <c r="F21" s="23" t="n">
        <f>0.937</f>
        <v>0.937</v>
      </c>
      <c r="G21" s="21" t="n">
        <f>2675915902320.0</f>
        <v>2.67591590232E12</v>
      </c>
      <c r="H21" s="22" t="n">
        <f>348880250470.0</f>
        <v>3.4888025047E11</v>
      </c>
      <c r="I21" s="23" t="n">
        <f>0.548</f>
        <v>0.548</v>
      </c>
    </row>
    <row r="22" spans="1:9" ht="24.9" customHeight="1">
      <c r="A22" s="41"/>
      <c r="B22" s="39"/>
      <c r="C22" s="20" t="s">
        <v>17</v>
      </c>
      <c r="D22" s="21" t="n">
        <f>378576.0</f>
        <v>378576.0</v>
      </c>
      <c r="E22" s="22" t="n">
        <f>29193.0</f>
        <v>29193.0</v>
      </c>
      <c r="F22" s="23" t="n">
        <f>0.92</f>
        <v>0.92</v>
      </c>
      <c r="G22" s="21" t="n">
        <f>3296165168406.0</f>
        <v>3.296165168406E12</v>
      </c>
      <c r="H22" s="22" t="n">
        <f>732358422706.0</f>
        <v>7.32358422706E11</v>
      </c>
      <c r="I22" s="23" t="n">
        <f>0.594</f>
        <v>0.594</v>
      </c>
    </row>
    <row r="23" spans="1:9" ht="24.9" customHeight="1">
      <c r="A23" s="41"/>
      <c r="B23" s="39"/>
      <c r="C23" s="24" t="s">
        <v>18</v>
      </c>
      <c r="D23" s="25" t="n">
        <f>1240140.0</f>
        <v>1240140.0</v>
      </c>
      <c r="E23" s="26" t="n">
        <f>78536.0</f>
        <v>78536.0</v>
      </c>
      <c r="F23" s="27" t="n">
        <f>0.935</f>
        <v>0.935</v>
      </c>
      <c r="G23" s="25" t="n">
        <f>8064511960602.0</f>
        <v>8.064511960602E12</v>
      </c>
      <c r="H23" s="26" t="n">
        <f>1261403902352.0</f>
        <v>1.261403902352E12</v>
      </c>
      <c r="I23" s="27" t="n">
        <f>0.579</f>
        <v>0.579</v>
      </c>
    </row>
    <row r="24" spans="1:9" ht="24.9" customHeight="1">
      <c r="A24" s="41"/>
      <c r="B24" s="39" t="s">
        <v>22</v>
      </c>
      <c r="C24" s="16" t="s">
        <v>15</v>
      </c>
      <c r="D24" s="17" t="n">
        <f>12637.0</f>
        <v>12637.0</v>
      </c>
      <c r="E24" s="18" t="n">
        <f>0.0</f>
        <v>0.0</v>
      </c>
      <c r="F24" s="19" t="n">
        <f>0.028</f>
        <v>0.028</v>
      </c>
      <c r="G24" s="17" t="n">
        <f>140186231500.0</f>
        <v>1.401862315E11</v>
      </c>
      <c r="H24" s="18" t="n">
        <f>0.0</f>
        <v>0.0</v>
      </c>
      <c r="I24" s="19" t="n">
        <f>0.04</f>
        <v>0.04</v>
      </c>
    </row>
    <row r="25" spans="1:9" ht="24.9" customHeight="1">
      <c r="A25" s="41"/>
      <c r="B25" s="39"/>
      <c r="C25" s="20" t="s">
        <v>16</v>
      </c>
      <c r="D25" s="21" t="n">
        <f>10923.0</f>
        <v>10923.0</v>
      </c>
      <c r="E25" s="22" t="n">
        <f>6.0</f>
        <v>6.0</v>
      </c>
      <c r="F25" s="23" t="n">
        <f>0.024</f>
        <v>0.024</v>
      </c>
      <c r="G25" s="21" t="n">
        <f>129582197600.0</f>
        <v>1.295821976E11</v>
      </c>
      <c r="H25" s="22" t="n">
        <f>12270000.0</f>
        <v>1.227E7</v>
      </c>
      <c r="I25" s="23" t="n">
        <f>0.027</f>
        <v>0.027</v>
      </c>
    </row>
    <row r="26" spans="1:9" ht="24.9" customHeight="1">
      <c r="A26" s="41"/>
      <c r="B26" s="39"/>
      <c r="C26" s="20" t="s">
        <v>17</v>
      </c>
      <c r="D26" s="21" t="n">
        <f>11111.0</f>
        <v>11111.0</v>
      </c>
      <c r="E26" s="22" t="n">
        <f>0.0</f>
        <v>0.0</v>
      </c>
      <c r="F26" s="23" t="n">
        <f>0.027</f>
        <v>0.027</v>
      </c>
      <c r="G26" s="21" t="n">
        <f>158578149900.0</f>
        <v>1.585781499E11</v>
      </c>
      <c r="H26" s="22" t="n">
        <f>0.0</f>
        <v>0.0</v>
      </c>
      <c r="I26" s="23" t="n">
        <f>0.029</f>
        <v>0.029</v>
      </c>
    </row>
    <row r="27" spans="1:9" ht="24.9" customHeight="1">
      <c r="A27" s="42"/>
      <c r="B27" s="39"/>
      <c r="C27" s="24" t="s">
        <v>18</v>
      </c>
      <c r="D27" s="25" t="n">
        <f>34671.0</f>
        <v>34671.0</v>
      </c>
      <c r="E27" s="26" t="n">
        <f>6.0</f>
        <v>6.0</v>
      </c>
      <c r="F27" s="27" t="n">
        <f>0.026</f>
        <v>0.026</v>
      </c>
      <c r="G27" s="25" t="n">
        <f>428346579000.0</f>
        <v>4.28346579E11</v>
      </c>
      <c r="H27" s="26" t="n">
        <f>12270000.0</f>
        <v>1.227E7</v>
      </c>
      <c r="I27" s="27" t="n">
        <f>0.031</f>
        <v>0.031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1229.0</f>
        <v>1229.0</v>
      </c>
      <c r="E28" s="18" t="n">
        <f>0.0</f>
        <v>0.0</v>
      </c>
      <c r="F28" s="19" t="n">
        <f>0.003</f>
        <v>0.003</v>
      </c>
      <c r="G28" s="17" t="n">
        <f>5277378500.0</f>
        <v>5.2773785E9</v>
      </c>
      <c r="H28" s="18" t="n">
        <f>0.0</f>
        <v>0.0</v>
      </c>
      <c r="I28" s="19" t="n">
        <f>0.002</f>
        <v>0.002</v>
      </c>
    </row>
    <row r="29" spans="1:9" ht="24.9" customHeight="1">
      <c r="A29" s="38"/>
      <c r="B29" s="39"/>
      <c r="C29" s="20" t="s">
        <v>16</v>
      </c>
      <c r="D29" s="21" t="n">
        <f>391.0</f>
        <v>391.0</v>
      </c>
      <c r="E29" s="22" t="n">
        <f>0.0</f>
        <v>0.0</v>
      </c>
      <c r="F29" s="23" t="n">
        <f>0.001</f>
        <v>0.001</v>
      </c>
      <c r="G29" s="21" t="n">
        <f>1718435500.0</f>
        <v>1.7184355E9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4468.0</f>
        <v>4468.0</v>
      </c>
      <c r="E30" s="22" t="n">
        <f>0.0</f>
        <v>0.0</v>
      </c>
      <c r="F30" s="23" t="n">
        <f>0.011</f>
        <v>0.011</v>
      </c>
      <c r="G30" s="21" t="n">
        <f>19772552200.0</f>
        <v>1.97725522E10</v>
      </c>
      <c r="H30" s="22" t="n">
        <f>0.0</f>
        <v>0.0</v>
      </c>
      <c r="I30" s="23" t="n">
        <f>0.004</f>
        <v>0.004</v>
      </c>
    </row>
    <row r="31" spans="1:9" ht="24.9" customHeight="1">
      <c r="A31" s="38"/>
      <c r="B31" s="39"/>
      <c r="C31" s="24" t="s">
        <v>18</v>
      </c>
      <c r="D31" s="25" t="n">
        <f>6088.0</f>
        <v>6088.0</v>
      </c>
      <c r="E31" s="26" t="n">
        <f>0.0</f>
        <v>0.0</v>
      </c>
      <c r="F31" s="27" t="n">
        <f>0.005</f>
        <v>0.005</v>
      </c>
      <c r="G31" s="25" t="n">
        <f>26768366200.0</f>
        <v>2.67683662E10</v>
      </c>
      <c r="H31" s="26" t="n">
        <f>0.0</f>
        <v>0.0</v>
      </c>
      <c r="I31" s="27" t="n">
        <f>0.002</f>
        <v>0.002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46154.0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46154.0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14742</f>
        <v>14742.0</v>
      </c>
      <c r="E11" s="18" t="n">
        <f>2752</f>
        <v>2752.0</v>
      </c>
      <c r="F11" s="19" t="n">
        <f>1</f>
        <v>1.0</v>
      </c>
      <c r="G11" s="17" t="n">
        <f>4249500520</f>
        <v>4.24950052E9</v>
      </c>
      <c r="H11" s="18" t="n">
        <f>2672479120</f>
        <v>2.67247912E9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22765</f>
        <v>22765.0</v>
      </c>
      <c r="E12" s="22" t="n">
        <f>4166</f>
        <v>4166.0</v>
      </c>
      <c r="F12" s="23" t="n">
        <f>1</f>
        <v>1.0</v>
      </c>
      <c r="G12" s="21" t="n">
        <f>3836571459</f>
        <v>3.836571459E9</v>
      </c>
      <c r="H12" s="22" t="n">
        <f>2324222660</f>
        <v>2.32422266E9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52364</f>
        <v>52364.0</v>
      </c>
      <c r="E13" s="22" t="n">
        <f>35307</f>
        <v>35307.0</v>
      </c>
      <c r="F13" s="23" t="n">
        <f>1</f>
        <v>1.0</v>
      </c>
      <c r="G13" s="21" t="n">
        <f>36173508707</f>
        <v>3.6173508707E10</v>
      </c>
      <c r="H13" s="22" t="n">
        <f>34402405851</f>
        <v>3.4402405851E10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89871</f>
        <v>89871.0</v>
      </c>
      <c r="E14" s="26" t="n">
        <f>42225</f>
        <v>42225.0</v>
      </c>
      <c r="F14" s="27" t="n">
        <f>1</f>
        <v>1.0</v>
      </c>
      <c r="G14" s="25" t="n">
        <f>44259580686</f>
        <v>4.4259580686E10</v>
      </c>
      <c r="H14" s="26" t="n">
        <f>39399107631</f>
        <v>3.9399107631E10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50</f>
        <v>50.0</v>
      </c>
      <c r="E15" s="18" t="n">
        <f>50</f>
        <v>50.0</v>
      </c>
      <c r="F15" s="19" t="n">
        <f>0.003</f>
        <v>0.003</v>
      </c>
      <c r="G15" s="17" t="n">
        <f>7250000</f>
        <v>7250000.0</v>
      </c>
      <c r="H15" s="18" t="n">
        <f>7250000</f>
        <v>7250000.0</v>
      </c>
      <c r="I15" s="19" t="n">
        <f>0.002</f>
        <v>0.002</v>
      </c>
    </row>
    <row r="16" spans="1:9" ht="24.9" customHeight="1">
      <c r="A16" s="41"/>
      <c r="B16" s="39"/>
      <c r="C16" s="20" t="s">
        <v>16</v>
      </c>
      <c r="D16" s="21" t="n">
        <f>44</f>
        <v>44.0</v>
      </c>
      <c r="E16" s="22" t="n">
        <f>0</f>
        <v>0.0</v>
      </c>
      <c r="F16" s="23" t="n">
        <f>0.002</f>
        <v>0.002</v>
      </c>
      <c r="G16" s="21" t="n">
        <f>6600000</f>
        <v>6600000.0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36</f>
        <v>36.0</v>
      </c>
      <c r="E17" s="22" t="n">
        <f>30</f>
        <v>30.0</v>
      </c>
      <c r="F17" s="23" t="n">
        <f>0.001</f>
        <v>0.001</v>
      </c>
      <c r="G17" s="21" t="n">
        <f>7910000</f>
        <v>7910000.0</v>
      </c>
      <c r="H17" s="22" t="n">
        <f>6900000</f>
        <v>6900000.0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130</f>
        <v>130.0</v>
      </c>
      <c r="E18" s="26" t="n">
        <f>80</f>
        <v>80.0</v>
      </c>
      <c r="F18" s="27" t="n">
        <f>0.001</f>
        <v>0.001</v>
      </c>
      <c r="G18" s="25" t="n">
        <f>21760000</f>
        <v>2.176E7</v>
      </c>
      <c r="H18" s="26" t="n">
        <f>14150000</f>
        <v>1.415E7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14692</f>
        <v>14692.0</v>
      </c>
      <c r="E19" s="18" t="n">
        <f>2702</f>
        <v>2702.0</v>
      </c>
      <c r="F19" s="19" t="n">
        <f>0.997</f>
        <v>0.997</v>
      </c>
      <c r="G19" s="17" t="n">
        <f>4242250520</f>
        <v>4.24225052E9</v>
      </c>
      <c r="H19" s="18" t="n">
        <f>2665229120</f>
        <v>2.66522912E9</v>
      </c>
      <c r="I19" s="19" t="n">
        <f>0.998</f>
        <v>0.998</v>
      </c>
    </row>
    <row r="20" spans="1:9" ht="24.9" customHeight="1">
      <c r="A20" s="41"/>
      <c r="B20" s="39"/>
      <c r="C20" s="20" t="s">
        <v>16</v>
      </c>
      <c r="D20" s="21" t="n">
        <f>18508</f>
        <v>18508.0</v>
      </c>
      <c r="E20" s="22" t="n">
        <f>4166</f>
        <v>4166.0</v>
      </c>
      <c r="F20" s="23" t="n">
        <f>0.813</f>
        <v>0.813</v>
      </c>
      <c r="G20" s="21" t="n">
        <f>3748096260</f>
        <v>3.74809626E9</v>
      </c>
      <c r="H20" s="22" t="n">
        <f>2324222660</f>
        <v>2.32422266E9</v>
      </c>
      <c r="I20" s="23" t="n">
        <f>0.977</f>
        <v>0.977</v>
      </c>
    </row>
    <row r="21" spans="1:9" ht="24.9" customHeight="1">
      <c r="A21" s="41"/>
      <c r="B21" s="39"/>
      <c r="C21" s="20" t="s">
        <v>17</v>
      </c>
      <c r="D21" s="21" t="n">
        <f>38245</f>
        <v>38245.0</v>
      </c>
      <c r="E21" s="22" t="n">
        <f>25217</f>
        <v>25217.0</v>
      </c>
      <c r="F21" s="23" t="n">
        <f>0.73</f>
        <v>0.73</v>
      </c>
      <c r="G21" s="21" t="n">
        <f>35930865851</f>
        <v>3.5930865851E10</v>
      </c>
      <c r="H21" s="22" t="n">
        <f>34231849851</f>
        <v>3.4231849851E10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71445</f>
        <v>71445.0</v>
      </c>
      <c r="E22" s="26" t="n">
        <f>32085</f>
        <v>32085.0</v>
      </c>
      <c r="F22" s="27" t="n">
        <f>0.795</f>
        <v>0.795</v>
      </c>
      <c r="G22" s="25" t="n">
        <f>43921212631</f>
        <v>4.3921212631E10</v>
      </c>
      <c r="H22" s="26" t="n">
        <f>39221301631</f>
        <v>3.9221301631E10</v>
      </c>
      <c r="I22" s="27" t="n">
        <f>0.992</f>
        <v>0.992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4213</f>
        <v>4213.0</v>
      </c>
      <c r="E24" s="22" t="n">
        <f>0</f>
        <v>0.0</v>
      </c>
      <c r="F24" s="23" t="n">
        <f>0.185</f>
        <v>0.185</v>
      </c>
      <c r="G24" s="21" t="n">
        <f>81875199</f>
        <v>8.1875199E7</v>
      </c>
      <c r="H24" s="22" t="n">
        <f>0</f>
        <v>0.0</v>
      </c>
      <c r="I24" s="23" t="n">
        <f>0.021</f>
        <v>0.021</v>
      </c>
    </row>
    <row r="25" spans="1:9" ht="24.9" customHeight="1">
      <c r="A25" s="41"/>
      <c r="B25" s="39"/>
      <c r="C25" s="20" t="s">
        <v>17</v>
      </c>
      <c r="D25" s="21" t="n">
        <f>14083</f>
        <v>14083.0</v>
      </c>
      <c r="E25" s="22" t="n">
        <f>10060</f>
        <v>10060.0</v>
      </c>
      <c r="F25" s="23" t="n">
        <f>0.269</f>
        <v>0.269</v>
      </c>
      <c r="G25" s="21" t="n">
        <f>234732856</f>
        <v>2.34732856E8</v>
      </c>
      <c r="H25" s="22" t="n">
        <f>163656000</f>
        <v>1.63656E8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18296</f>
        <v>18296.0</v>
      </c>
      <c r="E26" s="26" t="n">
        <f>10060</f>
        <v>10060.0</v>
      </c>
      <c r="F26" s="27" t="n">
        <f>0.204</f>
        <v>0.204</v>
      </c>
      <c r="G26" s="25" t="n">
        <f>316608055</f>
        <v>3.16608055E8</v>
      </c>
      <c r="H26" s="26" t="n">
        <f>163656000</f>
        <v>1.63656E8</v>
      </c>
      <c r="I26" s="27" t="n">
        <f>0.007</f>
        <v>0.007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46154.0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46154.0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5235.0</v>
      </c>
      <c r="F12" s="18" t="n">
        <f>510</f>
        <v>510.0</v>
      </c>
      <c r="G12" s="17" t="n">
        <v>3.282767001E11</v>
      </c>
      <c r="H12" s="18" t="n">
        <f>31955690100</f>
        <v>3.19556901E10</v>
      </c>
    </row>
    <row r="13" spans="1:8" ht="24.9" customHeight="1">
      <c r="A13" s="51"/>
      <c r="B13" s="57"/>
      <c r="C13" s="39"/>
      <c r="D13" s="20" t="s">
        <v>16</v>
      </c>
      <c r="E13" s="21" t="n">
        <v>10638.0</v>
      </c>
      <c r="F13" s="22" t="n">
        <f>700</f>
        <v>700.0</v>
      </c>
      <c r="G13" s="21" t="n">
        <v>6.686134852E11</v>
      </c>
      <c r="H13" s="22" t="n">
        <f>44050966200</f>
        <v>4.40509662E10</v>
      </c>
    </row>
    <row r="14" spans="1:8" ht="24.9" customHeight="1">
      <c r="A14" s="51"/>
      <c r="B14" s="57"/>
      <c r="C14" s="39"/>
      <c r="D14" s="20" t="s">
        <v>17</v>
      </c>
      <c r="E14" s="21" t="n">
        <v>19761.0</v>
      </c>
      <c r="F14" s="22" t="n">
        <f>7816</f>
        <v>7816.0</v>
      </c>
      <c r="G14" s="21" t="n">
        <v>1.240046666246E12</v>
      </c>
      <c r="H14" s="22" t="n">
        <f>490543950246</f>
        <v>4.90543950246E11</v>
      </c>
    </row>
    <row r="15" spans="1:8" ht="24.9" customHeight="1">
      <c r="A15" s="51"/>
      <c r="B15" s="57"/>
      <c r="C15" s="39"/>
      <c r="D15" s="24" t="s">
        <v>18</v>
      </c>
      <c r="E15" s="25" t="n">
        <v>35634.0</v>
      </c>
      <c r="F15" s="26" t="n">
        <f>9026</f>
        <v>9026.0</v>
      </c>
      <c r="G15" s="25" t="n">
        <v>2.236936851546E12</v>
      </c>
      <c r="H15" s="26" t="n">
        <f>566550606546</f>
        <v>5.66550606546E11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171615.0</v>
      </c>
      <c r="F16" s="18" t="n">
        <f>21968</f>
        <v>21968.0</v>
      </c>
      <c r="G16" s="17" t="n">
        <v>1.076417017876E12</v>
      </c>
      <c r="H16" s="18" t="n">
        <f>137757437376</f>
        <v>1.37757437376E11</v>
      </c>
    </row>
    <row r="17" spans="1:8" ht="24.9" customHeight="1">
      <c r="A17" s="51"/>
      <c r="B17" s="57"/>
      <c r="C17" s="39"/>
      <c r="D17" s="20" t="s">
        <v>16</v>
      </c>
      <c r="E17" s="21" t="n">
        <v>176299.0</v>
      </c>
      <c r="F17" s="22" t="n">
        <f>20921</f>
        <v>20921.0</v>
      </c>
      <c r="G17" s="21" t="n">
        <v>1.10787312933E12</v>
      </c>
      <c r="H17" s="22" t="n">
        <f>131504168130</f>
        <v>1.3150416813E11</v>
      </c>
    </row>
    <row r="18" spans="1:8" ht="24.9" customHeight="1">
      <c r="A18" s="51"/>
      <c r="B18" s="57"/>
      <c r="C18" s="39"/>
      <c r="D18" s="20" t="s">
        <v>17</v>
      </c>
      <c r="E18" s="21" t="n">
        <v>158398.0</v>
      </c>
      <c r="F18" s="22" t="n">
        <f>17445</f>
        <v>17445.0</v>
      </c>
      <c r="G18" s="21" t="n">
        <v>9.9430983448E11</v>
      </c>
      <c r="H18" s="22" t="n">
        <f>109518850980</f>
        <v>1.0951885098E11</v>
      </c>
    </row>
    <row r="19" spans="1:8" ht="24.9" customHeight="1">
      <c r="A19" s="51"/>
      <c r="B19" s="57"/>
      <c r="C19" s="39"/>
      <c r="D19" s="24" t="s">
        <v>18</v>
      </c>
      <c r="E19" s="25" t="n">
        <v>506312.0</v>
      </c>
      <c r="F19" s="26" t="n">
        <f>60334</f>
        <v>60334.0</v>
      </c>
      <c r="G19" s="25" t="n">
        <v>3.178599981686E12</v>
      </c>
      <c r="H19" s="26" t="n">
        <f>378780456486</f>
        <v>3.78780456486E11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235654.0</v>
      </c>
      <c r="F20" s="18" t="str">
        <f>"－"</f>
        <v>－</v>
      </c>
      <c r="G20" s="17" t="n">
        <v>1.478061987E11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214389.0</v>
      </c>
      <c r="F21" s="22" t="str">
        <f>"－"</f>
        <v>－</v>
      </c>
      <c r="G21" s="21" t="n">
        <v>1.3475301165E11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165930.0</v>
      </c>
      <c r="F22" s="22" t="str">
        <f>"－"</f>
        <v>－</v>
      </c>
      <c r="G22" s="21" t="n">
        <v>1.0415897475E11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615973.0</v>
      </c>
      <c r="F23" s="26" t="str">
        <f>"－"</f>
        <v>－</v>
      </c>
      <c r="G23" s="25" t="n">
        <v>3.867181851E11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13526.0</v>
      </c>
      <c r="F24" s="18" t="n">
        <f>251</f>
        <v>251.0</v>
      </c>
      <c r="G24" s="17" t="n">
        <v>5.22637701E11</v>
      </c>
      <c r="H24" s="18" t="n">
        <f>9658496000</f>
        <v>9.658496E9</v>
      </c>
    </row>
    <row r="25" spans="1:8" ht="24.9" customHeight="1">
      <c r="A25" s="51"/>
      <c r="B25" s="57"/>
      <c r="C25" s="39"/>
      <c r="D25" s="20" t="s">
        <v>16</v>
      </c>
      <c r="E25" s="21" t="n">
        <v>18911.0</v>
      </c>
      <c r="F25" s="22" t="n">
        <f>4438</f>
        <v>4438.0</v>
      </c>
      <c r="G25" s="21" t="n">
        <v>7.330793085E11</v>
      </c>
      <c r="H25" s="22" t="n">
        <f>172255592500</f>
        <v>1.722555925E11</v>
      </c>
    </row>
    <row r="26" spans="1:8" ht="24.9" customHeight="1">
      <c r="A26" s="51"/>
      <c r="B26" s="57"/>
      <c r="C26" s="39"/>
      <c r="D26" s="20" t="s">
        <v>17</v>
      </c>
      <c r="E26" s="21" t="n">
        <v>23858.0</v>
      </c>
      <c r="F26" s="22" t="n">
        <f>3369</f>
        <v>3369.0</v>
      </c>
      <c r="G26" s="21" t="n">
        <v>9.244034111E11</v>
      </c>
      <c r="H26" s="22" t="n">
        <f>130650850100</f>
        <v>1.306508501E11</v>
      </c>
    </row>
    <row r="27" spans="1:8" ht="24.9" customHeight="1">
      <c r="A27" s="51"/>
      <c r="B27" s="57"/>
      <c r="C27" s="39"/>
      <c r="D27" s="24" t="s">
        <v>18</v>
      </c>
      <c r="E27" s="25" t="n">
        <v>56295.0</v>
      </c>
      <c r="F27" s="26" t="n">
        <f>8058</f>
        <v>8058.0</v>
      </c>
      <c r="G27" s="25" t="n">
        <v>2.1801204206E12</v>
      </c>
      <c r="H27" s="26" t="n">
        <f>312564938600</f>
        <v>3.125649386E11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3619.0</v>
      </c>
      <c r="F28" s="18" t="n">
        <f>192</f>
        <v>192.0</v>
      </c>
      <c r="G28" s="17" t="n">
        <v>1.39786101E10</v>
      </c>
      <c r="H28" s="18" t="n">
        <f>741132100</f>
        <v>7.411321E8</v>
      </c>
    </row>
    <row r="29" spans="1:8" ht="24.9" customHeight="1">
      <c r="A29" s="51"/>
      <c r="B29" s="57"/>
      <c r="C29" s="39"/>
      <c r="D29" s="20" t="s">
        <v>16</v>
      </c>
      <c r="E29" s="21" t="n">
        <v>5830.0</v>
      </c>
      <c r="F29" s="22" t="n">
        <f>255</f>
        <v>255.0</v>
      </c>
      <c r="G29" s="21" t="n">
        <v>2.258543565E10</v>
      </c>
      <c r="H29" s="22" t="n">
        <f>987455650</f>
        <v>9.8745565E8</v>
      </c>
    </row>
    <row r="30" spans="1:8" ht="24.9" customHeight="1">
      <c r="A30" s="51"/>
      <c r="B30" s="57"/>
      <c r="C30" s="39"/>
      <c r="D30" s="20" t="s">
        <v>17</v>
      </c>
      <c r="E30" s="21" t="n">
        <v>7019.0</v>
      </c>
      <c r="F30" s="22" t="n">
        <f>225</f>
        <v>225.0</v>
      </c>
      <c r="G30" s="21" t="n">
        <v>2.71898001E10</v>
      </c>
      <c r="H30" s="22" t="n">
        <f>871381850</f>
        <v>8.7138185E8</v>
      </c>
    </row>
    <row r="31" spans="1:8" ht="24.9" customHeight="1">
      <c r="A31" s="51"/>
      <c r="B31" s="57"/>
      <c r="C31" s="39"/>
      <c r="D31" s="24" t="s">
        <v>18</v>
      </c>
      <c r="E31" s="25" t="n">
        <v>16468.0</v>
      </c>
      <c r="F31" s="26" t="n">
        <f>672</f>
        <v>672.0</v>
      </c>
      <c r="G31" s="25" t="n">
        <v>6.375384585E10</v>
      </c>
      <c r="H31" s="26" t="n">
        <f>2599969600</f>
        <v>2.5999696E9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460.0</v>
      </c>
      <c r="F36" s="18" t="n">
        <f>0</f>
        <v>0.0</v>
      </c>
      <c r="G36" s="17" t="n">
        <v>1.6225085E9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1887.0</v>
      </c>
      <c r="F37" s="22" t="n">
        <f>4</f>
        <v>4.0</v>
      </c>
      <c r="G37" s="21" t="n">
        <v>6.68570199E9</v>
      </c>
      <c r="H37" s="22" t="n">
        <f>14090490</f>
        <v>1.409049E7</v>
      </c>
    </row>
    <row r="38" spans="1:8" ht="24.9" customHeight="1">
      <c r="A38" s="51"/>
      <c r="B38" s="57"/>
      <c r="C38" s="39"/>
      <c r="D38" s="20" t="s">
        <v>17</v>
      </c>
      <c r="E38" s="21" t="n">
        <v>967.0</v>
      </c>
      <c r="F38" s="22" t="n">
        <f>162</f>
        <v>162.0</v>
      </c>
      <c r="G38" s="21" t="n">
        <v>3.42213699E9</v>
      </c>
      <c r="H38" s="22" t="n">
        <f>573146490</f>
        <v>5.7314649E8</v>
      </c>
    </row>
    <row r="39" spans="1:8" ht="24.9" customHeight="1">
      <c r="A39" s="51"/>
      <c r="B39" s="57"/>
      <c r="C39" s="39"/>
      <c r="D39" s="24" t="s">
        <v>18</v>
      </c>
      <c r="E39" s="25" t="n">
        <v>3314.0</v>
      </c>
      <c r="F39" s="26" t="n">
        <f>166</f>
        <v>166.0</v>
      </c>
      <c r="G39" s="25" t="n">
        <v>1.173034748E10</v>
      </c>
      <c r="H39" s="26" t="n">
        <f>587236980</f>
        <v>5.8723698E8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14.0</v>
      </c>
      <c r="F48" s="18" t="n">
        <f>14</f>
        <v>14.0</v>
      </c>
      <c r="G48" s="17" t="n">
        <v>2.5974E7</v>
      </c>
      <c r="H48" s="18" t="n">
        <f>25974000</f>
        <v>2.5974E7</v>
      </c>
    </row>
    <row r="49" spans="1:8" ht="24.9" customHeight="1">
      <c r="A49" s="51"/>
      <c r="B49" s="57"/>
      <c r="C49" s="39"/>
      <c r="D49" s="20" t="s">
        <v>16</v>
      </c>
      <c r="E49" s="21" t="n">
        <v>31.0</v>
      </c>
      <c r="F49" s="22" t="n">
        <f>0</f>
        <v>0.0</v>
      </c>
      <c r="G49" s="21" t="n">
        <v>5.7397E7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103.0</v>
      </c>
      <c r="F50" s="22" t="n">
        <f>56</f>
        <v>56.0</v>
      </c>
      <c r="G50" s="21" t="n">
        <v>1.8965377E8</v>
      </c>
      <c r="H50" s="22" t="n">
        <f>103081270</f>
        <v>1.0308127E8</v>
      </c>
    </row>
    <row r="51" spans="1:8" ht="24.9" customHeight="1">
      <c r="A51" s="51"/>
      <c r="B51" s="57"/>
      <c r="C51" s="39"/>
      <c r="D51" s="24" t="s">
        <v>18</v>
      </c>
      <c r="E51" s="25" t="n">
        <v>148.0</v>
      </c>
      <c r="F51" s="26" t="n">
        <f>70</f>
        <v>70.0</v>
      </c>
      <c r="G51" s="25" t="n">
        <v>2.7302477E8</v>
      </c>
      <c r="H51" s="26" t="n">
        <f>129055270</f>
        <v>1.2905527E8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405.0</v>
      </c>
      <c r="F56" s="18" t="n">
        <f>14</f>
        <v>14.0</v>
      </c>
      <c r="G56" s="17" t="n">
        <v>3.35558E8</v>
      </c>
      <c r="H56" s="18" t="n">
        <f>11594000</f>
        <v>1.1594E7</v>
      </c>
    </row>
    <row r="57" spans="1:8" ht="24.9" customHeight="1">
      <c r="A57" s="51"/>
      <c r="B57" s="57"/>
      <c r="C57" s="39"/>
      <c r="D57" s="20" t="s">
        <v>16</v>
      </c>
      <c r="E57" s="21" t="n">
        <v>2487.0</v>
      </c>
      <c r="F57" s="22" t="n">
        <f>71</f>
        <v>71.0</v>
      </c>
      <c r="G57" s="21" t="n">
        <v>2.0231633E9</v>
      </c>
      <c r="H57" s="22" t="n">
        <f>58033300</f>
        <v>5.80333E7</v>
      </c>
    </row>
    <row r="58" spans="1:8" ht="24.9" customHeight="1">
      <c r="A58" s="51"/>
      <c r="B58" s="57"/>
      <c r="C58" s="39"/>
      <c r="D58" s="20" t="s">
        <v>17</v>
      </c>
      <c r="E58" s="21" t="n">
        <v>2120.0</v>
      </c>
      <c r="F58" s="22" t="n">
        <f>120</f>
        <v>120.0</v>
      </c>
      <c r="G58" s="21" t="n">
        <v>1.70565977E9</v>
      </c>
      <c r="H58" s="22" t="n">
        <f>97161770</f>
        <v>9.716177E7</v>
      </c>
    </row>
    <row r="59" spans="1:8" ht="24.9" customHeight="1">
      <c r="A59" s="51"/>
      <c r="B59" s="57"/>
      <c r="C59" s="39"/>
      <c r="D59" s="24" t="s">
        <v>18</v>
      </c>
      <c r="E59" s="25" t="n">
        <v>5012.0</v>
      </c>
      <c r="F59" s="26" t="n">
        <f>205</f>
        <v>205.0</v>
      </c>
      <c r="G59" s="25" t="n">
        <v>4.06438107E9</v>
      </c>
      <c r="H59" s="26" t="n">
        <f>166789070</f>
        <v>1.6678907E8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124.0</v>
      </c>
      <c r="F60" s="18" t="n">
        <f>3</f>
        <v>3.0</v>
      </c>
      <c r="G60" s="17" t="n">
        <v>6.172487E8</v>
      </c>
      <c r="H60" s="18" t="n">
        <f>14905600</f>
        <v>1.49056E7</v>
      </c>
    </row>
    <row r="61" spans="1:8" ht="24.9" customHeight="1">
      <c r="A61" s="51"/>
      <c r="B61" s="57"/>
      <c r="C61" s="39"/>
      <c r="D61" s="20" t="s">
        <v>16</v>
      </c>
      <c r="E61" s="21" t="n">
        <v>12.0</v>
      </c>
      <c r="F61" s="22" t="n">
        <f>2</f>
        <v>2.0</v>
      </c>
      <c r="G61" s="21" t="n">
        <v>5.97109E7</v>
      </c>
      <c r="H61" s="22" t="n">
        <f>9944200</f>
        <v>9944200.0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0</f>
        <v>0.0</v>
      </c>
      <c r="G62" s="21" t="n">
        <v>7.96733E7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152.0</v>
      </c>
      <c r="F63" s="26" t="n">
        <f>5</f>
        <v>5.0</v>
      </c>
      <c r="G63" s="25" t="n">
        <v>7.566329E8</v>
      </c>
      <c r="H63" s="26" t="n">
        <f>24849800</f>
        <v>2.48498E7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316000.0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1883500.0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7.0</v>
      </c>
      <c r="F79" s="26" t="n">
        <f>0</f>
        <v>0.0</v>
      </c>
      <c r="G79" s="25" t="n">
        <v>2199500.0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1.0</v>
      </c>
      <c r="F92" s="18" t="n">
        <f>0</f>
        <v>0.0</v>
      </c>
      <c r="G92" s="17" t="n">
        <v>1566400.0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118.0</v>
      </c>
      <c r="F93" s="22" t="n">
        <f>0</f>
        <v>0.0</v>
      </c>
      <c r="G93" s="21" t="n">
        <v>1.852428E8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354.0</v>
      </c>
      <c r="F94" s="22" t="n">
        <f>0</f>
        <v>0.0</v>
      </c>
      <c r="G94" s="21" t="n">
        <v>5.556024E8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473.0</v>
      </c>
      <c r="F95" s="26" t="n">
        <f>0</f>
        <v>0.0</v>
      </c>
      <c r="G95" s="25" t="n">
        <v>7.424116E8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308.0</v>
      </c>
      <c r="F96" s="18" t="n">
        <f>0</f>
        <v>0.0</v>
      </c>
      <c r="G96" s="17" t="n">
        <v>7.118065E8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44.0</v>
      </c>
      <c r="F98" s="22" t="n">
        <f>0</f>
        <v>0.0</v>
      </c>
      <c r="G98" s="21" t="n">
        <v>1.01872E8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352.0</v>
      </c>
      <c r="F99" s="26" t="n">
        <f>0</f>
        <v>0.0</v>
      </c>
      <c r="G99" s="25" t="n">
        <v>8.136785E8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9426.0</v>
      </c>
      <c r="F108" s="18" t="n">
        <f>305</f>
        <v>305.0</v>
      </c>
      <c r="G108" s="17" t="n">
        <v>1.2192978E12</v>
      </c>
      <c r="H108" s="18" t="n">
        <f>39476050000</f>
        <v>3.947605E10</v>
      </c>
    </row>
    <row r="109" spans="1:8" ht="24.9" customHeight="1">
      <c r="A109" s="51"/>
      <c r="B109" s="57"/>
      <c r="C109" s="39"/>
      <c r="D109" s="20" t="s">
        <v>16</v>
      </c>
      <c r="E109" s="21" t="n">
        <v>15774.0</v>
      </c>
      <c r="F109" s="22" t="n">
        <f>602</f>
        <v>602.0</v>
      </c>
      <c r="G109" s="21" t="n">
        <v>2.03739914E12</v>
      </c>
      <c r="H109" s="22" t="n">
        <f>77769020000</f>
        <v>7.776902E10</v>
      </c>
    </row>
    <row r="110" spans="1:8" ht="24.9" customHeight="1">
      <c r="A110" s="51"/>
      <c r="B110" s="57"/>
      <c r="C110" s="39"/>
      <c r="D110" s="20" t="s">
        <v>17</v>
      </c>
      <c r="E110" s="21" t="n">
        <v>15966.0</v>
      </c>
      <c r="F110" s="22" t="n">
        <f>968</f>
        <v>968.0</v>
      </c>
      <c r="G110" s="21" t="n">
        <v>2.06236502E12</v>
      </c>
      <c r="H110" s="22" t="n">
        <f>125009000000</f>
        <v>1.25009E11</v>
      </c>
    </row>
    <row r="111" spans="1:8" ht="24.9" customHeight="1">
      <c r="A111" s="51"/>
      <c r="B111" s="57"/>
      <c r="C111" s="39"/>
      <c r="D111" s="24" t="s">
        <v>18</v>
      </c>
      <c r="E111" s="25" t="n">
        <v>41166.0</v>
      </c>
      <c r="F111" s="26" t="n">
        <f>1875</f>
        <v>1875.0</v>
      </c>
      <c r="G111" s="25" t="n">
        <v>5.31906196E12</v>
      </c>
      <c r="H111" s="26" t="n">
        <f>242254070000</f>
        <v>2.4225407E11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355.0</v>
      </c>
      <c r="F113" s="22" t="n">
        <f>0</f>
        <v>0.0</v>
      </c>
      <c r="G113" s="21" t="n">
        <v>4.586374E9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590.0</v>
      </c>
      <c r="F114" s="22" t="n">
        <f>0</f>
        <v>0.0</v>
      </c>
      <c r="G114" s="21" t="n">
        <v>7.621754E9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945.0</v>
      </c>
      <c r="F115" s="26" t="n">
        <f>0</f>
        <v>0.0</v>
      </c>
      <c r="G115" s="25" t="n">
        <v>1.2208128E10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950.0</v>
      </c>
      <c r="F118" s="22" t="n">
        <f>0</f>
        <v>0.0</v>
      </c>
      <c r="G118" s="21" t="n">
        <v>8.9173E9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950.0</v>
      </c>
      <c r="F119" s="26" t="n">
        <f>0</f>
        <v>0.0</v>
      </c>
      <c r="G119" s="25" t="n">
        <v>8.9173E9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1586.0</v>
      </c>
      <c r="F120" s="18" t="n">
        <f>0</f>
        <v>0.0</v>
      </c>
      <c r="G120" s="17" t="n">
        <v>3.9212105E10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1350.0</v>
      </c>
      <c r="F121" s="22" t="n">
        <f>0</f>
        <v>0.0</v>
      </c>
      <c r="G121" s="21" t="n">
        <v>3.3492875E10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14.0</v>
      </c>
      <c r="F122" s="22" t="n">
        <f>0</f>
        <v>0.0</v>
      </c>
      <c r="G122" s="21" t="n">
        <v>3.46626875E8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2950.0</v>
      </c>
      <c r="F123" s="26" t="n">
        <f>0</f>
        <v>0.0</v>
      </c>
      <c r="G123" s="25" t="n">
        <v>7.3051606875E10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4821.0</v>
      </c>
      <c r="F124" s="18" t="n">
        <f>0</f>
        <v>0.0</v>
      </c>
      <c r="G124" s="17" t="n">
        <v>1.18215451E11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4263.0</v>
      </c>
      <c r="F125" s="22" t="n">
        <f>0</f>
        <v>0.0</v>
      </c>
      <c r="G125" s="21" t="n">
        <v>1.05801261E11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5861.0</v>
      </c>
      <c r="F126" s="22" t="n">
        <f>0</f>
        <v>0.0</v>
      </c>
      <c r="G126" s="21" t="n">
        <v>1.443828E11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14945.0</v>
      </c>
      <c r="F127" s="26" t="n">
        <f>0</f>
        <v>0.0</v>
      </c>
      <c r="G127" s="25" t="n">
        <v>3.68399512E11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97.0</v>
      </c>
      <c r="F128" s="18" t="n">
        <f>0</f>
        <v>0.0</v>
      </c>
      <c r="G128" s="17" t="n">
        <v>2.370069E8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57.0</v>
      </c>
      <c r="F129" s="22" t="n">
        <f>0</f>
        <v>0.0</v>
      </c>
      <c r="G129" s="21" t="n">
        <v>1.411498E8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32.0</v>
      </c>
      <c r="F130" s="22" t="n">
        <f>0</f>
        <v>0.0</v>
      </c>
      <c r="G130" s="21" t="n">
        <v>7.8991E7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186.0</v>
      </c>
      <c r="F131" s="26" t="n">
        <f>0</f>
        <v>0.0</v>
      </c>
      <c r="G131" s="25" t="n">
        <v>4.571477E8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5288.0</v>
      </c>
      <c r="F132" s="18" t="n">
        <f>0</f>
        <v>0.0</v>
      </c>
      <c r="G132" s="17" t="n">
        <v>1.301706835E10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2001.0</v>
      </c>
      <c r="F133" s="22" t="n">
        <f>0</f>
        <v>0.0</v>
      </c>
      <c r="G133" s="21" t="n">
        <v>4.9777661E9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2587.0</v>
      </c>
      <c r="F134" s="22" t="n">
        <f>0</f>
        <v>0.0</v>
      </c>
      <c r="G134" s="21" t="n">
        <v>6.40237255E9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9876.0</v>
      </c>
      <c r="F135" s="26" t="n">
        <f>0</f>
        <v>0.0</v>
      </c>
      <c r="G135" s="25" t="n">
        <v>2.4397207E10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249.0</v>
      </c>
      <c r="F136" s="18" t="n">
        <f>0</f>
        <v>0.0</v>
      </c>
      <c r="G136" s="17" t="n">
        <v>6.074364E8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114.0</v>
      </c>
      <c r="F137" s="22" t="n">
        <f>0</f>
        <v>0.0</v>
      </c>
      <c r="G137" s="21" t="n">
        <v>2.804113E8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50.0</v>
      </c>
      <c r="F138" s="22" t="n">
        <f>0</f>
        <v>0.0</v>
      </c>
      <c r="G138" s="21" t="n">
        <v>1.223264E8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413.0</v>
      </c>
      <c r="F139" s="26" t="n">
        <f>0</f>
        <v>0.0</v>
      </c>
      <c r="G139" s="25" t="n">
        <v>1.0101741E9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1.2231E7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4.0</v>
      </c>
      <c r="F141" s="22" t="n">
        <f>0</f>
        <v>0.0</v>
      </c>
      <c r="G141" s="21" t="n">
        <v>5.0766E7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2.58E7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7.0</v>
      </c>
      <c r="F143" s="26" t="n">
        <f>0</f>
        <v>0.0</v>
      </c>
      <c r="G143" s="25" t="n">
        <v>8.8797E7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1343.0</v>
      </c>
      <c r="F144" s="18" t="n">
        <f>0</f>
        <v>0.0</v>
      </c>
      <c r="G144" s="17" t="n">
        <v>7.0298705E9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3172.0</v>
      </c>
      <c r="F145" s="22" t="n">
        <f>0</f>
        <v>0.0</v>
      </c>
      <c r="G145" s="21" t="n">
        <v>1.68474865E10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1095.0</v>
      </c>
      <c r="F146" s="22" t="n">
        <f>0</f>
        <v>0.0</v>
      </c>
      <c r="G146" s="21" t="n">
        <v>5.7318355E9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5610.0</v>
      </c>
      <c r="F147" s="26" t="n">
        <f>0</f>
        <v>0.0</v>
      </c>
      <c r="G147" s="25" t="n">
        <v>2.96091925E10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48.0</v>
      </c>
      <c r="F148" s="18" t="n">
        <f>0</f>
        <v>0.0</v>
      </c>
      <c r="G148" s="17" t="n">
        <v>5.09977E7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397.0</v>
      </c>
      <c r="F149" s="22" t="n">
        <f>0</f>
        <v>0.0</v>
      </c>
      <c r="G149" s="21" t="n">
        <v>4.305082E8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249.0</v>
      </c>
      <c r="F150" s="22" t="n">
        <f>0</f>
        <v>0.0</v>
      </c>
      <c r="G150" s="21" t="n">
        <v>2.664381E8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694.0</v>
      </c>
      <c r="F151" s="26" t="n">
        <f>0</f>
        <v>0.0</v>
      </c>
      <c r="G151" s="25" t="n">
        <v>7.47944E8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325.0</v>
      </c>
      <c r="F152" s="18" t="n">
        <f>0</f>
        <v>0.0</v>
      </c>
      <c r="G152" s="17" t="n">
        <v>3.3928205E8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222.0</v>
      </c>
      <c r="F153" s="22" t="n">
        <f>0</f>
        <v>0.0</v>
      </c>
      <c r="G153" s="21" t="n">
        <v>2.351126E8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189.0</v>
      </c>
      <c r="F154" s="22" t="n">
        <f>0</f>
        <v>0.0</v>
      </c>
      <c r="G154" s="21" t="n">
        <v>1.9805645E8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736.0</v>
      </c>
      <c r="F155" s="26" t="n">
        <f>0</f>
        <v>0.0</v>
      </c>
      <c r="G155" s="25" t="n">
        <v>7.724511E8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273.0</v>
      </c>
      <c r="F156" s="18" t="n">
        <f>0</f>
        <v>0.0</v>
      </c>
      <c r="G156" s="17" t="n">
        <v>2.861306E8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612.0</v>
      </c>
      <c r="F157" s="22" t="n">
        <f>0</f>
        <v>0.0</v>
      </c>
      <c r="G157" s="21" t="n">
        <v>6.568186E8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767.0</v>
      </c>
      <c r="F158" s="22" t="n">
        <f>0</f>
        <v>0.0</v>
      </c>
      <c r="G158" s="21" t="n">
        <v>8.097599E8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1652.0</v>
      </c>
      <c r="F159" s="26" t="n">
        <f>0</f>
        <v>0.0</v>
      </c>
      <c r="G159" s="25" t="n">
        <v>1.7527091E9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168.0</v>
      </c>
      <c r="F168" s="18" t="n">
        <f>0</f>
        <v>0.0</v>
      </c>
      <c r="G168" s="17" t="n">
        <v>3.47541E8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55.0</v>
      </c>
      <c r="F169" s="22" t="n">
        <f>6</f>
        <v>6.0</v>
      </c>
      <c r="G169" s="21" t="n">
        <v>1.142625E8</v>
      </c>
      <c r="H169" s="22" t="n">
        <f>12270000</f>
        <v>1.227E7</v>
      </c>
    </row>
    <row r="170" spans="1:8" ht="24.9" customHeight="1">
      <c r="A170" s="51"/>
      <c r="B170" s="57"/>
      <c r="C170" s="39"/>
      <c r="D170" s="20" t="s">
        <v>17</v>
      </c>
      <c r="E170" s="21" t="n">
        <v>228.0</v>
      </c>
      <c r="F170" s="22" t="n">
        <f>0</f>
        <v>0.0</v>
      </c>
      <c r="G170" s="21" t="n">
        <v>4.684725E8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451.0</v>
      </c>
      <c r="F171" s="26" t="n">
        <f>6</f>
        <v>6.0</v>
      </c>
      <c r="G171" s="25" t="n">
        <v>9.30276E8</v>
      </c>
      <c r="H171" s="26" t="n">
        <f>12270000</f>
        <v>1.227E7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24.0</v>
      </c>
      <c r="F176" s="18" t="n">
        <f>0</f>
        <v>0.0</v>
      </c>
      <c r="G176" s="17" t="n">
        <v>4.3216E7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26.0</v>
      </c>
      <c r="F177" s="22" t="n">
        <f>0</f>
        <v>0.0</v>
      </c>
      <c r="G177" s="21" t="n">
        <v>4.6655E7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51.0</v>
      </c>
      <c r="F178" s="22" t="n">
        <f>0</f>
        <v>0.0</v>
      </c>
      <c r="G178" s="21" t="n">
        <v>9.12975E7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101.0</v>
      </c>
      <c r="F179" s="26" t="n">
        <f>0</f>
        <v>0.0</v>
      </c>
      <c r="G179" s="25" t="n">
        <v>1.811685E8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1229.0</v>
      </c>
      <c r="F204" s="18" t="n">
        <f>0</f>
        <v>0.0</v>
      </c>
      <c r="G204" s="17" t="n">
        <v>5.2773785E9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391.0</v>
      </c>
      <c r="F205" s="22" t="n">
        <f>0</f>
        <v>0.0</v>
      </c>
      <c r="G205" s="21" t="n">
        <v>1.7184355E9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4458.0</v>
      </c>
      <c r="F206" s="22" t="n">
        <f>0</f>
        <v>0.0</v>
      </c>
      <c r="G206" s="21" t="n">
        <v>1.9760797E10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6078.0</v>
      </c>
      <c r="F207" s="26" t="n">
        <f>0</f>
        <v>0.0</v>
      </c>
      <c r="G207" s="25" t="n">
        <v>2.6756611E10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10.0</v>
      </c>
      <c r="F210" s="22" t="n">
        <f>0</f>
        <v>0.0</v>
      </c>
      <c r="G210" s="21" t="n">
        <v>1.17552E7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10.0</v>
      </c>
      <c r="F211" s="26" t="n">
        <f>0</f>
        <v>0.0</v>
      </c>
      <c r="G211" s="25" t="n">
        <v>1.17552E7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46154.0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46154.0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2755</f>
        <v>2755.0</v>
      </c>
      <c r="E12" s="35" t="n">
        <f>1713</f>
        <v>1713.0</v>
      </c>
      <c r="F12" s="17" t="n">
        <f>1104</f>
        <v>1104.0</v>
      </c>
      <c r="G12" s="35" t="n">
        <f>409</f>
        <v>409.0</v>
      </c>
      <c r="H12" s="17" t="n">
        <f>3859</f>
        <v>3859.0</v>
      </c>
      <c r="I12" s="35" t="n">
        <f>2122</f>
        <v>2122.0</v>
      </c>
      <c r="J12" s="17" t="n">
        <f>2396447290</f>
        <v>2.39644729E9</v>
      </c>
      <c r="K12" s="35" t="n">
        <f>2036496290</f>
        <v>2.03649629E9</v>
      </c>
      <c r="L12" s="17" t="n">
        <f>1029835740</f>
        <v>1.02983574E9</v>
      </c>
      <c r="M12" s="35" t="n">
        <f>619530740</f>
        <v>6.1953074E8</v>
      </c>
      <c r="N12" s="17" t="n">
        <f>3426283030</f>
        <v>3.42628303E9</v>
      </c>
      <c r="O12" s="35" t="n">
        <f>2656027030</f>
        <v>2.65602703E9</v>
      </c>
    </row>
    <row r="13" spans="1:15" ht="24.9" customHeight="1">
      <c r="A13" s="38"/>
      <c r="B13" s="62"/>
      <c r="C13" s="20" t="s">
        <v>16</v>
      </c>
      <c r="D13" s="21" t="n">
        <f>2852</f>
        <v>2852.0</v>
      </c>
      <c r="E13" s="36" t="n">
        <f>1125</f>
        <v>1125.0</v>
      </c>
      <c r="F13" s="21" t="n">
        <f>2509</f>
        <v>2509.0</v>
      </c>
      <c r="G13" s="36" t="n">
        <f>1305</f>
        <v>1305.0</v>
      </c>
      <c r="H13" s="21" t="n">
        <f>5361</f>
        <v>5361.0</v>
      </c>
      <c r="I13" s="36" t="n">
        <f>2430</f>
        <v>2430.0</v>
      </c>
      <c r="J13" s="21" t="n">
        <f>1088997950</f>
        <v>1.08899795E9</v>
      </c>
      <c r="K13" s="36" t="n">
        <f>541961950</f>
        <v>5.4196195E8</v>
      </c>
      <c r="L13" s="21" t="n">
        <f>2251431850</f>
        <v>2.25143185E9</v>
      </c>
      <c r="M13" s="36" t="n">
        <f>1704918850</f>
        <v>1.70491885E9</v>
      </c>
      <c r="N13" s="21" t="n">
        <f>3340429800</f>
        <v>3.3404298E9</v>
      </c>
      <c r="O13" s="36" t="n">
        <f>2246880800</f>
        <v>2.2468808E9</v>
      </c>
    </row>
    <row r="14" spans="1:15" ht="24.9" customHeight="1">
      <c r="A14" s="38"/>
      <c r="B14" s="62"/>
      <c r="C14" s="20" t="s">
        <v>17</v>
      </c>
      <c r="D14" s="21" t="n">
        <f>23251</f>
        <v>23251.0</v>
      </c>
      <c r="E14" s="36" t="n">
        <f>20943</f>
        <v>20943.0</v>
      </c>
      <c r="F14" s="21" t="n">
        <f>2936</f>
        <v>2936.0</v>
      </c>
      <c r="G14" s="36" t="n">
        <f>2176</f>
        <v>2176.0</v>
      </c>
      <c r="H14" s="21" t="n">
        <f>26187</f>
        <v>26187.0</v>
      </c>
      <c r="I14" s="36" t="n">
        <f>23119</f>
        <v>23119.0</v>
      </c>
      <c r="J14" s="21" t="n">
        <f>19122086324</f>
        <v>1.9122086324E10</v>
      </c>
      <c r="K14" s="36" t="n">
        <f>18161760324</f>
        <v>1.8161760324E10</v>
      </c>
      <c r="L14" s="21" t="n">
        <f>15138393127</f>
        <v>1.5138393127E10</v>
      </c>
      <c r="M14" s="36" t="n">
        <f>14657926127</f>
        <v>1.4657926127E10</v>
      </c>
      <c r="N14" s="21" t="n">
        <f>34260479451</f>
        <v>3.4260479451E10</v>
      </c>
      <c r="O14" s="36" t="n">
        <f>32819686451</f>
        <v>3.2819686451E10</v>
      </c>
    </row>
    <row r="15" spans="1:15" ht="24.9" customHeight="1">
      <c r="A15" s="38"/>
      <c r="B15" s="62"/>
      <c r="C15" s="24" t="s">
        <v>18</v>
      </c>
      <c r="D15" s="25" t="n">
        <f>28858</f>
        <v>28858.0</v>
      </c>
      <c r="E15" s="37" t="n">
        <f>23781</f>
        <v>23781.0</v>
      </c>
      <c r="F15" s="25" t="n">
        <f>6549</f>
        <v>6549.0</v>
      </c>
      <c r="G15" s="37" t="n">
        <f>3890</f>
        <v>3890.0</v>
      </c>
      <c r="H15" s="25" t="n">
        <f>35407</f>
        <v>35407.0</v>
      </c>
      <c r="I15" s="37" t="n">
        <f>27671</f>
        <v>27671.0</v>
      </c>
      <c r="J15" s="25" t="n">
        <f>22607531564</f>
        <v>2.2607531564E10</v>
      </c>
      <c r="K15" s="37" t="n">
        <f>20740218564</f>
        <v>2.0740218564E10</v>
      </c>
      <c r="L15" s="25" t="n">
        <f>18419660717</f>
        <v>1.8419660717E10</v>
      </c>
      <c r="M15" s="37" t="n">
        <f>16982375717</f>
        <v>1.6982375717E10</v>
      </c>
      <c r="N15" s="25" t="n">
        <f>41027192281</f>
        <v>4.1027192281E10</v>
      </c>
      <c r="O15" s="37" t="n">
        <f>37722594281</f>
        <v>3.7722594281E10</v>
      </c>
    </row>
    <row r="16" spans="1:15" ht="24.9" customHeight="1">
      <c r="A16" s="38"/>
      <c r="B16" s="61" t="s">
        <v>105</v>
      </c>
      <c r="C16" s="16" t="s">
        <v>15</v>
      </c>
      <c r="D16" s="17" t="n">
        <f>6804</f>
        <v>6804.0</v>
      </c>
      <c r="E16" s="35" t="n">
        <f>360</f>
        <v>360.0</v>
      </c>
      <c r="F16" s="17" t="n">
        <f>4029</f>
        <v>4029.0</v>
      </c>
      <c r="G16" s="35" t="n">
        <f>220</f>
        <v>220.0</v>
      </c>
      <c r="H16" s="17" t="n">
        <f>10833</f>
        <v>10833.0</v>
      </c>
      <c r="I16" s="35" t="n">
        <f>580</f>
        <v>580.0</v>
      </c>
      <c r="J16" s="17" t="n">
        <f>358171320</f>
        <v>3.5817132E8</v>
      </c>
      <c r="K16" s="35" t="n">
        <f>7848120</f>
        <v>7848120.0</v>
      </c>
      <c r="L16" s="17" t="n">
        <f>457796170</f>
        <v>4.5779617E8</v>
      </c>
      <c r="M16" s="35" t="n">
        <f>1353970</f>
        <v>1353970.0</v>
      </c>
      <c r="N16" s="17" t="n">
        <f>815967490</f>
        <v>8.1596749E8</v>
      </c>
      <c r="O16" s="35" t="n">
        <f>9202090</f>
        <v>9202090.0</v>
      </c>
    </row>
    <row r="17" spans="1:15" ht="24.9" customHeight="1">
      <c r="A17" s="38"/>
      <c r="B17" s="62"/>
      <c r="C17" s="20" t="s">
        <v>16</v>
      </c>
      <c r="D17" s="21" t="n">
        <f>8858</f>
        <v>8858.0</v>
      </c>
      <c r="E17" s="36" t="n">
        <f>1420</f>
        <v>1420.0</v>
      </c>
      <c r="F17" s="21" t="n">
        <f>4223</f>
        <v>4223.0</v>
      </c>
      <c r="G17" s="36" t="n">
        <f>280</f>
        <v>280.0</v>
      </c>
      <c r="H17" s="21" t="n">
        <f>13081</f>
        <v>13081.0</v>
      </c>
      <c r="I17" s="36" t="n">
        <f>1700</f>
        <v>1700.0</v>
      </c>
      <c r="J17" s="21" t="n">
        <f>169295240</f>
        <v>1.6929524E8</v>
      </c>
      <c r="K17" s="36" t="n">
        <f>8871740</f>
        <v>8871740.0</v>
      </c>
      <c r="L17" s="21" t="n">
        <f>133401220</f>
        <v>1.3340122E8</v>
      </c>
      <c r="M17" s="36" t="n">
        <f>2320120</f>
        <v>2320120.0</v>
      </c>
      <c r="N17" s="21" t="n">
        <f>302696460</f>
        <v>3.0269646E8</v>
      </c>
      <c r="O17" s="36" t="n">
        <f>11191860</f>
        <v>1.119186E7</v>
      </c>
    </row>
    <row r="18" spans="1:15" ht="24.9" customHeight="1">
      <c r="A18" s="38"/>
      <c r="B18" s="62"/>
      <c r="C18" s="20" t="s">
        <v>17</v>
      </c>
      <c r="D18" s="21" t="n">
        <f>8366</f>
        <v>8366.0</v>
      </c>
      <c r="E18" s="36" t="n">
        <f>680</f>
        <v>680.0</v>
      </c>
      <c r="F18" s="21" t="n">
        <f>2364</f>
        <v>2364.0</v>
      </c>
      <c r="G18" s="36" t="n">
        <f>90</f>
        <v>90.0</v>
      </c>
      <c r="H18" s="21" t="n">
        <f>10730</f>
        <v>10730.0</v>
      </c>
      <c r="I18" s="36" t="n">
        <f>770</f>
        <v>770.0</v>
      </c>
      <c r="J18" s="21" t="n">
        <f>160982390</f>
        <v>1.6098239E8</v>
      </c>
      <c r="K18" s="36" t="n">
        <f>3499790</f>
        <v>3499790.0</v>
      </c>
      <c r="L18" s="21" t="n">
        <f>101376810</f>
        <v>1.0137681E8</v>
      </c>
      <c r="M18" s="36" t="n">
        <f>636410</f>
        <v>636410.0</v>
      </c>
      <c r="N18" s="21" t="n">
        <f>262359200</f>
        <v>2.623592E8</v>
      </c>
      <c r="O18" s="36" t="n">
        <f>4136200</f>
        <v>4136200.0</v>
      </c>
    </row>
    <row r="19" spans="1:15" ht="24.9" customHeight="1">
      <c r="A19" s="38"/>
      <c r="B19" s="62"/>
      <c r="C19" s="24" t="s">
        <v>18</v>
      </c>
      <c r="D19" s="25" t="n">
        <f>24028</f>
        <v>24028.0</v>
      </c>
      <c r="E19" s="37" t="n">
        <f>2460</f>
        <v>2460.0</v>
      </c>
      <c r="F19" s="25" t="n">
        <f>10616</f>
        <v>10616.0</v>
      </c>
      <c r="G19" s="37" t="n">
        <f>590</f>
        <v>590.0</v>
      </c>
      <c r="H19" s="25" t="n">
        <f>34644</f>
        <v>34644.0</v>
      </c>
      <c r="I19" s="37" t="n">
        <f>3050</f>
        <v>3050.0</v>
      </c>
      <c r="J19" s="25" t="n">
        <f>688448950</f>
        <v>6.8844895E8</v>
      </c>
      <c r="K19" s="37" t="n">
        <f>20219650</f>
        <v>2.021965E7</v>
      </c>
      <c r="L19" s="25" t="n">
        <f>692574200</f>
        <v>6.925742E8</v>
      </c>
      <c r="M19" s="37" t="n">
        <f>4310500</f>
        <v>4310500.0</v>
      </c>
      <c r="N19" s="25" t="n">
        <f>1381023150</f>
        <v>1.38102315E9</v>
      </c>
      <c r="O19" s="37" t="n">
        <f>24530150</f>
        <v>2.453015E7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66</f>
        <v>66.0</v>
      </c>
      <c r="E21" s="36" t="n">
        <f>36</f>
        <v>36.0</v>
      </c>
      <c r="F21" s="21" t="n">
        <f>0</f>
        <v>0.0</v>
      </c>
      <c r="G21" s="36" t="n">
        <f>0</f>
        <v>0.0</v>
      </c>
      <c r="H21" s="21" t="n">
        <f>66</f>
        <v>66.0</v>
      </c>
      <c r="I21" s="36" t="n">
        <f>36</f>
        <v>36.0</v>
      </c>
      <c r="J21" s="21" t="n">
        <f>104970000</f>
        <v>1.0497E8</v>
      </c>
      <c r="K21" s="36" t="n">
        <f>66150000</f>
        <v>6.615E7</v>
      </c>
      <c r="L21" s="21" t="n">
        <f>0</f>
        <v>0.0</v>
      </c>
      <c r="M21" s="36" t="n">
        <f>0</f>
        <v>0.0</v>
      </c>
      <c r="N21" s="21" t="n">
        <f>104970000</f>
        <v>1.0497E8</v>
      </c>
      <c r="O21" s="36" t="n">
        <f>66150000</f>
        <v>6.615E7</v>
      </c>
    </row>
    <row r="22" spans="1:15" ht="24.9" customHeight="1">
      <c r="A22" s="38"/>
      <c r="B22" s="62"/>
      <c r="C22" s="20" t="s">
        <v>17</v>
      </c>
      <c r="D22" s="21" t="n">
        <f>1328</f>
        <v>1328.0</v>
      </c>
      <c r="E22" s="36" t="n">
        <f>1328</f>
        <v>1328.0</v>
      </c>
      <c r="F22" s="21" t="n">
        <f>0</f>
        <v>0.0</v>
      </c>
      <c r="G22" s="36" t="n">
        <f>0</f>
        <v>0.0</v>
      </c>
      <c r="H22" s="21" t="n">
        <f>1328</f>
        <v>1328.0</v>
      </c>
      <c r="I22" s="36" t="n">
        <f>1328</f>
        <v>1328.0</v>
      </c>
      <c r="J22" s="21" t="n">
        <f>1408027200</f>
        <v>1.4080272E9</v>
      </c>
      <c r="K22" s="36" t="n">
        <f>1408027200</f>
        <v>1.4080272E9</v>
      </c>
      <c r="L22" s="21" t="n">
        <f>0</f>
        <v>0.0</v>
      </c>
      <c r="M22" s="36" t="n">
        <f>0</f>
        <v>0.0</v>
      </c>
      <c r="N22" s="21" t="n">
        <f>1408027200</f>
        <v>1.4080272E9</v>
      </c>
      <c r="O22" s="36" t="n">
        <f>1408027200</f>
        <v>1.4080272E9</v>
      </c>
    </row>
    <row r="23" spans="1:15" ht="24.9" customHeight="1">
      <c r="A23" s="38"/>
      <c r="B23" s="62"/>
      <c r="C23" s="24" t="s">
        <v>18</v>
      </c>
      <c r="D23" s="25" t="n">
        <f>1394</f>
        <v>1394.0</v>
      </c>
      <c r="E23" s="37" t="n">
        <f>1364</f>
        <v>1364.0</v>
      </c>
      <c r="F23" s="25" t="n">
        <f>0</f>
        <v>0.0</v>
      </c>
      <c r="G23" s="37" t="n">
        <f>0</f>
        <v>0.0</v>
      </c>
      <c r="H23" s="25" t="n">
        <f>1394</f>
        <v>1394.0</v>
      </c>
      <c r="I23" s="37" t="n">
        <f>1364</f>
        <v>1364.0</v>
      </c>
      <c r="J23" s="25" t="n">
        <f>1512997200</f>
        <v>1.5129972E9</v>
      </c>
      <c r="K23" s="37" t="n">
        <f>1474177200</f>
        <v>1.4741772E9</v>
      </c>
      <c r="L23" s="25" t="n">
        <f>0</f>
        <v>0.0</v>
      </c>
      <c r="M23" s="37" t="n">
        <f>0</f>
        <v>0.0</v>
      </c>
      <c r="N23" s="25" t="n">
        <f>1512997200</f>
        <v>1.5129972E9</v>
      </c>
      <c r="O23" s="37" t="n">
        <f>1474177200</f>
        <v>1.4741772E9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50</f>
        <v>50.0</v>
      </c>
      <c r="E36" s="18" t="n">
        <f>50</f>
        <v>50.0</v>
      </c>
      <c r="F36" s="17" t="n">
        <f>0</f>
        <v>0.0</v>
      </c>
      <c r="G36" s="18" t="n">
        <f>0</f>
        <v>0.0</v>
      </c>
      <c r="H36" s="17" t="n">
        <f>50</f>
        <v>50.0</v>
      </c>
      <c r="I36" s="18" t="n">
        <f>50</f>
        <v>50.0</v>
      </c>
      <c r="J36" s="17" t="n">
        <f>7250000</f>
        <v>7250000.0</v>
      </c>
      <c r="K36" s="18" t="n">
        <f>7250000</f>
        <v>7250000.0</v>
      </c>
      <c r="L36" s="17" t="n">
        <f>0</f>
        <v>0.0</v>
      </c>
      <c r="M36" s="18" t="n">
        <f>0</f>
        <v>0.0</v>
      </c>
      <c r="N36" s="17" t="n">
        <f>7250000</f>
        <v>7250000.0</v>
      </c>
      <c r="O36" s="18" t="n">
        <f>7250000</f>
        <v>7250000.0</v>
      </c>
    </row>
    <row r="37" spans="1:15" ht="24.9" customHeight="1">
      <c r="A37" s="38"/>
      <c r="B37" s="62"/>
      <c r="C37" s="20" t="s">
        <v>16</v>
      </c>
      <c r="D37" s="21" t="n">
        <f>20</f>
        <v>20.0</v>
      </c>
      <c r="E37" s="22" t="n">
        <f>0</f>
        <v>0.0</v>
      </c>
      <c r="F37" s="21" t="n">
        <f>24</f>
        <v>24.0</v>
      </c>
      <c r="G37" s="22" t="n">
        <f>0</f>
        <v>0.0</v>
      </c>
      <c r="H37" s="21" t="n">
        <f>44</f>
        <v>44.0</v>
      </c>
      <c r="I37" s="22" t="n">
        <f>0</f>
        <v>0.0</v>
      </c>
      <c r="J37" s="21" t="n">
        <f>5700000</f>
        <v>5700000.0</v>
      </c>
      <c r="K37" s="22" t="n">
        <f>0</f>
        <v>0.0</v>
      </c>
      <c r="L37" s="21" t="n">
        <f>900000</f>
        <v>900000.0</v>
      </c>
      <c r="M37" s="22" t="n">
        <f>0</f>
        <v>0.0</v>
      </c>
      <c r="N37" s="21" t="n">
        <f>6600000</f>
        <v>6600000.0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11</f>
        <v>11.0</v>
      </c>
      <c r="E38" s="36" t="n">
        <f>10</f>
        <v>10.0</v>
      </c>
      <c r="F38" s="21" t="n">
        <f>25</f>
        <v>25.0</v>
      </c>
      <c r="G38" s="36" t="n">
        <f>20</f>
        <v>20.0</v>
      </c>
      <c r="H38" s="21" t="n">
        <f>36</f>
        <v>36.0</v>
      </c>
      <c r="I38" s="36" t="n">
        <f>30</f>
        <v>30.0</v>
      </c>
      <c r="J38" s="21" t="n">
        <f>3710000</f>
        <v>3710000.0</v>
      </c>
      <c r="K38" s="36" t="n">
        <f>3500000</f>
        <v>3500000.0</v>
      </c>
      <c r="L38" s="21" t="n">
        <f>4200000</f>
        <v>4200000.0</v>
      </c>
      <c r="M38" s="36" t="n">
        <f>3400000</f>
        <v>3400000.0</v>
      </c>
      <c r="N38" s="21" t="n">
        <f>7910000</f>
        <v>7910000.0</v>
      </c>
      <c r="O38" s="36" t="n">
        <f>6900000</f>
        <v>6900000.0</v>
      </c>
    </row>
    <row r="39" spans="1:15" ht="24.9" customHeight="1">
      <c r="A39" s="38"/>
      <c r="B39" s="62"/>
      <c r="C39" s="24" t="s">
        <v>18</v>
      </c>
      <c r="D39" s="25" t="n">
        <f>81</f>
        <v>81.0</v>
      </c>
      <c r="E39" s="37" t="n">
        <f>60</f>
        <v>60.0</v>
      </c>
      <c r="F39" s="25" t="n">
        <f>49</f>
        <v>49.0</v>
      </c>
      <c r="G39" s="37" t="n">
        <f>20</f>
        <v>20.0</v>
      </c>
      <c r="H39" s="25" t="n">
        <f>130</f>
        <v>130.0</v>
      </c>
      <c r="I39" s="37" t="n">
        <f>80</f>
        <v>80.0</v>
      </c>
      <c r="J39" s="25" t="n">
        <f>16660000</f>
        <v>1.666E7</v>
      </c>
      <c r="K39" s="37" t="n">
        <f>10750000</f>
        <v>1.075E7</v>
      </c>
      <c r="L39" s="25" t="n">
        <f>5100000</f>
        <v>5100000.0</v>
      </c>
      <c r="M39" s="37" t="n">
        <f>3400000</f>
        <v>3400000.0</v>
      </c>
      <c r="N39" s="25" t="n">
        <f>21760000</f>
        <v>2.176E7</v>
      </c>
      <c r="O39" s="37" t="n">
        <f>14150000</f>
        <v>1.415E7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2950</f>
        <v>2950.0</v>
      </c>
      <c r="E41" s="36" t="n">
        <f>0</f>
        <v>0.0</v>
      </c>
      <c r="F41" s="21" t="n">
        <f>1263</f>
        <v>1263.0</v>
      </c>
      <c r="G41" s="36" t="n">
        <f>0</f>
        <v>0.0</v>
      </c>
      <c r="H41" s="21" t="n">
        <f>4213</f>
        <v>4213.0</v>
      </c>
      <c r="I41" s="36" t="n">
        <f>0</f>
        <v>0.0</v>
      </c>
      <c r="J41" s="21" t="n">
        <f>44304072</f>
        <v>4.4304072E7</v>
      </c>
      <c r="K41" s="36" t="n">
        <f>0</f>
        <v>0.0</v>
      </c>
      <c r="L41" s="21" t="n">
        <f>37571127</f>
        <v>3.7571127E7</v>
      </c>
      <c r="M41" s="36" t="n">
        <f>0</f>
        <v>0.0</v>
      </c>
      <c r="N41" s="21" t="n">
        <f>81875199</f>
        <v>8.1875199E7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6415</f>
        <v>6415.0</v>
      </c>
      <c r="E42" s="36" t="n">
        <f>5000</f>
        <v>5000.0</v>
      </c>
      <c r="F42" s="21" t="n">
        <f>7668</f>
        <v>7668.0</v>
      </c>
      <c r="G42" s="36" t="n">
        <f>5060</f>
        <v>5060.0</v>
      </c>
      <c r="H42" s="21" t="n">
        <f>14083</f>
        <v>14083.0</v>
      </c>
      <c r="I42" s="36" t="n">
        <f>10060</f>
        <v>10060.0</v>
      </c>
      <c r="J42" s="21" t="n">
        <f>48570896</f>
        <v>4.8570896E7</v>
      </c>
      <c r="K42" s="36" t="n">
        <f>26000000</f>
        <v>2.6E7</v>
      </c>
      <c r="L42" s="21" t="n">
        <f>186161960</f>
        <v>1.8616196E8</v>
      </c>
      <c r="M42" s="36" t="n">
        <f>137656000</f>
        <v>1.37656E8</v>
      </c>
      <c r="N42" s="21" t="n">
        <f>234732856</f>
        <v>2.34732856E8</v>
      </c>
      <c r="O42" s="36" t="n">
        <f>163656000</f>
        <v>1.63656E8</v>
      </c>
    </row>
    <row r="43" spans="1:15" ht="24.9" customHeight="1">
      <c r="A43" s="38"/>
      <c r="B43" s="62"/>
      <c r="C43" s="24" t="s">
        <v>18</v>
      </c>
      <c r="D43" s="25" t="n">
        <f>9365</f>
        <v>9365.0</v>
      </c>
      <c r="E43" s="37" t="n">
        <f>5000</f>
        <v>5000.0</v>
      </c>
      <c r="F43" s="25" t="n">
        <f>8931</f>
        <v>8931.0</v>
      </c>
      <c r="G43" s="37" t="n">
        <f>5060</f>
        <v>5060.0</v>
      </c>
      <c r="H43" s="25" t="n">
        <f>18296</f>
        <v>18296.0</v>
      </c>
      <c r="I43" s="37" t="n">
        <f>10060</f>
        <v>10060.0</v>
      </c>
      <c r="J43" s="25" t="n">
        <f>92874968</f>
        <v>9.2874968E7</v>
      </c>
      <c r="K43" s="37" t="n">
        <f>26000000</f>
        <v>2.6E7</v>
      </c>
      <c r="L43" s="25" t="n">
        <f>223733087</f>
        <v>2.23733087E8</v>
      </c>
      <c r="M43" s="37" t="n">
        <f>137656000</f>
        <v>1.37656E8</v>
      </c>
      <c r="N43" s="25" t="n">
        <f>316608055</f>
        <v>3.16608055E8</v>
      </c>
      <c r="O43" s="37" t="n">
        <f>163656000</f>
        <v>1.63656E8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