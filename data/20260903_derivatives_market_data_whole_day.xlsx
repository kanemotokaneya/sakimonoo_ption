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<sst xmlns="http://schemas.openxmlformats.org/spreadsheetml/2006/main" count="528" uniqueCount="129">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</sst>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DATE(2026,09,03)</f>
        <v>46268.0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DATE(2026,09,03)</f>
        <v>46268.0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806306.0</f>
        <v>806306.0</v>
      </c>
      <c r="E12" s="18" t="n">
        <f>44388.0</f>
        <v>44388.0</v>
      </c>
      <c r="F12" s="19" t="n">
        <f>1.0</f>
        <v>1.0</v>
      </c>
      <c r="G12" s="17" t="n">
        <f>7454107146785.0</f>
        <v>7.454107146785E12</v>
      </c>
      <c r="H12" s="18" t="n">
        <f>433279305635.0</f>
        <v>4.33279305635E11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375129.0</f>
        <v>375129.0</v>
      </c>
      <c r="E13" s="22" t="n">
        <f>23807.0</f>
        <v>23807.0</v>
      </c>
      <c r="F13" s="23" t="n">
        <f>1.0</f>
        <v>1.0</v>
      </c>
      <c r="G13" s="21" t="n">
        <f>7362556032780.0</f>
        <v>7.36255603278E12</v>
      </c>
      <c r="H13" s="22" t="n">
        <f>791472210780.0</f>
        <v>7.9147221078E11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467785.0</f>
        <v>467785.0</v>
      </c>
      <c r="E14" s="22" t="n">
        <f>49731.0</f>
        <v>49731.0</v>
      </c>
      <c r="F14" s="23" t="n">
        <f>1.0</f>
        <v>1.0</v>
      </c>
      <c r="G14" s="21" t="n">
        <f>6176568563095.0</f>
        <v>6.176568563095E12</v>
      </c>
      <c r="H14" s="22" t="n">
        <f>1348899183470.0</f>
        <v>1.34889918347E12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1649220.0</f>
        <v>1649220.0</v>
      </c>
      <c r="E15" s="26" t="n">
        <f>117926.0</f>
        <v>117926.0</v>
      </c>
      <c r="F15" s="27" t="n">
        <f>1.0</f>
        <v>1.0</v>
      </c>
      <c r="G15" s="25" t="n">
        <f>20993231742660.0</f>
        <v>2.099323174266E13</v>
      </c>
      <c r="H15" s="26" t="n">
        <f>2573650699885.0</f>
        <v>2.573650699885E12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28739.0</f>
        <v>28739.0</v>
      </c>
      <c r="E16" s="18" t="n">
        <f>287.0</f>
        <v>287.0</v>
      </c>
      <c r="F16" s="19" t="n">
        <f>0.036</f>
        <v>0.036</v>
      </c>
      <c r="G16" s="17" t="n">
        <f>3449989262500.0</f>
        <v>3.4499892625E12</v>
      </c>
      <c r="H16" s="18" t="n">
        <f>35974155000.0</f>
        <v>3.5974155E10</v>
      </c>
      <c r="I16" s="19" t="n">
        <f>0.463</f>
        <v>0.463</v>
      </c>
    </row>
    <row r="17" spans="1:9" ht="24.9" customHeight="1">
      <c r="A17" s="41"/>
      <c r="B17" s="39"/>
      <c r="C17" s="20" t="s">
        <v>16</v>
      </c>
      <c r="D17" s="21" t="n">
        <f>40902.0</f>
        <v>40902.0</v>
      </c>
      <c r="E17" s="22" t="n">
        <f>3548.0</f>
        <v>3548.0</v>
      </c>
      <c r="F17" s="23" t="n">
        <f>0.109</f>
        <v>0.109</v>
      </c>
      <c r="G17" s="21" t="n">
        <f>5086651150000.0</f>
        <v>5.08665115E12</v>
      </c>
      <c r="H17" s="22" t="n">
        <f>444989475000.0</f>
        <v>4.44989475E11</v>
      </c>
      <c r="I17" s="23" t="n">
        <f>0.691</f>
        <v>0.691</v>
      </c>
    </row>
    <row r="18" spans="1:9" ht="24.9" customHeight="1">
      <c r="A18" s="41"/>
      <c r="B18" s="39"/>
      <c r="C18" s="20" t="s">
        <v>17</v>
      </c>
      <c r="D18" s="21" t="n">
        <f>21330.0</f>
        <v>21330.0</v>
      </c>
      <c r="E18" s="22" t="n">
        <f>4364.0</f>
        <v>4364.0</v>
      </c>
      <c r="F18" s="23" t="n">
        <f>0.046</f>
        <v>0.046</v>
      </c>
      <c r="G18" s="21" t="n">
        <f>2446608119125.0</f>
        <v>2.446608119125E12</v>
      </c>
      <c r="H18" s="22" t="n">
        <f>547717840000.0</f>
        <v>5.4771784E11</v>
      </c>
      <c r="I18" s="23" t="n">
        <f>0.396</f>
        <v>0.396</v>
      </c>
    </row>
    <row r="19" spans="1:9" ht="24.9" customHeight="1">
      <c r="A19" s="41"/>
      <c r="B19" s="39"/>
      <c r="C19" s="24" t="s">
        <v>18</v>
      </c>
      <c r="D19" s="25" t="n">
        <f>90971.0</f>
        <v>90971.0</v>
      </c>
      <c r="E19" s="26" t="n">
        <f>8199.0</f>
        <v>8199.0</v>
      </c>
      <c r="F19" s="27" t="n">
        <f>0.055</f>
        <v>0.055</v>
      </c>
      <c r="G19" s="25" t="n">
        <f>10983248531625.0</f>
        <v>1.0983248531625E13</v>
      </c>
      <c r="H19" s="26" t="n">
        <f>1028681470000.0</f>
        <v>1.02868147E12</v>
      </c>
      <c r="I19" s="27" t="n">
        <f>0.523</f>
        <v>0.523</v>
      </c>
    </row>
    <row r="20" spans="1:9" ht="24.9" customHeight="1">
      <c r="A20" s="41"/>
      <c r="B20" s="39" t="s">
        <v>21</v>
      </c>
      <c r="C20" s="16" t="s">
        <v>15</v>
      </c>
      <c r="D20" s="17" t="n">
        <f>761739.0</f>
        <v>761739.0</v>
      </c>
      <c r="E20" s="18" t="n">
        <f>44101.0</f>
        <v>44101.0</v>
      </c>
      <c r="F20" s="19" t="n">
        <f>0.945</f>
        <v>0.945</v>
      </c>
      <c r="G20" s="17" t="n">
        <f>3846464284035.0</f>
        <v>3.846464284035E12</v>
      </c>
      <c r="H20" s="18" t="n">
        <f>397305150635.0</f>
        <v>3.97305150635E11</v>
      </c>
      <c r="I20" s="19" t="n">
        <f>0.516</f>
        <v>0.516</v>
      </c>
    </row>
    <row r="21" spans="1:9" ht="24.9" customHeight="1">
      <c r="A21" s="41"/>
      <c r="B21" s="39"/>
      <c r="C21" s="20" t="s">
        <v>16</v>
      </c>
      <c r="D21" s="21" t="n">
        <f>324319.0</f>
        <v>324319.0</v>
      </c>
      <c r="E21" s="22" t="n">
        <f>20258.0</f>
        <v>20258.0</v>
      </c>
      <c r="F21" s="23" t="n">
        <f>0.865</f>
        <v>0.865</v>
      </c>
      <c r="G21" s="21" t="n">
        <f>2186320225430.0</f>
        <v>2.18632022543E12</v>
      </c>
      <c r="H21" s="22" t="n">
        <f>346480577280.0</f>
        <v>3.4648057728E11</v>
      </c>
      <c r="I21" s="23" t="n">
        <f>0.297</f>
        <v>0.297</v>
      </c>
    </row>
    <row r="22" spans="1:9" ht="24.9" customHeight="1">
      <c r="A22" s="41"/>
      <c r="B22" s="39"/>
      <c r="C22" s="20" t="s">
        <v>17</v>
      </c>
      <c r="D22" s="21" t="n">
        <f>433722.0</f>
        <v>433722.0</v>
      </c>
      <c r="E22" s="22" t="n">
        <f>45367.0</f>
        <v>45367.0</v>
      </c>
      <c r="F22" s="23" t="n">
        <f>0.927</f>
        <v>0.927</v>
      </c>
      <c r="G22" s="21" t="n">
        <f>3611204914070.0</f>
        <v>3.61120491407E12</v>
      </c>
      <c r="H22" s="22" t="n">
        <f>801181343470.0</f>
        <v>8.0118134347E11</v>
      </c>
      <c r="I22" s="23" t="n">
        <f>0.585</f>
        <v>0.585</v>
      </c>
    </row>
    <row r="23" spans="1:9" ht="24.9" customHeight="1">
      <c r="A23" s="41"/>
      <c r="B23" s="39"/>
      <c r="C23" s="24" t="s">
        <v>18</v>
      </c>
      <c r="D23" s="25" t="n">
        <f>1519780.0</f>
        <v>1519780.0</v>
      </c>
      <c r="E23" s="26" t="n">
        <f>109726.0</f>
        <v>109726.0</v>
      </c>
      <c r="F23" s="27" t="n">
        <f>0.922</f>
        <v>0.922</v>
      </c>
      <c r="G23" s="25" t="n">
        <f>9643989423535.0</f>
        <v>9.643989423535E12</v>
      </c>
      <c r="H23" s="26" t="n">
        <f>1544967071385.0</f>
        <v>1.544967071385E12</v>
      </c>
      <c r="I23" s="27" t="n">
        <f>0.459</f>
        <v>0.459</v>
      </c>
    </row>
    <row r="24" spans="1:9" ht="24.9" customHeight="1">
      <c r="A24" s="41"/>
      <c r="B24" s="39" t="s">
        <v>22</v>
      </c>
      <c r="C24" s="16" t="s">
        <v>15</v>
      </c>
      <c r="D24" s="17" t="n">
        <f>15539.0</f>
        <v>15539.0</v>
      </c>
      <c r="E24" s="18" t="n">
        <f>0.0</f>
        <v>0.0</v>
      </c>
      <c r="F24" s="19" t="n">
        <f>0.019</f>
        <v>0.019</v>
      </c>
      <c r="G24" s="17" t="n">
        <f>156495307750.0</f>
        <v>1.5649530775E11</v>
      </c>
      <c r="H24" s="18" t="n">
        <f>0.0</f>
        <v>0.0</v>
      </c>
      <c r="I24" s="19" t="n">
        <f>0.021</f>
        <v>0.021</v>
      </c>
    </row>
    <row r="25" spans="1:9" ht="24.9" customHeight="1">
      <c r="A25" s="41"/>
      <c r="B25" s="39"/>
      <c r="C25" s="20" t="s">
        <v>16</v>
      </c>
      <c r="D25" s="21" t="n">
        <f>9022.0</f>
        <v>9022.0</v>
      </c>
      <c r="E25" s="22" t="n">
        <f>1.0</f>
        <v>1.0</v>
      </c>
      <c r="F25" s="23" t="n">
        <f>0.024</f>
        <v>0.024</v>
      </c>
      <c r="G25" s="21" t="n">
        <f>86089018350.0</f>
        <v>8.608901835E10</v>
      </c>
      <c r="H25" s="22" t="n">
        <f>2158500.0</f>
        <v>2158500.0</v>
      </c>
      <c r="I25" s="23" t="n">
        <f>0.012</f>
        <v>0.012</v>
      </c>
    </row>
    <row r="26" spans="1:9" ht="24.9" customHeight="1">
      <c r="A26" s="41"/>
      <c r="B26" s="39"/>
      <c r="C26" s="20" t="s">
        <v>17</v>
      </c>
      <c r="D26" s="21" t="n">
        <f>10499.0</f>
        <v>10499.0</v>
      </c>
      <c r="E26" s="22" t="n">
        <f>0.0</f>
        <v>0.0</v>
      </c>
      <c r="F26" s="23" t="n">
        <f>0.022</f>
        <v>0.022</v>
      </c>
      <c r="G26" s="21" t="n">
        <f>110095553900.0</f>
        <v>1.100955539E11</v>
      </c>
      <c r="H26" s="22" t="n">
        <f>0.0</f>
        <v>0.0</v>
      </c>
      <c r="I26" s="23" t="n">
        <f>0.018</f>
        <v>0.018</v>
      </c>
    </row>
    <row r="27" spans="1:9" ht="24.9" customHeight="1">
      <c r="A27" s="42"/>
      <c r="B27" s="39"/>
      <c r="C27" s="24" t="s">
        <v>18</v>
      </c>
      <c r="D27" s="25" t="n">
        <f>35060.0</f>
        <v>35060.0</v>
      </c>
      <c r="E27" s="26" t="n">
        <f>1.0</f>
        <v>1.0</v>
      </c>
      <c r="F27" s="27" t="n">
        <f>0.021</f>
        <v>0.021</v>
      </c>
      <c r="G27" s="25" t="n">
        <f>352679880000.0</f>
        <v>3.5267988E11</v>
      </c>
      <c r="H27" s="26" t="n">
        <f>2158500.0</f>
        <v>2158500.0</v>
      </c>
      <c r="I27" s="27" t="n">
        <f>0.017</f>
        <v>0.017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289.0</f>
        <v>289.0</v>
      </c>
      <c r="E28" s="18" t="n">
        <f>0.0</f>
        <v>0.0</v>
      </c>
      <c r="F28" s="19" t="n">
        <f>0.0</f>
        <v>0.0</v>
      </c>
      <c r="G28" s="17" t="n">
        <f>1158292500.0</f>
        <v>1.1582925E9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886.0</f>
        <v>886.0</v>
      </c>
      <c r="E29" s="22" t="n">
        <f>0.0</f>
        <v>0.0</v>
      </c>
      <c r="F29" s="23" t="n">
        <f>0.002</f>
        <v>0.002</v>
      </c>
      <c r="G29" s="21" t="n">
        <f>3495639000.0</f>
        <v>3.495639E9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2234.0</f>
        <v>2234.0</v>
      </c>
      <c r="E30" s="22" t="n">
        <f>0.0</f>
        <v>0.0</v>
      </c>
      <c r="F30" s="23" t="n">
        <f>0.005</f>
        <v>0.005</v>
      </c>
      <c r="G30" s="21" t="n">
        <f>8659976000.0</f>
        <v>8.659976E9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3409.0</f>
        <v>3409.0</v>
      </c>
      <c r="E31" s="26" t="n">
        <f>0.0</f>
        <v>0.0</v>
      </c>
      <c r="F31" s="27" t="n">
        <f>0.002</f>
        <v>0.002</v>
      </c>
      <c r="G31" s="25" t="n">
        <f>13313907500.0</f>
        <v>1.33139075E10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46268.0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46268.0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33483</f>
        <v>33483.0</v>
      </c>
      <c r="E11" s="18" t="n">
        <f>6256</f>
        <v>6256.0</v>
      </c>
      <c r="F11" s="19" t="n">
        <f>1</f>
        <v>1.0</v>
      </c>
      <c r="G11" s="17" t="n">
        <f>4573144380</f>
        <v>4.57314438E9</v>
      </c>
      <c r="H11" s="18" t="n">
        <f>2490907280</f>
        <v>2.49090728E9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34622</f>
        <v>34622.0</v>
      </c>
      <c r="E12" s="22" t="n">
        <f>8918</f>
        <v>8918.0</v>
      </c>
      <c r="F12" s="23" t="n">
        <f>1</f>
        <v>1.0</v>
      </c>
      <c r="G12" s="21" t="n">
        <f>3877803915</f>
        <v>3.877803915E9</v>
      </c>
      <c r="H12" s="22" t="n">
        <f>2487998320</f>
        <v>2.48799832E9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59048</f>
        <v>59048.0</v>
      </c>
      <c r="E13" s="22" t="n">
        <f>29213</f>
        <v>29213.0</v>
      </c>
      <c r="F13" s="23" t="n">
        <f>1</f>
        <v>1.0</v>
      </c>
      <c r="G13" s="21" t="n">
        <f>17775313835</f>
        <v>1.7775313835E10</v>
      </c>
      <c r="H13" s="22" t="n">
        <f>15525271430</f>
        <v>1.552527143E10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127153</f>
        <v>127153.0</v>
      </c>
      <c r="E14" s="26" t="n">
        <f>44387</f>
        <v>44387.0</v>
      </c>
      <c r="F14" s="27" t="n">
        <f>1</f>
        <v>1.0</v>
      </c>
      <c r="G14" s="25" t="n">
        <f>26226262130</f>
        <v>2.622626213E10</v>
      </c>
      <c r="H14" s="26" t="n">
        <f>20504177030</f>
        <v>2.050417703E10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3</f>
        <v>3.0</v>
      </c>
      <c r="E15" s="18" t="n">
        <f>0</f>
        <v>0.0</v>
      </c>
      <c r="F15" s="19" t="n">
        <f>0</f>
        <v>0.0</v>
      </c>
      <c r="G15" s="17" t="n">
        <f>270000</f>
        <v>270000.0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25</f>
        <v>25.0</v>
      </c>
      <c r="E16" s="22" t="n">
        <f>0</f>
        <v>0.0</v>
      </c>
      <c r="F16" s="23" t="n">
        <f>0.001</f>
        <v>0.001</v>
      </c>
      <c r="G16" s="21" t="n">
        <f>6210000</f>
        <v>6210000.0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346</f>
        <v>346.0</v>
      </c>
      <c r="E17" s="22" t="n">
        <f>160</f>
        <v>160.0</v>
      </c>
      <c r="F17" s="23" t="n">
        <f>0.006</f>
        <v>0.006</v>
      </c>
      <c r="G17" s="21" t="n">
        <f>75820000</f>
        <v>7.582E7</v>
      </c>
      <c r="H17" s="22" t="n">
        <f>28400000</f>
        <v>2.84E7</v>
      </c>
      <c r="I17" s="23" t="n">
        <f>0.004</f>
        <v>0.004</v>
      </c>
    </row>
    <row r="18" spans="1:9" ht="24.9" customHeight="1">
      <c r="A18" s="41"/>
      <c r="B18" s="39"/>
      <c r="C18" s="24" t="s">
        <v>18</v>
      </c>
      <c r="D18" s="25" t="n">
        <f>374</f>
        <v>374.0</v>
      </c>
      <c r="E18" s="26" t="n">
        <f>160</f>
        <v>160.0</v>
      </c>
      <c r="F18" s="27" t="n">
        <f>0.003</f>
        <v>0.003</v>
      </c>
      <c r="G18" s="25" t="n">
        <f>82300000</f>
        <v>8.23E7</v>
      </c>
      <c r="H18" s="26" t="n">
        <f>28400000</f>
        <v>2.84E7</v>
      </c>
      <c r="I18" s="27" t="n">
        <f>0.003</f>
        <v>0.003</v>
      </c>
    </row>
    <row r="19" spans="1:9" ht="24.9" customHeight="1">
      <c r="A19" s="41"/>
      <c r="B19" s="39" t="s">
        <v>31</v>
      </c>
      <c r="C19" s="16" t="s">
        <v>15</v>
      </c>
      <c r="D19" s="17" t="n">
        <f>33480</f>
        <v>33480.0</v>
      </c>
      <c r="E19" s="18" t="n">
        <f>6256</f>
        <v>6256.0</v>
      </c>
      <c r="F19" s="19" t="n">
        <f>1</f>
        <v>1.0</v>
      </c>
      <c r="G19" s="17" t="n">
        <f>4572874380</f>
        <v>4.57287438E9</v>
      </c>
      <c r="H19" s="18" t="n">
        <f>2490907280</f>
        <v>2.49090728E9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23056</f>
        <v>23056.0</v>
      </c>
      <c r="E20" s="22" t="n">
        <f>8918</f>
        <v>8918.0</v>
      </c>
      <c r="F20" s="23" t="n">
        <f>0.666</f>
        <v>0.666</v>
      </c>
      <c r="G20" s="21" t="n">
        <f>3855908620</f>
        <v>3.85590862E9</v>
      </c>
      <c r="H20" s="22" t="n">
        <f>2487998320</f>
        <v>2.48799832E9</v>
      </c>
      <c r="I20" s="23" t="n">
        <f>0.994</f>
        <v>0.994</v>
      </c>
    </row>
    <row r="21" spans="1:9" ht="24.9" customHeight="1">
      <c r="A21" s="41"/>
      <c r="B21" s="39"/>
      <c r="C21" s="20" t="s">
        <v>17</v>
      </c>
      <c r="D21" s="21" t="n">
        <f>45918</f>
        <v>45918.0</v>
      </c>
      <c r="E21" s="22" t="n">
        <f>17483</f>
        <v>17483.0</v>
      </c>
      <c r="F21" s="23" t="n">
        <f>0.778</f>
        <v>0.778</v>
      </c>
      <c r="G21" s="21" t="n">
        <f>17533467030</f>
        <v>1.753346703E10</v>
      </c>
      <c r="H21" s="22" t="n">
        <f>15335071430</f>
        <v>1.533507143E10</v>
      </c>
      <c r="I21" s="23" t="n">
        <f>0.986</f>
        <v>0.986</v>
      </c>
    </row>
    <row r="22" spans="1:9" ht="24.9" customHeight="1">
      <c r="A22" s="41"/>
      <c r="B22" s="39"/>
      <c r="C22" s="24" t="s">
        <v>18</v>
      </c>
      <c r="D22" s="25" t="n">
        <f>102454</f>
        <v>102454.0</v>
      </c>
      <c r="E22" s="26" t="n">
        <f>32657</f>
        <v>32657.0</v>
      </c>
      <c r="F22" s="27" t="n">
        <f>0.806</f>
        <v>0.806</v>
      </c>
      <c r="G22" s="25" t="n">
        <f>25962250030</f>
        <v>2.596225003E10</v>
      </c>
      <c r="H22" s="26" t="n">
        <f>20313977030</f>
        <v>2.031397703E10</v>
      </c>
      <c r="I22" s="27" t="n">
        <f>0.99</f>
        <v>0.99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11541</f>
        <v>11541.0</v>
      </c>
      <c r="E24" s="22" t="n">
        <f>0</f>
        <v>0.0</v>
      </c>
      <c r="F24" s="23" t="n">
        <f>0.333</f>
        <v>0.333</v>
      </c>
      <c r="G24" s="21" t="n">
        <f>15685295</f>
        <v>1.5685295E7</v>
      </c>
      <c r="H24" s="22" t="n">
        <f>0</f>
        <v>0.0</v>
      </c>
      <c r="I24" s="23" t="n">
        <f>0.004</f>
        <v>0.004</v>
      </c>
    </row>
    <row r="25" spans="1:9" ht="24.9" customHeight="1">
      <c r="A25" s="41"/>
      <c r="B25" s="39"/>
      <c r="C25" s="20" t="s">
        <v>17</v>
      </c>
      <c r="D25" s="21" t="n">
        <f>12784</f>
        <v>12784.0</v>
      </c>
      <c r="E25" s="22" t="n">
        <f>11570</f>
        <v>11570.0</v>
      </c>
      <c r="F25" s="23" t="n">
        <f>0.217</f>
        <v>0.217</v>
      </c>
      <c r="G25" s="21" t="n">
        <f>166026805</f>
        <v>1.66026805E8</v>
      </c>
      <c r="H25" s="22" t="n">
        <f>161800000</f>
        <v>1.618E8</v>
      </c>
      <c r="I25" s="23" t="n">
        <f>0.009</f>
        <v>0.009</v>
      </c>
    </row>
    <row r="26" spans="1:9" ht="24.9" customHeight="1">
      <c r="A26" s="41"/>
      <c r="B26" s="39"/>
      <c r="C26" s="24" t="s">
        <v>18</v>
      </c>
      <c r="D26" s="25" t="n">
        <f>24325</f>
        <v>24325.0</v>
      </c>
      <c r="E26" s="26" t="n">
        <f>11570</f>
        <v>11570.0</v>
      </c>
      <c r="F26" s="27" t="n">
        <f>0.191</f>
        <v>0.191</v>
      </c>
      <c r="G26" s="25" t="n">
        <f>181712100</f>
        <v>1.817121E8</v>
      </c>
      <c r="H26" s="26" t="n">
        <f>161800000</f>
        <v>1.618E8</v>
      </c>
      <c r="I26" s="27" t="n">
        <f>0.007</f>
        <v>0.007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46268.0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46268.0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13418.0</v>
      </c>
      <c r="F12" s="18" t="n">
        <f>1744</f>
        <v>1744.0</v>
      </c>
      <c r="G12" s="17" t="n">
        <v>8.62442517775E11</v>
      </c>
      <c r="H12" s="18" t="n">
        <f>112173854775</f>
        <v>1.12173854775E11</v>
      </c>
    </row>
    <row r="13" spans="1:8" ht="24.9" customHeight="1">
      <c r="A13" s="51"/>
      <c r="B13" s="57"/>
      <c r="C13" s="39"/>
      <c r="D13" s="20" t="s">
        <v>16</v>
      </c>
      <c r="E13" s="21" t="n">
        <v>7562.0</v>
      </c>
      <c r="F13" s="22" t="n">
        <f>1755</f>
        <v>1755.0</v>
      </c>
      <c r="G13" s="21" t="n">
        <v>4.867559934E11</v>
      </c>
      <c r="H13" s="22" t="n">
        <f>112814199400</f>
        <v>1.128141994E11</v>
      </c>
    </row>
    <row r="14" spans="1:8" ht="24.9" customHeight="1">
      <c r="A14" s="51"/>
      <c r="B14" s="57"/>
      <c r="C14" s="39"/>
      <c r="D14" s="20" t="s">
        <v>17</v>
      </c>
      <c r="E14" s="21" t="n">
        <v>17034.0</v>
      </c>
      <c r="F14" s="22" t="n">
        <f>5379</f>
        <v>5379.0</v>
      </c>
      <c r="G14" s="21" t="n">
        <v>1.09429939984E12</v>
      </c>
      <c r="H14" s="22" t="n">
        <f>345643669840</f>
        <v>3.4564366984E11</v>
      </c>
    </row>
    <row r="15" spans="1:8" ht="24.9" customHeight="1">
      <c r="A15" s="51"/>
      <c r="B15" s="57"/>
      <c r="C15" s="39"/>
      <c r="D15" s="24" t="s">
        <v>18</v>
      </c>
      <c r="E15" s="25" t="n">
        <v>38014.0</v>
      </c>
      <c r="F15" s="26" t="n">
        <f>8878</f>
        <v>8878.0</v>
      </c>
      <c r="G15" s="25" t="n">
        <v>2.443497911015E12</v>
      </c>
      <c r="H15" s="26" t="n">
        <f>570631724015</f>
        <v>5.70631724015E11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312445.0</v>
      </c>
      <c r="F16" s="18" t="n">
        <f>41321</f>
        <v>41321.0</v>
      </c>
      <c r="G16" s="17" t="n">
        <v>2.00726799635E12</v>
      </c>
      <c r="H16" s="18" t="n">
        <f>265254310350</f>
        <v>2.6525431035E11</v>
      </c>
    </row>
    <row r="17" spans="1:8" ht="24.9" customHeight="1">
      <c r="A17" s="51"/>
      <c r="B17" s="57"/>
      <c r="C17" s="39"/>
      <c r="D17" s="20" t="s">
        <v>16</v>
      </c>
      <c r="E17" s="21" t="n">
        <v>130433.0</v>
      </c>
      <c r="F17" s="22" t="n">
        <f>14643</f>
        <v>14643.0</v>
      </c>
      <c r="G17" s="21" t="n">
        <v>8.3961171958E11</v>
      </c>
      <c r="H17" s="22" t="n">
        <f>94241543080</f>
        <v>9.424154308E10</v>
      </c>
    </row>
    <row r="18" spans="1:8" ht="24.9" customHeight="1">
      <c r="A18" s="51"/>
      <c r="B18" s="57"/>
      <c r="C18" s="39"/>
      <c r="D18" s="20" t="s">
        <v>17</v>
      </c>
      <c r="E18" s="21" t="n">
        <v>176335.0</v>
      </c>
      <c r="F18" s="22" t="n">
        <f>25879</f>
        <v>25879.0</v>
      </c>
      <c r="G18" s="21" t="n">
        <v>1.13304338539E12</v>
      </c>
      <c r="H18" s="22" t="n">
        <f>166229958890</f>
        <v>1.6622995889E11</v>
      </c>
    </row>
    <row r="19" spans="1:8" ht="24.9" customHeight="1">
      <c r="A19" s="51"/>
      <c r="B19" s="57"/>
      <c r="C19" s="39"/>
      <c r="D19" s="24" t="s">
        <v>18</v>
      </c>
      <c r="E19" s="25" t="n">
        <v>619213.0</v>
      </c>
      <c r="F19" s="26" t="n">
        <f>81843</f>
        <v>81843.0</v>
      </c>
      <c r="G19" s="25" t="n">
        <v>3.97992310132E12</v>
      </c>
      <c r="H19" s="26" t="n">
        <f>525725812320</f>
        <v>5.2572581232E11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409326.0</v>
      </c>
      <c r="F20" s="18" t="str">
        <f>"－"</f>
        <v>－</v>
      </c>
      <c r="G20" s="17" t="n">
        <v>2.628812563E11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160222.0</v>
      </c>
      <c r="F21" s="22" t="str">
        <f>"－"</f>
        <v>－</v>
      </c>
      <c r="G21" s="21" t="n">
        <v>1.031254856E11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193713.0</v>
      </c>
      <c r="F22" s="22" t="str">
        <f>"－"</f>
        <v>－</v>
      </c>
      <c r="G22" s="21" t="n">
        <v>1.2448067655E11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763261.0</v>
      </c>
      <c r="F23" s="26" t="str">
        <f>"－"</f>
        <v>－</v>
      </c>
      <c r="G23" s="25" t="n">
        <v>4.9048741845E11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16674.0</v>
      </c>
      <c r="F24" s="18" t="n">
        <f>430</f>
        <v>430.0</v>
      </c>
      <c r="G24" s="17" t="n">
        <v>6.81195333E11</v>
      </c>
      <c r="H24" s="18" t="n">
        <f>17555342000</f>
        <v>1.7555342E10</v>
      </c>
    </row>
    <row r="25" spans="1:8" ht="24.9" customHeight="1">
      <c r="A25" s="51"/>
      <c r="B25" s="57"/>
      <c r="C25" s="39"/>
      <c r="D25" s="20" t="s">
        <v>16</v>
      </c>
      <c r="E25" s="21" t="n">
        <v>17776.0</v>
      </c>
      <c r="F25" s="22" t="n">
        <f>3370</f>
        <v>3370.0</v>
      </c>
      <c r="G25" s="21" t="n">
        <v>7.30066652E11</v>
      </c>
      <c r="H25" s="22" t="n">
        <f>138121233000</f>
        <v>1.38121233E11</v>
      </c>
    </row>
    <row r="26" spans="1:8" ht="24.9" customHeight="1">
      <c r="A26" s="51"/>
      <c r="B26" s="57"/>
      <c r="C26" s="39"/>
      <c r="D26" s="20" t="s">
        <v>17</v>
      </c>
      <c r="E26" s="21" t="n">
        <v>29590.0</v>
      </c>
      <c r="F26" s="22" t="n">
        <f>6865</f>
        <v>6865.0</v>
      </c>
      <c r="G26" s="21" t="n">
        <v>1.21627067505E12</v>
      </c>
      <c r="H26" s="22" t="n">
        <f>282032169050</f>
        <v>2.8203216905E11</v>
      </c>
    </row>
    <row r="27" spans="1:8" ht="24.9" customHeight="1">
      <c r="A27" s="51"/>
      <c r="B27" s="57"/>
      <c r="C27" s="39"/>
      <c r="D27" s="24" t="s">
        <v>18</v>
      </c>
      <c r="E27" s="25" t="n">
        <v>64040.0</v>
      </c>
      <c r="F27" s="26" t="n">
        <f>10665</f>
        <v>10665.0</v>
      </c>
      <c r="G27" s="25" t="n">
        <v>2.62753266005E12</v>
      </c>
      <c r="H27" s="26" t="n">
        <f>437708744050</f>
        <v>4.3770874405E11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6635.0</v>
      </c>
      <c r="F28" s="18" t="n">
        <f>547</f>
        <v>547.0</v>
      </c>
      <c r="G28" s="17" t="n">
        <v>2.70913473E10</v>
      </c>
      <c r="H28" s="18" t="n">
        <f>2233060800</f>
        <v>2.2330608E9</v>
      </c>
    </row>
    <row r="29" spans="1:8" ht="24.9" customHeight="1">
      <c r="A29" s="51"/>
      <c r="B29" s="57"/>
      <c r="C29" s="39"/>
      <c r="D29" s="20" t="s">
        <v>16</v>
      </c>
      <c r="E29" s="21" t="n">
        <v>5080.0</v>
      </c>
      <c r="F29" s="22" t="n">
        <f>219</f>
        <v>219.0</v>
      </c>
      <c r="G29" s="21" t="n">
        <v>2.088400165E10</v>
      </c>
      <c r="H29" s="22" t="n">
        <f>900431300</f>
        <v>9.004313E8</v>
      </c>
    </row>
    <row r="30" spans="1:8" ht="24.9" customHeight="1">
      <c r="A30" s="51"/>
      <c r="B30" s="57"/>
      <c r="C30" s="39"/>
      <c r="D30" s="20" t="s">
        <v>17</v>
      </c>
      <c r="E30" s="21" t="n">
        <v>7764.0</v>
      </c>
      <c r="F30" s="22" t="n">
        <f>216</f>
        <v>216.0</v>
      </c>
      <c r="G30" s="21" t="n">
        <v>3.191430615E10</v>
      </c>
      <c r="H30" s="22" t="n">
        <f>888272700</f>
        <v>8.882727E8</v>
      </c>
    </row>
    <row r="31" spans="1:8" ht="24.9" customHeight="1">
      <c r="A31" s="51"/>
      <c r="B31" s="57"/>
      <c r="C31" s="39"/>
      <c r="D31" s="24" t="s">
        <v>18</v>
      </c>
      <c r="E31" s="25" t="n">
        <v>19479.0</v>
      </c>
      <c r="F31" s="26" t="n">
        <f>982</f>
        <v>982.0</v>
      </c>
      <c r="G31" s="25" t="n">
        <v>7.98896551E10</v>
      </c>
      <c r="H31" s="26" t="n">
        <f>4021764800</f>
        <v>4.0217648E9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267.0</v>
      </c>
      <c r="F36" s="18" t="n">
        <f>2</f>
        <v>2.0</v>
      </c>
      <c r="G36" s="17" t="n">
        <v>9.8238E8</v>
      </c>
      <c r="H36" s="18" t="n">
        <f>7361500</f>
        <v>7361500.0</v>
      </c>
    </row>
    <row r="37" spans="1:8" ht="24.9" customHeight="1">
      <c r="A37" s="51"/>
      <c r="B37" s="57"/>
      <c r="C37" s="39"/>
      <c r="D37" s="20" t="s">
        <v>16</v>
      </c>
      <c r="E37" s="21" t="n">
        <v>1069.0</v>
      </c>
      <c r="F37" s="22" t="n">
        <f>0</f>
        <v>0.0</v>
      </c>
      <c r="G37" s="21" t="n">
        <v>3.9535035E9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966.0</v>
      </c>
      <c r="F38" s="22" t="n">
        <f>16</f>
        <v>16.0</v>
      </c>
      <c r="G38" s="21" t="n">
        <v>3.5757255E9</v>
      </c>
      <c r="H38" s="22" t="n">
        <f>59343000</f>
        <v>5.9343E7</v>
      </c>
    </row>
    <row r="39" spans="1:8" ht="24.9" customHeight="1">
      <c r="A39" s="51"/>
      <c r="B39" s="57"/>
      <c r="C39" s="39"/>
      <c r="D39" s="24" t="s">
        <v>18</v>
      </c>
      <c r="E39" s="25" t="n">
        <v>2302.0</v>
      </c>
      <c r="F39" s="26" t="n">
        <f>18</f>
        <v>18.0</v>
      </c>
      <c r="G39" s="25" t="n">
        <v>8.511609E9</v>
      </c>
      <c r="H39" s="26" t="n">
        <f>66704500</f>
        <v>6.67045E7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86.0</v>
      </c>
      <c r="F46" s="22" t="n">
        <f>86</f>
        <v>86.0</v>
      </c>
      <c r="G46" s="21" t="n">
        <v>6.7873E8</v>
      </c>
      <c r="H46" s="22" t="n">
        <f>678730000</f>
        <v>6.7873E8</v>
      </c>
    </row>
    <row r="47" spans="1:8" ht="24.9" customHeight="1">
      <c r="A47" s="51"/>
      <c r="B47" s="57"/>
      <c r="C47" s="39"/>
      <c r="D47" s="24" t="s">
        <v>18</v>
      </c>
      <c r="E47" s="25" t="n">
        <v>86.0</v>
      </c>
      <c r="F47" s="26" t="n">
        <f>86</f>
        <v>86.0</v>
      </c>
      <c r="G47" s="25" t="n">
        <v>6.7873E8</v>
      </c>
      <c r="H47" s="26" t="n">
        <f>678730000</f>
        <v>6.7873E8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4.0</v>
      </c>
      <c r="F48" s="18" t="n">
        <f>1</f>
        <v>1.0</v>
      </c>
      <c r="G48" s="17" t="n">
        <v>7136000.0</v>
      </c>
      <c r="H48" s="18" t="n">
        <f>1784000</f>
        <v>1784000.0</v>
      </c>
    </row>
    <row r="49" spans="1:8" ht="24.9" customHeight="1">
      <c r="A49" s="51"/>
      <c r="B49" s="57"/>
      <c r="C49" s="39"/>
      <c r="D49" s="20" t="s">
        <v>16</v>
      </c>
      <c r="E49" s="21" t="n">
        <v>214.0</v>
      </c>
      <c r="F49" s="22" t="n">
        <f>186</f>
        <v>186.0</v>
      </c>
      <c r="G49" s="21" t="n">
        <v>3.824899E8</v>
      </c>
      <c r="H49" s="22" t="n">
        <f>332549400</f>
        <v>3.325494E8</v>
      </c>
    </row>
    <row r="50" spans="1:8" ht="24.9" customHeight="1">
      <c r="A50" s="51"/>
      <c r="B50" s="57"/>
      <c r="C50" s="39"/>
      <c r="D50" s="20" t="s">
        <v>17</v>
      </c>
      <c r="E50" s="21" t="n">
        <v>314.0</v>
      </c>
      <c r="F50" s="22" t="n">
        <f>264</f>
        <v>264.0</v>
      </c>
      <c r="G50" s="21" t="n">
        <v>5.5722661E8</v>
      </c>
      <c r="H50" s="22" t="n">
        <f>468235110</f>
        <v>4.6823511E8</v>
      </c>
    </row>
    <row r="51" spans="1:8" ht="24.9" customHeight="1">
      <c r="A51" s="51"/>
      <c r="B51" s="57"/>
      <c r="C51" s="39"/>
      <c r="D51" s="24" t="s">
        <v>18</v>
      </c>
      <c r="E51" s="25" t="n">
        <v>532.0</v>
      </c>
      <c r="F51" s="26" t="n">
        <f>451</f>
        <v>451.0</v>
      </c>
      <c r="G51" s="25" t="n">
        <v>9.4685251E8</v>
      </c>
      <c r="H51" s="26" t="n">
        <f>802568510</f>
        <v>8.0256851E8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1168.0</v>
      </c>
      <c r="F56" s="18" t="n">
        <f>48</f>
        <v>48.0</v>
      </c>
      <c r="G56" s="17" t="n">
        <v>9.017603E8</v>
      </c>
      <c r="H56" s="18" t="n">
        <f>37039300</f>
        <v>3.70393E7</v>
      </c>
    </row>
    <row r="57" spans="1:8" ht="24.9" customHeight="1">
      <c r="A57" s="51"/>
      <c r="B57" s="57"/>
      <c r="C57" s="39"/>
      <c r="D57" s="20" t="s">
        <v>16</v>
      </c>
      <c r="E57" s="21" t="n">
        <v>1932.0</v>
      </c>
      <c r="F57" s="22" t="n">
        <f>84</f>
        <v>84.0</v>
      </c>
      <c r="G57" s="21" t="n">
        <v>1.4982339E9</v>
      </c>
      <c r="H57" s="22" t="n">
        <f>65304900</f>
        <v>6.53049E7</v>
      </c>
    </row>
    <row r="58" spans="1:8" ht="24.9" customHeight="1">
      <c r="A58" s="51"/>
      <c r="B58" s="57"/>
      <c r="C58" s="39"/>
      <c r="D58" s="20" t="s">
        <v>17</v>
      </c>
      <c r="E58" s="21" t="n">
        <v>7746.0</v>
      </c>
      <c r="F58" s="22" t="n">
        <f>6660</f>
        <v>6660.0</v>
      </c>
      <c r="G58" s="21" t="n">
        <v>6.01095398E9</v>
      </c>
      <c r="H58" s="22" t="n">
        <f>5170330980</f>
        <v>5.17033098E9</v>
      </c>
    </row>
    <row r="59" spans="1:8" ht="24.9" customHeight="1">
      <c r="A59" s="51"/>
      <c r="B59" s="57"/>
      <c r="C59" s="39"/>
      <c r="D59" s="24" t="s">
        <v>18</v>
      </c>
      <c r="E59" s="25" t="n">
        <v>10846.0</v>
      </c>
      <c r="F59" s="26" t="n">
        <f>6792</f>
        <v>6792.0</v>
      </c>
      <c r="G59" s="25" t="n">
        <v>8.41094818E9</v>
      </c>
      <c r="H59" s="26" t="n">
        <f>5272675180</f>
        <v>5.27267518E9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218.0</v>
      </c>
      <c r="F60" s="18" t="n">
        <f>8</f>
        <v>8.0</v>
      </c>
      <c r="G60" s="17" t="n">
        <v>1.15644411E9</v>
      </c>
      <c r="H60" s="18" t="n">
        <f>42397910</f>
        <v>4.239791E7</v>
      </c>
    </row>
    <row r="61" spans="1:8" ht="24.9" customHeight="1">
      <c r="A61" s="51"/>
      <c r="B61" s="57"/>
      <c r="C61" s="39"/>
      <c r="D61" s="20" t="s">
        <v>16</v>
      </c>
      <c r="E61" s="21" t="n">
        <v>4.0</v>
      </c>
      <c r="F61" s="22" t="n">
        <f>1</f>
        <v>1.0</v>
      </c>
      <c r="G61" s="21" t="n">
        <v>2.12626E7</v>
      </c>
      <c r="H61" s="22" t="n">
        <f>5316200</f>
        <v>5316200.0</v>
      </c>
    </row>
    <row r="62" spans="1:8" ht="24.9" customHeight="1">
      <c r="A62" s="51"/>
      <c r="B62" s="57"/>
      <c r="C62" s="39"/>
      <c r="D62" s="20" t="s">
        <v>17</v>
      </c>
      <c r="E62" s="21" t="n">
        <v>26.0</v>
      </c>
      <c r="F62" s="22" t="n">
        <f>2</f>
        <v>2.0</v>
      </c>
      <c r="G62" s="21" t="n">
        <v>1.382648E8</v>
      </c>
      <c r="H62" s="22" t="n">
        <f>10633900</f>
        <v>1.06339E7</v>
      </c>
    </row>
    <row r="63" spans="1:8" ht="24.9" customHeight="1">
      <c r="A63" s="51"/>
      <c r="B63" s="57"/>
      <c r="C63" s="39"/>
      <c r="D63" s="24" t="s">
        <v>18</v>
      </c>
      <c r="E63" s="25" t="n">
        <v>248.0</v>
      </c>
      <c r="F63" s="26" t="n">
        <f>11</f>
        <v>11.0</v>
      </c>
      <c r="G63" s="25" t="n">
        <v>1.31597151E9</v>
      </c>
      <c r="H63" s="26" t="n">
        <f>58348010</f>
        <v>5.834801E7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3.0</v>
      </c>
      <c r="F76" s="18" t="n">
        <f>0</f>
        <v>0.0</v>
      </c>
      <c r="G76" s="17" t="n">
        <v>886500.0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17.0</v>
      </c>
      <c r="F77" s="22" t="n">
        <f>0</f>
        <v>0.0</v>
      </c>
      <c r="G77" s="21" t="n">
        <v>5027000.0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2.0</v>
      </c>
      <c r="F78" s="22" t="n">
        <f>0</f>
        <v>0.0</v>
      </c>
      <c r="G78" s="21" t="n">
        <v>554000.0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22.0</v>
      </c>
      <c r="F79" s="26" t="n">
        <f>0</f>
        <v>0.0</v>
      </c>
      <c r="G79" s="25" t="n">
        <v>6467500.0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1559.0</v>
      </c>
      <c r="F92" s="18" t="n">
        <f>0</f>
        <v>0.0</v>
      </c>
      <c r="G92" s="17" t="n">
        <v>2.4852328E9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10.0</v>
      </c>
      <c r="F93" s="22" t="n">
        <f>0</f>
        <v>0.0</v>
      </c>
      <c r="G93" s="21" t="n">
        <v>1.58563E7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140.0</v>
      </c>
      <c r="F94" s="22" t="n">
        <f>0</f>
        <v>0.0</v>
      </c>
      <c r="G94" s="21" t="n">
        <v>2.209234E8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1709.0</v>
      </c>
      <c r="F95" s="26" t="n">
        <f>0</f>
        <v>0.0</v>
      </c>
      <c r="G95" s="25" t="n">
        <v>2.7220125E9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22.0</v>
      </c>
      <c r="F96" s="18" t="n">
        <f>0</f>
        <v>0.0</v>
      </c>
      <c r="G96" s="17" t="n">
        <v>5.19936E7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6.0</v>
      </c>
      <c r="F98" s="22" t="n">
        <f>0</f>
        <v>0.0</v>
      </c>
      <c r="G98" s="21" t="n">
        <v>1.40928E7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28.0</v>
      </c>
      <c r="F99" s="26" t="n">
        <f>0</f>
        <v>0.0</v>
      </c>
      <c r="G99" s="25" t="n">
        <v>6.60864E7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27254.0</v>
      </c>
      <c r="F108" s="18" t="n">
        <f>287</f>
        <v>287.0</v>
      </c>
      <c r="G108" s="17" t="n">
        <v>3.413405365E12</v>
      </c>
      <c r="H108" s="18" t="n">
        <f>35974155000</f>
        <v>3.5974155E10</v>
      </c>
    </row>
    <row r="109" spans="1:8" ht="24.9" customHeight="1">
      <c r="A109" s="51"/>
      <c r="B109" s="57"/>
      <c r="C109" s="39"/>
      <c r="D109" s="20" t="s">
        <v>16</v>
      </c>
      <c r="E109" s="21" t="n">
        <v>40460.0</v>
      </c>
      <c r="F109" s="22" t="n">
        <f>3548</f>
        <v>3548.0</v>
      </c>
      <c r="G109" s="21" t="n">
        <v>5.076557515E12</v>
      </c>
      <c r="H109" s="22" t="n">
        <f>444989475000</f>
        <v>4.44989475E11</v>
      </c>
    </row>
    <row r="110" spans="1:8" ht="24.9" customHeight="1">
      <c r="A110" s="51"/>
      <c r="B110" s="57"/>
      <c r="C110" s="39"/>
      <c r="D110" s="20" t="s">
        <v>17</v>
      </c>
      <c r="E110" s="21" t="n">
        <v>19094.0</v>
      </c>
      <c r="F110" s="22" t="n">
        <f>4364</f>
        <v>4364.0</v>
      </c>
      <c r="G110" s="21" t="n">
        <v>2.3982952E12</v>
      </c>
      <c r="H110" s="22" t="n">
        <f>547717840000</f>
        <v>5.4771784E11</v>
      </c>
    </row>
    <row r="111" spans="1:8" ht="24.9" customHeight="1">
      <c r="A111" s="51"/>
      <c r="B111" s="57"/>
      <c r="C111" s="39"/>
      <c r="D111" s="24" t="s">
        <v>18</v>
      </c>
      <c r="E111" s="25" t="n">
        <v>86808.0</v>
      </c>
      <c r="F111" s="26" t="n">
        <f>8199</f>
        <v>8199.0</v>
      </c>
      <c r="G111" s="25" t="n">
        <v>1.088825808E13</v>
      </c>
      <c r="H111" s="26" t="n">
        <f>1028681470000</f>
        <v>1.02868147E12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1.0</v>
      </c>
      <c r="F112" s="18" t="n">
        <f>0</f>
        <v>0.0</v>
      </c>
      <c r="G112" s="17" t="n">
        <v>1.265E7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65.0</v>
      </c>
      <c r="F113" s="22" t="n">
        <f>0</f>
        <v>0.0</v>
      </c>
      <c r="G113" s="21" t="n">
        <v>8.15885E8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6.0</v>
      </c>
      <c r="F114" s="22" t="n">
        <f>0</f>
        <v>0.0</v>
      </c>
      <c r="G114" s="21" t="n">
        <v>7.5396E7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72.0</v>
      </c>
      <c r="F115" s="26" t="n">
        <f>0</f>
        <v>0.0</v>
      </c>
      <c r="G115" s="25" t="n">
        <v>9.03931E8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430.0</v>
      </c>
      <c r="F118" s="22" t="n">
        <f>0</f>
        <v>0.0</v>
      </c>
      <c r="G118" s="21" t="n">
        <v>3.81937E9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430.0</v>
      </c>
      <c r="F119" s="26" t="n">
        <f>0</f>
        <v>0.0</v>
      </c>
      <c r="G119" s="25" t="n">
        <v>3.81937E9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1484.0</v>
      </c>
      <c r="F120" s="18" t="n">
        <f>0</f>
        <v>0.0</v>
      </c>
      <c r="G120" s="17" t="n">
        <v>3.65712475E10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377.0</v>
      </c>
      <c r="F121" s="22" t="n">
        <f>0</f>
        <v>0.0</v>
      </c>
      <c r="G121" s="21" t="n">
        <v>9.27775E9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1800.0</v>
      </c>
      <c r="F122" s="22" t="n">
        <f>0</f>
        <v>0.0</v>
      </c>
      <c r="G122" s="21" t="n">
        <v>4.4418153125E10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3661.0</v>
      </c>
      <c r="F123" s="26" t="n">
        <f>0</f>
        <v>0.0</v>
      </c>
      <c r="G123" s="25" t="n">
        <v>9.0267150625E10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5789.0</v>
      </c>
      <c r="F124" s="18" t="n">
        <f>0</f>
        <v>0.0</v>
      </c>
      <c r="G124" s="17" t="n">
        <v>1.32721936E11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3116.0</v>
      </c>
      <c r="F125" s="22" t="n">
        <f>0</f>
        <v>0.0</v>
      </c>
      <c r="G125" s="21" t="n">
        <v>7.1950947E10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4096.0</v>
      </c>
      <c r="F126" s="22" t="n">
        <f>0</f>
        <v>0.0</v>
      </c>
      <c r="G126" s="21" t="n">
        <v>9.4697834E10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13001.0</v>
      </c>
      <c r="F127" s="26" t="n">
        <f>0</f>
        <v>0.0</v>
      </c>
      <c r="G127" s="25" t="n">
        <v>2.99370717E11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274.0</v>
      </c>
      <c r="F128" s="18" t="n">
        <f>0</f>
        <v>0.0</v>
      </c>
      <c r="G128" s="17" t="n">
        <v>6.17736E8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82.0</v>
      </c>
      <c r="F129" s="22" t="n">
        <f>0</f>
        <v>0.0</v>
      </c>
      <c r="G129" s="21" t="n">
        <v>1.867097E8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182.0</v>
      </c>
      <c r="F130" s="22" t="n">
        <f>0</f>
        <v>0.0</v>
      </c>
      <c r="G130" s="21" t="n">
        <v>4.148682E8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538.0</v>
      </c>
      <c r="F131" s="26" t="n">
        <f>0</f>
        <v>0.0</v>
      </c>
      <c r="G131" s="25" t="n">
        <v>1.2193139E9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7935.0</v>
      </c>
      <c r="F132" s="18" t="n">
        <f>0</f>
        <v>0.0</v>
      </c>
      <c r="G132" s="17" t="n">
        <v>1.82602854E10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3776.0</v>
      </c>
      <c r="F133" s="22" t="n">
        <f>0</f>
        <v>0.0</v>
      </c>
      <c r="G133" s="21" t="n">
        <v>8.74268125E9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4262.0</v>
      </c>
      <c r="F134" s="22" t="n">
        <f>0</f>
        <v>0.0</v>
      </c>
      <c r="G134" s="21" t="n">
        <v>9.8801613E9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15973.0</v>
      </c>
      <c r="F135" s="26" t="n">
        <f>0</f>
        <v>0.0</v>
      </c>
      <c r="G135" s="25" t="n">
        <v>3.688312795E10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27.0</v>
      </c>
      <c r="F136" s="18" t="n">
        <f>0</f>
        <v>0.0</v>
      </c>
      <c r="G136" s="17" t="n">
        <v>6.05161E7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47.0</v>
      </c>
      <c r="F137" s="22" t="n">
        <f>0</f>
        <v>0.0</v>
      </c>
      <c r="G137" s="21" t="n">
        <v>1.060682E8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49.0</v>
      </c>
      <c r="F138" s="22" t="n">
        <f>0</f>
        <v>0.0</v>
      </c>
      <c r="G138" s="21" t="n">
        <v>1.106609E8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123.0</v>
      </c>
      <c r="F139" s="26" t="n">
        <f>0</f>
        <v>0.0</v>
      </c>
      <c r="G139" s="25" t="n">
        <v>2.772452E8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948.0</v>
      </c>
      <c r="F144" s="18" t="n">
        <f>0</f>
        <v>0.0</v>
      </c>
      <c r="G144" s="17" t="n">
        <v>4.168227E9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700.0</v>
      </c>
      <c r="F145" s="22" t="n">
        <f>0</f>
        <v>0.0</v>
      </c>
      <c r="G145" s="21" t="n">
        <v>3.106293E9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756.0</v>
      </c>
      <c r="F146" s="22" t="n">
        <f>0</f>
        <v>0.0</v>
      </c>
      <c r="G146" s="21" t="n">
        <v>3.3562355E9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2404.0</v>
      </c>
      <c r="F147" s="26" t="n">
        <f>0</f>
        <v>0.0</v>
      </c>
      <c r="G147" s="25" t="n">
        <v>1.06307555E10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50.0</v>
      </c>
      <c r="F148" s="18" t="n">
        <f>0</f>
        <v>0.0</v>
      </c>
      <c r="G148" s="17" t="n">
        <v>4.46691E7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48.0</v>
      </c>
      <c r="F149" s="22" t="n">
        <f>0</f>
        <v>0.0</v>
      </c>
      <c r="G149" s="21" t="n">
        <v>4.34602E7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115.0</v>
      </c>
      <c r="F150" s="22" t="n">
        <f>0</f>
        <v>0.0</v>
      </c>
      <c r="G150" s="21" t="n">
        <v>1.040017E8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213.0</v>
      </c>
      <c r="F151" s="26" t="n">
        <f>0</f>
        <v>0.0</v>
      </c>
      <c r="G151" s="25" t="n">
        <v>1.92131E8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170.0</v>
      </c>
      <c r="F152" s="18" t="n">
        <f>0</f>
        <v>0.0</v>
      </c>
      <c r="G152" s="17" t="n">
        <v>1.5028645E8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150.0</v>
      </c>
      <c r="F153" s="22" t="n">
        <f>0</f>
        <v>0.0</v>
      </c>
      <c r="G153" s="21" t="n">
        <v>1.337587E8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180.0</v>
      </c>
      <c r="F154" s="22" t="n">
        <f>0</f>
        <v>0.0</v>
      </c>
      <c r="G154" s="21" t="n">
        <v>1.601169E8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500.0</v>
      </c>
      <c r="F155" s="26" t="n">
        <f>0</f>
        <v>0.0</v>
      </c>
      <c r="G155" s="25" t="n">
        <v>4.4416205E8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214.0</v>
      </c>
      <c r="F156" s="18" t="n">
        <f>0</f>
        <v>0.0</v>
      </c>
      <c r="G156" s="17" t="n">
        <v>1.876377E8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430.0</v>
      </c>
      <c r="F157" s="22" t="n">
        <f>0</f>
        <v>0.0</v>
      </c>
      <c r="G157" s="21" t="n">
        <v>3.839933E8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381.0</v>
      </c>
      <c r="F158" s="22" t="n">
        <f>0</f>
        <v>0.0</v>
      </c>
      <c r="G158" s="21" t="n">
        <v>3.395654E8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1025.0</v>
      </c>
      <c r="F159" s="26" t="n">
        <f>0</f>
        <v>0.0</v>
      </c>
      <c r="G159" s="25" t="n">
        <v>9.111964E8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132.0</v>
      </c>
      <c r="F168" s="18" t="n">
        <f>0</f>
        <v>0.0</v>
      </c>
      <c r="G168" s="17" t="n">
        <v>2.84014E8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625.0</v>
      </c>
      <c r="F169" s="22" t="n">
        <f>1</f>
        <v>1.0</v>
      </c>
      <c r="G169" s="21" t="n">
        <v>1.344627E9</v>
      </c>
      <c r="H169" s="22" t="n">
        <f>2158500</f>
        <v>2158500.0</v>
      </c>
    </row>
    <row r="170" spans="1:8" ht="24.9" customHeight="1">
      <c r="A170" s="51"/>
      <c r="B170" s="57"/>
      <c r="C170" s="39"/>
      <c r="D170" s="20" t="s">
        <v>17</v>
      </c>
      <c r="E170" s="21" t="n">
        <v>474.0</v>
      </c>
      <c r="F170" s="22" t="n">
        <f>0</f>
        <v>0.0</v>
      </c>
      <c r="G170" s="21" t="n">
        <v>1.024552E9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1231.0</v>
      </c>
      <c r="F171" s="26" t="n">
        <f>1</f>
        <v>1.0</v>
      </c>
      <c r="G171" s="25" t="n">
        <v>2.653193E9</v>
      </c>
      <c r="H171" s="26" t="n">
        <f>2158500</f>
        <v>2158500.0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48.0</v>
      </c>
      <c r="F177" s="22" t="n">
        <f>0</f>
        <v>0.0</v>
      </c>
      <c r="G177" s="21" t="n">
        <v>9.048E7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4.0</v>
      </c>
      <c r="F178" s="22" t="n">
        <f>0</f>
        <v>0.0</v>
      </c>
      <c r="G178" s="21" t="n">
        <v>7558000.0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52.0</v>
      </c>
      <c r="F179" s="26" t="n">
        <f>0</f>
        <v>0.0</v>
      </c>
      <c r="G179" s="25" t="n">
        <v>9.8038E7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289.0</v>
      </c>
      <c r="F204" s="18" t="n">
        <f>0</f>
        <v>0.0</v>
      </c>
      <c r="G204" s="17" t="n">
        <v>1.1582925E9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886.0</v>
      </c>
      <c r="F205" s="22" t="n">
        <f>0</f>
        <v>0.0</v>
      </c>
      <c r="G205" s="21" t="n">
        <v>3.495639E9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2234.0</v>
      </c>
      <c r="F206" s="22" t="n">
        <f>0</f>
        <v>0.0</v>
      </c>
      <c r="G206" s="21" t="n">
        <v>8.659976E9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3409.0</v>
      </c>
      <c r="F207" s="26" t="n">
        <f>0</f>
        <v>0.0</v>
      </c>
      <c r="G207" s="25" t="n">
        <v>1.33139075E10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46268.0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46268.0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6661</f>
        <v>6661.0</v>
      </c>
      <c r="E12" s="35" t="n">
        <f>3490</f>
        <v>3490.0</v>
      </c>
      <c r="F12" s="17" t="n">
        <f>3155</f>
        <v>3155.0</v>
      </c>
      <c r="G12" s="35" t="n">
        <f>859</f>
        <v>859.0</v>
      </c>
      <c r="H12" s="17" t="n">
        <f>9816</f>
        <v>9816.0</v>
      </c>
      <c r="I12" s="35" t="n">
        <f>4349</f>
        <v>4349.0</v>
      </c>
      <c r="J12" s="17" t="n">
        <f>3248375720</f>
        <v>3.24837572E9</v>
      </c>
      <c r="K12" s="35" t="n">
        <f>2245247720</f>
        <v>2.24524772E9</v>
      </c>
      <c r="L12" s="17" t="n">
        <f>648991400</f>
        <v>6.489914E8</v>
      </c>
      <c r="M12" s="35" t="n">
        <f>228535400</f>
        <v>2.285354E8</v>
      </c>
      <c r="N12" s="17" t="n">
        <f>3897367120</f>
        <v>3.89736712E9</v>
      </c>
      <c r="O12" s="35" t="n">
        <f>2473783120</f>
        <v>2.47378312E9</v>
      </c>
    </row>
    <row r="13" spans="1:15" ht="24.9" customHeight="1">
      <c r="A13" s="38"/>
      <c r="B13" s="62"/>
      <c r="C13" s="20" t="s">
        <v>16</v>
      </c>
      <c r="D13" s="21" t="n">
        <f>7681</f>
        <v>7681.0</v>
      </c>
      <c r="E13" s="36" t="n">
        <f>5067</f>
        <v>5067.0</v>
      </c>
      <c r="F13" s="21" t="n">
        <f>4573</f>
        <v>4573.0</v>
      </c>
      <c r="G13" s="36" t="n">
        <f>2421</f>
        <v>2421.0</v>
      </c>
      <c r="H13" s="21" t="n">
        <f>12254</f>
        <v>12254.0</v>
      </c>
      <c r="I13" s="36" t="n">
        <f>7488</f>
        <v>7488.0</v>
      </c>
      <c r="J13" s="21" t="n">
        <f>2513482650</f>
        <v>2.51348265E9</v>
      </c>
      <c r="K13" s="36" t="n">
        <f>1932118650</f>
        <v>1.93211865E9</v>
      </c>
      <c r="L13" s="21" t="n">
        <f>1095937720</f>
        <v>1.09593772E9</v>
      </c>
      <c r="M13" s="36" t="n">
        <f>494442720</f>
        <v>4.9444272E8</v>
      </c>
      <c r="N13" s="21" t="n">
        <f>3609420370</f>
        <v>3.60942037E9</v>
      </c>
      <c r="O13" s="36" t="n">
        <f>2426561370</f>
        <v>2.42656137E9</v>
      </c>
    </row>
    <row r="14" spans="1:15" ht="24.9" customHeight="1">
      <c r="A14" s="38"/>
      <c r="B14" s="62"/>
      <c r="C14" s="20" t="s">
        <v>17</v>
      </c>
      <c r="D14" s="21" t="n">
        <f>13298</f>
        <v>13298.0</v>
      </c>
      <c r="E14" s="36" t="n">
        <f>9476</f>
        <v>9476.0</v>
      </c>
      <c r="F14" s="21" t="n">
        <f>9256</f>
        <v>9256.0</v>
      </c>
      <c r="G14" s="36" t="n">
        <f>6172</f>
        <v>6172.0</v>
      </c>
      <c r="H14" s="21" t="n">
        <f>22554</f>
        <v>22554.0</v>
      </c>
      <c r="I14" s="36" t="n">
        <f>15648</f>
        <v>15648.0</v>
      </c>
      <c r="J14" s="21" t="n">
        <f>11962733820</f>
        <v>1.196273382E10</v>
      </c>
      <c r="K14" s="36" t="n">
        <f>10868344820</f>
        <v>1.086834482E10</v>
      </c>
      <c r="L14" s="21" t="n">
        <f>4516530170</f>
        <v>4.51653017E9</v>
      </c>
      <c r="M14" s="36" t="n">
        <f>3790857170</f>
        <v>3.79085717E9</v>
      </c>
      <c r="N14" s="21" t="n">
        <f>16479263990</f>
        <v>1.647926399E10</v>
      </c>
      <c r="O14" s="36" t="n">
        <f>14659201990</f>
        <v>1.465920199E10</v>
      </c>
    </row>
    <row r="15" spans="1:15" ht="24.9" customHeight="1">
      <c r="A15" s="38"/>
      <c r="B15" s="62"/>
      <c r="C15" s="24" t="s">
        <v>18</v>
      </c>
      <c r="D15" s="25" t="n">
        <f>27640</f>
        <v>27640.0</v>
      </c>
      <c r="E15" s="37" t="n">
        <f>18033</f>
        <v>18033.0</v>
      </c>
      <c r="F15" s="25" t="n">
        <f>16984</f>
        <v>16984.0</v>
      </c>
      <c r="G15" s="37" t="n">
        <f>9452</f>
        <v>9452.0</v>
      </c>
      <c r="H15" s="25" t="n">
        <f>44624</f>
        <v>44624.0</v>
      </c>
      <c r="I15" s="37" t="n">
        <f>27485</f>
        <v>27485.0</v>
      </c>
      <c r="J15" s="25" t="n">
        <f>17724592190</f>
        <v>1.772459219E10</v>
      </c>
      <c r="K15" s="37" t="n">
        <f>15045711190</f>
        <v>1.504571119E10</v>
      </c>
      <c r="L15" s="25" t="n">
        <f>6261459290</f>
        <v>6.26145929E9</v>
      </c>
      <c r="M15" s="37" t="n">
        <f>4513835290</f>
        <v>4.51383529E9</v>
      </c>
      <c r="N15" s="25" t="n">
        <f>23986051480</f>
        <v>2.398605148E10</v>
      </c>
      <c r="O15" s="37" t="n">
        <f>19559546480</f>
        <v>1.955954648E10</v>
      </c>
    </row>
    <row r="16" spans="1:15" ht="24.9" customHeight="1">
      <c r="A16" s="38"/>
      <c r="B16" s="61" t="s">
        <v>105</v>
      </c>
      <c r="C16" s="16" t="s">
        <v>15</v>
      </c>
      <c r="D16" s="17" t="n">
        <f>12137</f>
        <v>12137.0</v>
      </c>
      <c r="E16" s="35" t="n">
        <f>1020</f>
        <v>1020.0</v>
      </c>
      <c r="F16" s="17" t="n">
        <f>11109</f>
        <v>11109.0</v>
      </c>
      <c r="G16" s="35" t="n">
        <f>470</f>
        <v>470.0</v>
      </c>
      <c r="H16" s="17" t="n">
        <f>23246</f>
        <v>23246.0</v>
      </c>
      <c r="I16" s="35" t="n">
        <f>1490</f>
        <v>1490.0</v>
      </c>
      <c r="J16" s="17" t="n">
        <f>385368430</f>
        <v>3.8536843E8</v>
      </c>
      <c r="K16" s="35" t="n">
        <f>8393630</f>
        <v>8393630.0</v>
      </c>
      <c r="L16" s="17" t="n">
        <f>283713830</f>
        <v>2.8371383E8</v>
      </c>
      <c r="M16" s="35" t="n">
        <f>2475530</f>
        <v>2475530.0</v>
      </c>
      <c r="N16" s="17" t="n">
        <f>669082260</f>
        <v>6.6908226E8</v>
      </c>
      <c r="O16" s="35" t="n">
        <f>10869160</f>
        <v>1.086916E7</v>
      </c>
    </row>
    <row r="17" spans="1:15" ht="24.9" customHeight="1">
      <c r="A17" s="38"/>
      <c r="B17" s="62"/>
      <c r="C17" s="20" t="s">
        <v>16</v>
      </c>
      <c r="D17" s="21" t="n">
        <f>5999</f>
        <v>5999.0</v>
      </c>
      <c r="E17" s="36" t="n">
        <f>830</f>
        <v>830.0</v>
      </c>
      <c r="F17" s="21" t="n">
        <f>4603</f>
        <v>4603.0</v>
      </c>
      <c r="G17" s="36" t="n">
        <f>400</f>
        <v>400.0</v>
      </c>
      <c r="H17" s="21" t="n">
        <f>10602</f>
        <v>10602.0</v>
      </c>
      <c r="I17" s="36" t="n">
        <f>1230</f>
        <v>1230.0</v>
      </c>
      <c r="J17" s="21" t="n">
        <f>119925580</f>
        <v>1.1992558E8</v>
      </c>
      <c r="K17" s="36" t="n">
        <f>6241780</f>
        <v>6241780.0</v>
      </c>
      <c r="L17" s="21" t="n">
        <f>75862670</f>
        <v>7.586267E7</v>
      </c>
      <c r="M17" s="36" t="n">
        <f>4495170</f>
        <v>4495170.0</v>
      </c>
      <c r="N17" s="21" t="n">
        <f>195788250</f>
        <v>1.9578825E8</v>
      </c>
      <c r="O17" s="36" t="n">
        <f>10736950</f>
        <v>1.073695E7</v>
      </c>
    </row>
    <row r="18" spans="1:15" ht="24.9" customHeight="1">
      <c r="A18" s="38"/>
      <c r="B18" s="62"/>
      <c r="C18" s="20" t="s">
        <v>17</v>
      </c>
      <c r="D18" s="21" t="n">
        <f>12860</f>
        <v>12860.0</v>
      </c>
      <c r="E18" s="36" t="n">
        <f>840</f>
        <v>840.0</v>
      </c>
      <c r="F18" s="21" t="n">
        <f>10249</f>
        <v>10249.0</v>
      </c>
      <c r="G18" s="36" t="n">
        <f>760</f>
        <v>760.0</v>
      </c>
      <c r="H18" s="21" t="n">
        <f>23109</f>
        <v>23109.0</v>
      </c>
      <c r="I18" s="36" t="n">
        <f>1600</f>
        <v>1600.0</v>
      </c>
      <c r="J18" s="21" t="n">
        <f>232136200</f>
        <v>2.321362E8</v>
      </c>
      <c r="K18" s="36" t="n">
        <f>6578600</f>
        <v>6578600.0</v>
      </c>
      <c r="L18" s="21" t="n">
        <f>151707840</f>
        <v>1.5170784E8</v>
      </c>
      <c r="M18" s="36" t="n">
        <f>1640840</f>
        <v>1640840.0</v>
      </c>
      <c r="N18" s="21" t="n">
        <f>383844040</f>
        <v>3.8384404E8</v>
      </c>
      <c r="O18" s="36" t="n">
        <f>8219440</f>
        <v>8219440.0</v>
      </c>
    </row>
    <row r="19" spans="1:15" ht="24.9" customHeight="1">
      <c r="A19" s="38"/>
      <c r="B19" s="62"/>
      <c r="C19" s="24" t="s">
        <v>18</v>
      </c>
      <c r="D19" s="25" t="n">
        <f>30996</f>
        <v>30996.0</v>
      </c>
      <c r="E19" s="37" t="n">
        <f>2690</f>
        <v>2690.0</v>
      </c>
      <c r="F19" s="25" t="n">
        <f>25961</f>
        <v>25961.0</v>
      </c>
      <c r="G19" s="37" t="n">
        <f>1630</f>
        <v>1630.0</v>
      </c>
      <c r="H19" s="25" t="n">
        <f>56957</f>
        <v>56957.0</v>
      </c>
      <c r="I19" s="37" t="n">
        <f>4320</f>
        <v>4320.0</v>
      </c>
      <c r="J19" s="25" t="n">
        <f>737430210</f>
        <v>7.3743021E8</v>
      </c>
      <c r="K19" s="37" t="n">
        <f>21214010</f>
        <v>2.121401E7</v>
      </c>
      <c r="L19" s="25" t="n">
        <f>511284340</f>
        <v>5.1128434E8</v>
      </c>
      <c r="M19" s="37" t="n">
        <f>8611540</f>
        <v>8611540.0</v>
      </c>
      <c r="N19" s="25" t="n">
        <f>1248714550</f>
        <v>1.24871455E9</v>
      </c>
      <c r="O19" s="37" t="n">
        <f>29825550</f>
        <v>2.982555E7</v>
      </c>
    </row>
    <row r="20" spans="1:15" ht="24.9" customHeight="1">
      <c r="A20" s="38"/>
      <c r="B20" s="61" t="s">
        <v>106</v>
      </c>
      <c r="C20" s="16" t="s">
        <v>15</v>
      </c>
      <c r="D20" s="17" t="n">
        <f>1</f>
        <v>1.0</v>
      </c>
      <c r="E20" s="35" t="n">
        <f>0</f>
        <v>0.0</v>
      </c>
      <c r="F20" s="17" t="n">
        <f>417</f>
        <v>417.0</v>
      </c>
      <c r="G20" s="35" t="n">
        <f>417</f>
        <v>417.0</v>
      </c>
      <c r="H20" s="17" t="n">
        <f>418</f>
        <v>418.0</v>
      </c>
      <c r="I20" s="35" t="n">
        <f>417</f>
        <v>417.0</v>
      </c>
      <c r="J20" s="17" t="n">
        <f>170000</f>
        <v>170000.0</v>
      </c>
      <c r="K20" s="35" t="n">
        <f>0</f>
        <v>0.0</v>
      </c>
      <c r="L20" s="17" t="n">
        <f>6255000</f>
        <v>6255000.0</v>
      </c>
      <c r="M20" s="35" t="n">
        <f>6255000</f>
        <v>6255000.0</v>
      </c>
      <c r="N20" s="17" t="n">
        <f>6425000</f>
        <v>6425000.0</v>
      </c>
      <c r="O20" s="35" t="n">
        <f>6255000</f>
        <v>6255000.0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200</f>
        <v>200.0</v>
      </c>
      <c r="G21" s="36" t="n">
        <f>200</f>
        <v>200.0</v>
      </c>
      <c r="H21" s="21" t="n">
        <f>200</f>
        <v>200.0</v>
      </c>
      <c r="I21" s="36" t="n">
        <f>200</f>
        <v>200.0</v>
      </c>
      <c r="J21" s="21" t="n">
        <f>0</f>
        <v>0.0</v>
      </c>
      <c r="K21" s="36" t="n">
        <f>0</f>
        <v>0.0</v>
      </c>
      <c r="L21" s="21" t="n">
        <f>50700000</f>
        <v>5.07E7</v>
      </c>
      <c r="M21" s="36" t="n">
        <f>50700000</f>
        <v>5.07E7</v>
      </c>
      <c r="N21" s="21" t="n">
        <f>50700000</f>
        <v>5.07E7</v>
      </c>
      <c r="O21" s="36" t="n">
        <f>50700000</f>
        <v>5.07E7</v>
      </c>
    </row>
    <row r="22" spans="1:15" ht="24.9" customHeight="1">
      <c r="A22" s="38"/>
      <c r="B22" s="62"/>
      <c r="C22" s="20" t="s">
        <v>17</v>
      </c>
      <c r="D22" s="21" t="n">
        <f>120</f>
        <v>120.0</v>
      </c>
      <c r="E22" s="36" t="n">
        <f>100</f>
        <v>100.0</v>
      </c>
      <c r="F22" s="21" t="n">
        <f>135</f>
        <v>135.0</v>
      </c>
      <c r="G22" s="36" t="n">
        <f>135</f>
        <v>135.0</v>
      </c>
      <c r="H22" s="21" t="n">
        <f>255</f>
        <v>255.0</v>
      </c>
      <c r="I22" s="36" t="n">
        <f>235</f>
        <v>235.0</v>
      </c>
      <c r="J22" s="21" t="n">
        <f>361709000</f>
        <v>3.61709E8</v>
      </c>
      <c r="K22" s="36" t="n">
        <f>359000000</f>
        <v>3.59E8</v>
      </c>
      <c r="L22" s="21" t="n">
        <f>308650000</f>
        <v>3.0865E8</v>
      </c>
      <c r="M22" s="36" t="n">
        <f>308650000</f>
        <v>3.0865E8</v>
      </c>
      <c r="N22" s="21" t="n">
        <f>670359000</f>
        <v>6.70359E8</v>
      </c>
      <c r="O22" s="36" t="n">
        <f>667650000</f>
        <v>6.6765E8</v>
      </c>
    </row>
    <row r="23" spans="1:15" ht="24.9" customHeight="1">
      <c r="A23" s="38"/>
      <c r="B23" s="62"/>
      <c r="C23" s="24" t="s">
        <v>18</v>
      </c>
      <c r="D23" s="25" t="n">
        <f>121</f>
        <v>121.0</v>
      </c>
      <c r="E23" s="37" t="n">
        <f>100</f>
        <v>100.0</v>
      </c>
      <c r="F23" s="25" t="n">
        <f>752</f>
        <v>752.0</v>
      </c>
      <c r="G23" s="37" t="n">
        <f>752</f>
        <v>752.0</v>
      </c>
      <c r="H23" s="25" t="n">
        <f>873</f>
        <v>873.0</v>
      </c>
      <c r="I23" s="37" t="n">
        <f>852</f>
        <v>852.0</v>
      </c>
      <c r="J23" s="25" t="n">
        <f>361879000</f>
        <v>3.61879E8</v>
      </c>
      <c r="K23" s="37" t="n">
        <f>359000000</f>
        <v>3.59E8</v>
      </c>
      <c r="L23" s="25" t="n">
        <f>365605000</f>
        <v>3.65605E8</v>
      </c>
      <c r="M23" s="37" t="n">
        <f>365605000</f>
        <v>3.65605E8</v>
      </c>
      <c r="N23" s="25" t="n">
        <f>727484000</f>
        <v>7.27484E8</v>
      </c>
      <c r="O23" s="37" t="n">
        <f>724605000</f>
        <v>7.24605E8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3</f>
        <v>3.0</v>
      </c>
      <c r="G36" s="18" t="n">
        <f>0</f>
        <v>0.0</v>
      </c>
      <c r="H36" s="17" t="n">
        <f>3</f>
        <v>3.0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270000</f>
        <v>270000.0</v>
      </c>
      <c r="M36" s="18" t="n">
        <f>0</f>
        <v>0.0</v>
      </c>
      <c r="N36" s="17" t="n">
        <f>270000</f>
        <v>270000.0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10</f>
        <v>10.0</v>
      </c>
      <c r="E37" s="22" t="n">
        <f>0</f>
        <v>0.0</v>
      </c>
      <c r="F37" s="21" t="n">
        <f>15</f>
        <v>15.0</v>
      </c>
      <c r="G37" s="22" t="n">
        <f>0</f>
        <v>0.0</v>
      </c>
      <c r="H37" s="21" t="n">
        <f>25</f>
        <v>25.0</v>
      </c>
      <c r="I37" s="22" t="n">
        <f>0</f>
        <v>0.0</v>
      </c>
      <c r="J37" s="21" t="n">
        <f>3200000</f>
        <v>3200000.0</v>
      </c>
      <c r="K37" s="22" t="n">
        <f>0</f>
        <v>0.0</v>
      </c>
      <c r="L37" s="21" t="n">
        <f>3010000</f>
        <v>3010000.0</v>
      </c>
      <c r="M37" s="22" t="n">
        <f>0</f>
        <v>0.0</v>
      </c>
      <c r="N37" s="21" t="n">
        <f>6210000</f>
        <v>6210000.0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106</f>
        <v>106.0</v>
      </c>
      <c r="E38" s="36" t="n">
        <f>80</f>
        <v>80.0</v>
      </c>
      <c r="F38" s="21" t="n">
        <f>240</f>
        <v>240.0</v>
      </c>
      <c r="G38" s="36" t="n">
        <f>80</f>
        <v>80.0</v>
      </c>
      <c r="H38" s="21" t="n">
        <f>346</f>
        <v>346.0</v>
      </c>
      <c r="I38" s="36" t="n">
        <f>160</f>
        <v>160.0</v>
      </c>
      <c r="J38" s="21" t="n">
        <f>22450000</f>
        <v>2.245E7</v>
      </c>
      <c r="K38" s="36" t="n">
        <f>13600000</f>
        <v>1.36E7</v>
      </c>
      <c r="L38" s="21" t="n">
        <f>53370000</f>
        <v>5.337E7</v>
      </c>
      <c r="M38" s="36" t="n">
        <f>14800000</f>
        <v>1.48E7</v>
      </c>
      <c r="N38" s="21" t="n">
        <f>75820000</f>
        <v>7.582E7</v>
      </c>
      <c r="O38" s="36" t="n">
        <f>28400000</f>
        <v>2.84E7</v>
      </c>
    </row>
    <row r="39" spans="1:15" ht="24.9" customHeight="1">
      <c r="A39" s="38"/>
      <c r="B39" s="62"/>
      <c r="C39" s="24" t="s">
        <v>18</v>
      </c>
      <c r="D39" s="25" t="n">
        <f>116</f>
        <v>116.0</v>
      </c>
      <c r="E39" s="37" t="n">
        <f>80</f>
        <v>80.0</v>
      </c>
      <c r="F39" s="25" t="n">
        <f>258</f>
        <v>258.0</v>
      </c>
      <c r="G39" s="37" t="n">
        <f>80</f>
        <v>80.0</v>
      </c>
      <c r="H39" s="25" t="n">
        <f>374</f>
        <v>374.0</v>
      </c>
      <c r="I39" s="37" t="n">
        <f>160</f>
        <v>160.0</v>
      </c>
      <c r="J39" s="25" t="n">
        <f>25650000</f>
        <v>2.565E7</v>
      </c>
      <c r="K39" s="37" t="n">
        <f>13600000</f>
        <v>1.36E7</v>
      </c>
      <c r="L39" s="25" t="n">
        <f>56650000</f>
        <v>5.665E7</v>
      </c>
      <c r="M39" s="37" t="n">
        <f>14800000</f>
        <v>1.48E7</v>
      </c>
      <c r="N39" s="25" t="n">
        <f>82300000</f>
        <v>8.23E7</v>
      </c>
      <c r="O39" s="37" t="n">
        <f>28400000</f>
        <v>2.84E7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7624</f>
        <v>7624.0</v>
      </c>
      <c r="E41" s="36" t="n">
        <f>0</f>
        <v>0.0</v>
      </c>
      <c r="F41" s="21" t="n">
        <f>3917</f>
        <v>3917.0</v>
      </c>
      <c r="G41" s="36" t="n">
        <f>0</f>
        <v>0.0</v>
      </c>
      <c r="H41" s="21" t="n">
        <f>11541</f>
        <v>11541.0</v>
      </c>
      <c r="I41" s="36" t="n">
        <f>0</f>
        <v>0.0</v>
      </c>
      <c r="J41" s="21" t="n">
        <f>5582698</f>
        <v>5582698.0</v>
      </c>
      <c r="K41" s="36" t="n">
        <f>0</f>
        <v>0.0</v>
      </c>
      <c r="L41" s="21" t="n">
        <f>10102597</f>
        <v>1.0102597E7</v>
      </c>
      <c r="M41" s="36" t="n">
        <f>0</f>
        <v>0.0</v>
      </c>
      <c r="N41" s="21" t="n">
        <f>15685295</f>
        <v>1.5685295E7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9127</f>
        <v>9127.0</v>
      </c>
      <c r="E42" s="36" t="n">
        <f>9020</f>
        <v>9020.0</v>
      </c>
      <c r="F42" s="21" t="n">
        <f>3657</f>
        <v>3657.0</v>
      </c>
      <c r="G42" s="36" t="n">
        <f>2550</f>
        <v>2550.0</v>
      </c>
      <c r="H42" s="21" t="n">
        <f>12784</f>
        <v>12784.0</v>
      </c>
      <c r="I42" s="36" t="n">
        <f>11570</f>
        <v>11570.0</v>
      </c>
      <c r="J42" s="21" t="n">
        <f>146389125</f>
        <v>1.46389125E8</v>
      </c>
      <c r="K42" s="36" t="n">
        <f>143260000</f>
        <v>1.4326E8</v>
      </c>
      <c r="L42" s="21" t="n">
        <f>19637680</f>
        <v>1.963768E7</v>
      </c>
      <c r="M42" s="36" t="n">
        <f>18540000</f>
        <v>1.854E7</v>
      </c>
      <c r="N42" s="21" t="n">
        <f>166026805</f>
        <v>1.66026805E8</v>
      </c>
      <c r="O42" s="36" t="n">
        <f>161800000</f>
        <v>1.618E8</v>
      </c>
    </row>
    <row r="43" spans="1:15" ht="24.9" customHeight="1">
      <c r="A43" s="38"/>
      <c r="B43" s="62"/>
      <c r="C43" s="24" t="s">
        <v>18</v>
      </c>
      <c r="D43" s="25" t="n">
        <f>16751</f>
        <v>16751.0</v>
      </c>
      <c r="E43" s="37" t="n">
        <f>9020</f>
        <v>9020.0</v>
      </c>
      <c r="F43" s="25" t="n">
        <f>7574</f>
        <v>7574.0</v>
      </c>
      <c r="G43" s="37" t="n">
        <f>2550</f>
        <v>2550.0</v>
      </c>
      <c r="H43" s="25" t="n">
        <f>24325</f>
        <v>24325.0</v>
      </c>
      <c r="I43" s="37" t="n">
        <f>11570</f>
        <v>11570.0</v>
      </c>
      <c r="J43" s="25" t="n">
        <f>151971823</f>
        <v>1.51971823E8</v>
      </c>
      <c r="K43" s="37" t="n">
        <f>143260000</f>
        <v>1.4326E8</v>
      </c>
      <c r="L43" s="25" t="n">
        <f>29740277</f>
        <v>2.9740277E7</v>
      </c>
      <c r="M43" s="37" t="n">
        <f>18540000</f>
        <v>1.854E7</v>
      </c>
      <c r="N43" s="25" t="n">
        <f>181712100</f>
        <v>1.817121E8</v>
      </c>
      <c r="O43" s="37" t="n">
        <f>161800000</f>
        <v>1.618E8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