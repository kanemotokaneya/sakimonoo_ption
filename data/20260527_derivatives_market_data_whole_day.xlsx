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<sst xmlns="http://schemas.openxmlformats.org/spreadsheetml/2006/main" count="528" uniqueCount="129">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</sst>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DATE(2026,05,27)</f>
        <v>46169.0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DATE(2026,05,27)</f>
        <v>46169.0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491647.0</f>
        <v>491647.0</v>
      </c>
      <c r="E12" s="18" t="n">
        <f>28884.0</f>
        <v>28884.0</v>
      </c>
      <c r="F12" s="19" t="n">
        <f>1.0</f>
        <v>1.0</v>
      </c>
      <c r="G12" s="17" t="n">
        <f>3851856475345.0</f>
        <v>3.851856475345E12</v>
      </c>
      <c r="H12" s="18" t="n">
        <f>271848326070.0</f>
        <v>2.7184832607E11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502130.0</f>
        <v>502130.0</v>
      </c>
      <c r="E13" s="22" t="n">
        <f>24495.0</f>
        <v>24495.0</v>
      </c>
      <c r="F13" s="23" t="n">
        <f>1.0</f>
        <v>1.0</v>
      </c>
      <c r="G13" s="21" t="n">
        <f>5089929269710.0</f>
        <v>5.08992926971E12</v>
      </c>
      <c r="H13" s="22" t="n">
        <f>437051966960.0</f>
        <v>4.3705196696E11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519433.0</f>
        <v>519433.0</v>
      </c>
      <c r="E14" s="22" t="n">
        <f>46157.0</f>
        <v>46157.0</v>
      </c>
      <c r="F14" s="23" t="n">
        <f>1.0</f>
        <v>1.0</v>
      </c>
      <c r="G14" s="21" t="n">
        <f>6530239618344.0</f>
        <v>6.530239618344E12</v>
      </c>
      <c r="H14" s="22" t="n">
        <f>1562310381919.0</f>
        <v>1.562310381919E12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1513210.0</f>
        <v>1513210.0</v>
      </c>
      <c r="E15" s="26" t="n">
        <f>99536.0</f>
        <v>99536.0</v>
      </c>
      <c r="F15" s="27" t="n">
        <f>1.0</f>
        <v>1.0</v>
      </c>
      <c r="G15" s="25" t="n">
        <f>15472025363399.0</f>
        <v>1.5472025363399E13</v>
      </c>
      <c r="H15" s="26" t="n">
        <f>2271210674949.0</f>
        <v>2.271210674949E12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9067.0</f>
        <v>9067.0</v>
      </c>
      <c r="E16" s="18" t="n">
        <f>436.0</f>
        <v>436.0</v>
      </c>
      <c r="F16" s="19" t="n">
        <f>0.018</f>
        <v>0.018</v>
      </c>
      <c r="G16" s="17" t="n">
        <f>1109182893125.0</f>
        <v>1.109182893125E12</v>
      </c>
      <c r="H16" s="18" t="n">
        <f>55920600000.0</f>
        <v>5.59206E10</v>
      </c>
      <c r="I16" s="19" t="n">
        <f>0.288</f>
        <v>0.288</v>
      </c>
    </row>
    <row r="17" spans="1:9" ht="24.9" customHeight="1">
      <c r="A17" s="41"/>
      <c r="B17" s="39"/>
      <c r="C17" s="20" t="s">
        <v>16</v>
      </c>
      <c r="D17" s="21" t="n">
        <f>13241.0</f>
        <v>13241.0</v>
      </c>
      <c r="E17" s="22" t="n">
        <f>614.0</f>
        <v>614.0</v>
      </c>
      <c r="F17" s="23" t="n">
        <f>0.026</f>
        <v>0.026</v>
      </c>
      <c r="G17" s="21" t="n">
        <f>1625443164000.0</f>
        <v>1.625443164E12</v>
      </c>
      <c r="H17" s="22" t="n">
        <f>78767860000.0</f>
        <v>7.876786E10</v>
      </c>
      <c r="I17" s="23" t="n">
        <f>0.319</f>
        <v>0.319</v>
      </c>
    </row>
    <row r="18" spans="1:9" ht="24.9" customHeight="1">
      <c r="A18" s="41"/>
      <c r="B18" s="39"/>
      <c r="C18" s="20" t="s">
        <v>17</v>
      </c>
      <c r="D18" s="21" t="n">
        <f>19648.0</f>
        <v>19648.0</v>
      </c>
      <c r="E18" s="22" t="n">
        <f>1823.0</f>
        <v>1823.0</v>
      </c>
      <c r="F18" s="23" t="n">
        <f>0.038</f>
        <v>0.038</v>
      </c>
      <c r="G18" s="21" t="n">
        <f>1996341027125.0</f>
        <v>1.996341027125E12</v>
      </c>
      <c r="H18" s="22" t="n">
        <f>234037090000.0</f>
        <v>2.3403709E11</v>
      </c>
      <c r="I18" s="23" t="n">
        <f>0.306</f>
        <v>0.306</v>
      </c>
    </row>
    <row r="19" spans="1:9" ht="24.9" customHeight="1">
      <c r="A19" s="41"/>
      <c r="B19" s="39"/>
      <c r="C19" s="24" t="s">
        <v>18</v>
      </c>
      <c r="D19" s="25" t="n">
        <f>41956.0</f>
        <v>41956.0</v>
      </c>
      <c r="E19" s="26" t="n">
        <f>2873.0</f>
        <v>2873.0</v>
      </c>
      <c r="F19" s="27" t="n">
        <f>0.028</f>
        <v>0.028</v>
      </c>
      <c r="G19" s="25" t="n">
        <f>4730967084250.0</f>
        <v>4.73096708425E12</v>
      </c>
      <c r="H19" s="26" t="n">
        <f>368725550000.0</f>
        <v>3.6872555E11</v>
      </c>
      <c r="I19" s="27" t="n">
        <f>0.306</f>
        <v>0.306</v>
      </c>
    </row>
    <row r="20" spans="1:9" ht="24.9" customHeight="1">
      <c r="A20" s="41"/>
      <c r="B20" s="39" t="s">
        <v>21</v>
      </c>
      <c r="C20" s="16" t="s">
        <v>15</v>
      </c>
      <c r="D20" s="17" t="n">
        <f>471190.0</f>
        <v>471190.0</v>
      </c>
      <c r="E20" s="18" t="n">
        <f>28318.0</f>
        <v>28318.0</v>
      </c>
      <c r="F20" s="19" t="n">
        <f>0.958</f>
        <v>0.958</v>
      </c>
      <c r="G20" s="17" t="n">
        <f>2609691934410.0</f>
        <v>2.60969193441E12</v>
      </c>
      <c r="H20" s="18" t="n">
        <f>215759500710.0</f>
        <v>2.1575950071E11</v>
      </c>
      <c r="I20" s="19" t="n">
        <f>0.678</f>
        <v>0.678</v>
      </c>
    </row>
    <row r="21" spans="1:9" ht="24.9" customHeight="1">
      <c r="A21" s="41"/>
      <c r="B21" s="39"/>
      <c r="C21" s="20" t="s">
        <v>16</v>
      </c>
      <c r="D21" s="21" t="n">
        <f>483901.0</f>
        <v>483901.0</v>
      </c>
      <c r="E21" s="22" t="n">
        <f>23879.0</f>
        <v>23879.0</v>
      </c>
      <c r="F21" s="23" t="n">
        <f>0.964</f>
        <v>0.964</v>
      </c>
      <c r="G21" s="21" t="n">
        <f>3421067882860.0</f>
        <v>3.42106788286E12</v>
      </c>
      <c r="H21" s="22" t="n">
        <f>358280076960.0</f>
        <v>3.5828007696E11</v>
      </c>
      <c r="I21" s="23" t="n">
        <f>0.672</f>
        <v>0.672</v>
      </c>
    </row>
    <row r="22" spans="1:9" ht="24.9" customHeight="1">
      <c r="A22" s="41"/>
      <c r="B22" s="39"/>
      <c r="C22" s="20" t="s">
        <v>17</v>
      </c>
      <c r="D22" s="21" t="n">
        <f>488940.0</f>
        <v>488940.0</v>
      </c>
      <c r="E22" s="22" t="n">
        <f>44267.0</f>
        <v>44267.0</v>
      </c>
      <c r="F22" s="23" t="n">
        <f>0.941</f>
        <v>0.941</v>
      </c>
      <c r="G22" s="21" t="n">
        <f>4449854173469.0</f>
        <v>4.449854173469E12</v>
      </c>
      <c r="H22" s="22" t="n">
        <f>1327916426919.0</f>
        <v>1.327916426919E12</v>
      </c>
      <c r="I22" s="23" t="n">
        <f>0.681</f>
        <v>0.681</v>
      </c>
    </row>
    <row r="23" spans="1:9" ht="24.9" customHeight="1">
      <c r="A23" s="41"/>
      <c r="B23" s="39"/>
      <c r="C23" s="24" t="s">
        <v>18</v>
      </c>
      <c r="D23" s="25" t="n">
        <f>1444031.0</f>
        <v>1444031.0</v>
      </c>
      <c r="E23" s="26" t="n">
        <f>96464.0</f>
        <v>96464.0</v>
      </c>
      <c r="F23" s="27" t="n">
        <f>0.954</f>
        <v>0.954</v>
      </c>
      <c r="G23" s="25" t="n">
        <f>10480613990739.0</f>
        <v>1.0480613990739E13</v>
      </c>
      <c r="H23" s="26" t="n">
        <f>1901956004589.0</f>
        <v>1.901956004589E12</v>
      </c>
      <c r="I23" s="27" t="n">
        <f>0.677</f>
        <v>0.677</v>
      </c>
    </row>
    <row r="24" spans="1:9" ht="24.9" customHeight="1">
      <c r="A24" s="41"/>
      <c r="B24" s="39" t="s">
        <v>22</v>
      </c>
      <c r="C24" s="16" t="s">
        <v>15</v>
      </c>
      <c r="D24" s="17" t="n">
        <f>10938.0</f>
        <v>10938.0</v>
      </c>
      <c r="E24" s="18" t="n">
        <f>0.0</f>
        <v>0.0</v>
      </c>
      <c r="F24" s="19" t="n">
        <f>0.022</f>
        <v>0.022</v>
      </c>
      <c r="G24" s="17" t="n">
        <f>131475340950.0</f>
        <v>1.3147534095E11</v>
      </c>
      <c r="H24" s="18" t="n">
        <f>0.0</f>
        <v>0.0</v>
      </c>
      <c r="I24" s="19" t="n">
        <f>0.034</f>
        <v>0.034</v>
      </c>
    </row>
    <row r="25" spans="1:9" ht="24.9" customHeight="1">
      <c r="A25" s="41"/>
      <c r="B25" s="39"/>
      <c r="C25" s="20" t="s">
        <v>16</v>
      </c>
      <c r="D25" s="21" t="n">
        <f>4664.0</f>
        <v>4664.0</v>
      </c>
      <c r="E25" s="22" t="n">
        <f>2.0</f>
        <v>2.0</v>
      </c>
      <c r="F25" s="23" t="n">
        <f>0.009</f>
        <v>0.009</v>
      </c>
      <c r="G25" s="21" t="n">
        <f>42086288350.0</f>
        <v>4.208628835E10</v>
      </c>
      <c r="H25" s="22" t="n">
        <f>4030000.0</f>
        <v>4030000.0</v>
      </c>
      <c r="I25" s="23" t="n">
        <f>0.008</f>
        <v>0.008</v>
      </c>
    </row>
    <row r="26" spans="1:9" ht="24.9" customHeight="1">
      <c r="A26" s="41"/>
      <c r="B26" s="39"/>
      <c r="C26" s="20" t="s">
        <v>17</v>
      </c>
      <c r="D26" s="21" t="n">
        <f>9837.0</f>
        <v>9837.0</v>
      </c>
      <c r="E26" s="22" t="n">
        <f>33.0</f>
        <v>33.0</v>
      </c>
      <c r="F26" s="23" t="n">
        <f>0.019</f>
        <v>0.019</v>
      </c>
      <c r="G26" s="21" t="n">
        <f>79892953750.0</f>
        <v>7.989295375E10</v>
      </c>
      <c r="H26" s="22" t="n">
        <f>217365000.0</f>
        <v>2.17365E8</v>
      </c>
      <c r="I26" s="23" t="n">
        <f>0.012</f>
        <v>0.012</v>
      </c>
    </row>
    <row r="27" spans="1:9" ht="24.9" customHeight="1">
      <c r="A27" s="42"/>
      <c r="B27" s="39"/>
      <c r="C27" s="24" t="s">
        <v>18</v>
      </c>
      <c r="D27" s="25" t="n">
        <f>25439.0</f>
        <v>25439.0</v>
      </c>
      <c r="E27" s="26" t="n">
        <f>35.0</f>
        <v>35.0</v>
      </c>
      <c r="F27" s="27" t="n">
        <f>0.017</f>
        <v>0.017</v>
      </c>
      <c r="G27" s="25" t="n">
        <f>253454583050.0</f>
        <v>2.5345458305E11</v>
      </c>
      <c r="H27" s="26" t="n">
        <f>221395000.0</f>
        <v>2.21395E8</v>
      </c>
      <c r="I27" s="27" t="n">
        <f>0.016</f>
        <v>0.016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452.0</f>
        <v>452.0</v>
      </c>
      <c r="E28" s="18" t="n">
        <f>130.0</f>
        <v>130.0</v>
      </c>
      <c r="F28" s="19" t="n">
        <f>0.001</f>
        <v>0.001</v>
      </c>
      <c r="G28" s="17" t="n">
        <f>1506306860.0</f>
        <v>1.50630686E9</v>
      </c>
      <c r="H28" s="18" t="n">
        <f>168225360.0</f>
        <v>1.6822536E8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324.0</f>
        <v>324.0</v>
      </c>
      <c r="E29" s="22" t="n">
        <f>0.0</f>
        <v>0.0</v>
      </c>
      <c r="F29" s="23" t="n">
        <f>0.001</f>
        <v>0.001</v>
      </c>
      <c r="G29" s="21" t="n">
        <f>1331934500.0</f>
        <v>1.3319345E9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1008.0</f>
        <v>1008.0</v>
      </c>
      <c r="E30" s="22" t="n">
        <f>34.0</f>
        <v>34.0</v>
      </c>
      <c r="F30" s="23" t="n">
        <f>0.002</f>
        <v>0.002</v>
      </c>
      <c r="G30" s="21" t="n">
        <f>4151464000.0</f>
        <v>4.151464E9</v>
      </c>
      <c r="H30" s="22" t="n">
        <f>139500000.0</f>
        <v>1.395E8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1784.0</f>
        <v>1784.0</v>
      </c>
      <c r="E31" s="26" t="n">
        <f>164.0</f>
        <v>164.0</v>
      </c>
      <c r="F31" s="27" t="n">
        <f>0.001</f>
        <v>0.001</v>
      </c>
      <c r="G31" s="25" t="n">
        <f>6989705360.0</f>
        <v>6.98970536E9</v>
      </c>
      <c r="H31" s="26" t="n">
        <f>307725360.0</f>
        <v>3.0772536E8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46169.0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46169.0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19420</f>
        <v>19420.0</v>
      </c>
      <c r="E11" s="18" t="n">
        <f>4996</f>
        <v>4996.0</v>
      </c>
      <c r="F11" s="19" t="n">
        <f>1</f>
        <v>1.0</v>
      </c>
      <c r="G11" s="17" t="n">
        <f>4046146960</f>
        <v>4.04614696E9</v>
      </c>
      <c r="H11" s="18" t="n">
        <f>2394543060</f>
        <v>2.39454306E9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36746</f>
        <v>36746.0</v>
      </c>
      <c r="E12" s="22" t="n">
        <f>8573</f>
        <v>8573.0</v>
      </c>
      <c r="F12" s="23" t="n">
        <f>1</f>
        <v>1.0</v>
      </c>
      <c r="G12" s="21" t="n">
        <f>8983441427</f>
        <v>8.983441427E9</v>
      </c>
      <c r="H12" s="22" t="n">
        <f>4823017295</f>
        <v>4.823017295E9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45311</f>
        <v>45311.0</v>
      </c>
      <c r="E13" s="22" t="n">
        <f>17100</f>
        <v>17100.0</v>
      </c>
      <c r="F13" s="23" t="n">
        <f>1</f>
        <v>1.0</v>
      </c>
      <c r="G13" s="21" t="n">
        <f>36304084755</f>
        <v>3.6304084755E10</v>
      </c>
      <c r="H13" s="22" t="n">
        <f>33273748510</f>
        <v>3.327374851E10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101477</f>
        <v>101477.0</v>
      </c>
      <c r="E14" s="26" t="n">
        <f>30669</f>
        <v>30669.0</v>
      </c>
      <c r="F14" s="27" t="n">
        <f>1</f>
        <v>1.0</v>
      </c>
      <c r="G14" s="25" t="n">
        <f>49333673142</f>
        <v>4.9333673142E10</v>
      </c>
      <c r="H14" s="26" t="n">
        <f>40491308865</f>
        <v>4.0491308865E10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0</f>
        <v>0.0</v>
      </c>
      <c r="E16" s="22" t="n">
        <f>0</f>
        <v>0.0</v>
      </c>
      <c r="F16" s="23" t="n">
        <f>0</f>
        <v>0.0</v>
      </c>
      <c r="G16" s="21" t="n">
        <f>0</f>
        <v>0.0</v>
      </c>
      <c r="H16" s="22" t="n">
        <f>0</f>
        <v>0.0</v>
      </c>
      <c r="I16" s="23" t="n">
        <f>0</f>
        <v>0.0</v>
      </c>
    </row>
    <row r="17" spans="1:9" ht="24.9" customHeight="1">
      <c r="A17" s="41"/>
      <c r="B17" s="39"/>
      <c r="C17" s="20" t="s">
        <v>17</v>
      </c>
      <c r="D17" s="21" t="n">
        <f>218</f>
        <v>218.0</v>
      </c>
      <c r="E17" s="22" t="n">
        <f>74</f>
        <v>74.0</v>
      </c>
      <c r="F17" s="23" t="n">
        <f>0.005</f>
        <v>0.005</v>
      </c>
      <c r="G17" s="21" t="n">
        <f>13290000</f>
        <v>1.329E7</v>
      </c>
      <c r="H17" s="22" t="n">
        <f>740000</f>
        <v>740000.0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218</f>
        <v>218.0</v>
      </c>
      <c r="E18" s="26" t="n">
        <f>74</f>
        <v>74.0</v>
      </c>
      <c r="F18" s="27" t="n">
        <f>0.002</f>
        <v>0.002</v>
      </c>
      <c r="G18" s="25" t="n">
        <f>13290000</f>
        <v>1.329E7</v>
      </c>
      <c r="H18" s="26" t="n">
        <f>740000</f>
        <v>740000.0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19420</f>
        <v>19420.0</v>
      </c>
      <c r="E19" s="18" t="n">
        <f>4996</f>
        <v>4996.0</v>
      </c>
      <c r="F19" s="19" t="n">
        <f>1</f>
        <v>1.0</v>
      </c>
      <c r="G19" s="17" t="n">
        <f>4046146960</f>
        <v>4.04614696E9</v>
      </c>
      <c r="H19" s="18" t="n">
        <f>2394543060</f>
        <v>2.39454306E9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32720</f>
        <v>32720.0</v>
      </c>
      <c r="E20" s="22" t="n">
        <f>6173</f>
        <v>6173.0</v>
      </c>
      <c r="F20" s="23" t="n">
        <f>0.89</f>
        <v>0.89</v>
      </c>
      <c r="G20" s="21" t="n">
        <f>8822355295</f>
        <v>8.822355295E9</v>
      </c>
      <c r="H20" s="22" t="n">
        <f>4723437295</f>
        <v>4.723437295E9</v>
      </c>
      <c r="I20" s="23" t="n">
        <f>0.982</f>
        <v>0.982</v>
      </c>
    </row>
    <row r="21" spans="1:9" ht="24.9" customHeight="1">
      <c r="A21" s="41"/>
      <c r="B21" s="39"/>
      <c r="C21" s="20" t="s">
        <v>17</v>
      </c>
      <c r="D21" s="21" t="n">
        <f>37358</f>
        <v>37358.0</v>
      </c>
      <c r="E21" s="22" t="n">
        <f>15466</f>
        <v>15466.0</v>
      </c>
      <c r="F21" s="23" t="n">
        <f>0.824</f>
        <v>0.824</v>
      </c>
      <c r="G21" s="21" t="n">
        <f>35978749310</f>
        <v>3.597874931E10</v>
      </c>
      <c r="H21" s="22" t="n">
        <f>33020248510</f>
        <v>3.302024851E10</v>
      </c>
      <c r="I21" s="23" t="n">
        <f>0.991</f>
        <v>0.991</v>
      </c>
    </row>
    <row r="22" spans="1:9" ht="24.9" customHeight="1">
      <c r="A22" s="41"/>
      <c r="B22" s="39"/>
      <c r="C22" s="24" t="s">
        <v>18</v>
      </c>
      <c r="D22" s="25" t="n">
        <f>89498</f>
        <v>89498.0</v>
      </c>
      <c r="E22" s="26" t="n">
        <f>26635</f>
        <v>26635.0</v>
      </c>
      <c r="F22" s="27" t="n">
        <f>0.882</f>
        <v>0.882</v>
      </c>
      <c r="G22" s="25" t="n">
        <f>48847251565</f>
        <v>4.8847251565E10</v>
      </c>
      <c r="H22" s="26" t="n">
        <f>40138228865</f>
        <v>4.0138228865E10</v>
      </c>
      <c r="I22" s="27" t="n">
        <f>0.99</f>
        <v>0.99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4026</f>
        <v>4026.0</v>
      </c>
      <c r="E24" s="22" t="n">
        <f>2400</f>
        <v>2400.0</v>
      </c>
      <c r="F24" s="23" t="n">
        <f>0.11</f>
        <v>0.11</v>
      </c>
      <c r="G24" s="21" t="n">
        <f>161086132</f>
        <v>1.61086132E8</v>
      </c>
      <c r="H24" s="22" t="n">
        <f>99580000</f>
        <v>9.958E7</v>
      </c>
      <c r="I24" s="23" t="n">
        <f>0.018</f>
        <v>0.018</v>
      </c>
    </row>
    <row r="25" spans="1:9" ht="24.9" customHeight="1">
      <c r="A25" s="41"/>
      <c r="B25" s="39"/>
      <c r="C25" s="20" t="s">
        <v>17</v>
      </c>
      <c r="D25" s="21" t="n">
        <f>7735</f>
        <v>7735.0</v>
      </c>
      <c r="E25" s="22" t="n">
        <f>1560</f>
        <v>1560.0</v>
      </c>
      <c r="F25" s="23" t="n">
        <f>0.171</f>
        <v>0.171</v>
      </c>
      <c r="G25" s="21" t="n">
        <f>312045445</f>
        <v>3.12045445E8</v>
      </c>
      <c r="H25" s="22" t="n">
        <f>252760000</f>
        <v>2.5276E8</v>
      </c>
      <c r="I25" s="23" t="n">
        <f>0.009</f>
        <v>0.009</v>
      </c>
    </row>
    <row r="26" spans="1:9" ht="24.9" customHeight="1">
      <c r="A26" s="41"/>
      <c r="B26" s="39"/>
      <c r="C26" s="24" t="s">
        <v>18</v>
      </c>
      <c r="D26" s="25" t="n">
        <f>11761</f>
        <v>11761.0</v>
      </c>
      <c r="E26" s="26" t="n">
        <f>3960</f>
        <v>3960.0</v>
      </c>
      <c r="F26" s="27" t="n">
        <f>0.116</f>
        <v>0.116</v>
      </c>
      <c r="G26" s="25" t="n">
        <f>473131577</f>
        <v>4.73131577E8</v>
      </c>
      <c r="H26" s="26" t="n">
        <f>352340000</f>
        <v>3.5234E8</v>
      </c>
      <c r="I26" s="27" t="n">
        <f>0.01</f>
        <v>0.01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46169.0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46169.0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9457.0</v>
      </c>
      <c r="F12" s="18" t="n">
        <f>517</f>
        <v>517.0</v>
      </c>
      <c r="G12" s="17" t="n">
        <v>6.187383974E11</v>
      </c>
      <c r="H12" s="18" t="n">
        <f>33803227400</f>
        <v>3.38032274E10</v>
      </c>
    </row>
    <row r="13" spans="1:8" ht="24.9" customHeight="1">
      <c r="A13" s="51"/>
      <c r="B13" s="57"/>
      <c r="C13" s="39"/>
      <c r="D13" s="20" t="s">
        <v>16</v>
      </c>
      <c r="E13" s="21" t="n">
        <v>17568.0</v>
      </c>
      <c r="F13" s="22" t="n">
        <f>3109</f>
        <v>3109.0</v>
      </c>
      <c r="G13" s="21" t="n">
        <v>1.15895253772E12</v>
      </c>
      <c r="H13" s="22" t="n">
        <f>204453669720</f>
        <v>2.0445366972E11</v>
      </c>
    </row>
    <row r="14" spans="1:8" ht="24.9" customHeight="1">
      <c r="A14" s="51"/>
      <c r="B14" s="57"/>
      <c r="C14" s="39"/>
      <c r="D14" s="20" t="s">
        <v>17</v>
      </c>
      <c r="E14" s="21" t="n">
        <v>24628.0</v>
      </c>
      <c r="F14" s="22" t="n">
        <f>10246</f>
        <v>10246.0</v>
      </c>
      <c r="G14" s="21" t="n">
        <v>1.60955031926E12</v>
      </c>
      <c r="H14" s="22" t="n">
        <f>669142631260</f>
        <v>6.6914263126E11</v>
      </c>
    </row>
    <row r="15" spans="1:8" ht="24.9" customHeight="1">
      <c r="A15" s="51"/>
      <c r="B15" s="57"/>
      <c r="C15" s="39"/>
      <c r="D15" s="24" t="s">
        <v>18</v>
      </c>
      <c r="E15" s="25" t="n">
        <v>51653.0</v>
      </c>
      <c r="F15" s="26" t="n">
        <f>13872</f>
        <v>13872.0</v>
      </c>
      <c r="G15" s="25" t="n">
        <v>3.38724125438E12</v>
      </c>
      <c r="H15" s="26" t="n">
        <f>907399528380</f>
        <v>9.0739952838E11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185298.0</v>
      </c>
      <c r="F16" s="18" t="n">
        <f>27565</f>
        <v>27565.0</v>
      </c>
      <c r="G16" s="17" t="n">
        <v>1.21243574552E12</v>
      </c>
      <c r="H16" s="18" t="n">
        <f>180390672520</f>
        <v>1.8039067252E11</v>
      </c>
    </row>
    <row r="17" spans="1:8" ht="24.9" customHeight="1">
      <c r="A17" s="51"/>
      <c r="B17" s="57"/>
      <c r="C17" s="39"/>
      <c r="D17" s="20" t="s">
        <v>16</v>
      </c>
      <c r="E17" s="21" t="n">
        <v>207083.0</v>
      </c>
      <c r="F17" s="22" t="n">
        <f>19716</f>
        <v>19716.0</v>
      </c>
      <c r="G17" s="21" t="n">
        <v>1.36709237979E12</v>
      </c>
      <c r="H17" s="22" t="n">
        <f>130161744790</f>
        <v>1.3016174479E11</v>
      </c>
    </row>
    <row r="18" spans="1:8" ht="24.9" customHeight="1">
      <c r="A18" s="51"/>
      <c r="B18" s="57"/>
      <c r="C18" s="39"/>
      <c r="D18" s="20" t="s">
        <v>17</v>
      </c>
      <c r="E18" s="21" t="n">
        <v>190632.0</v>
      </c>
      <c r="F18" s="22" t="n">
        <f>18181</f>
        <v>18181.0</v>
      </c>
      <c r="G18" s="21" t="n">
        <v>1.247918092279E12</v>
      </c>
      <c r="H18" s="22" t="n">
        <f>119107187779</f>
        <v>1.19107187779E11</v>
      </c>
    </row>
    <row r="19" spans="1:8" ht="24.9" customHeight="1">
      <c r="A19" s="51"/>
      <c r="B19" s="57"/>
      <c r="C19" s="39"/>
      <c r="D19" s="24" t="s">
        <v>18</v>
      </c>
      <c r="E19" s="25" t="n">
        <v>583013.0</v>
      </c>
      <c r="F19" s="26" t="n">
        <f>65462</f>
        <v>65462.0</v>
      </c>
      <c r="G19" s="25" t="n">
        <v>3.827446217589E12</v>
      </c>
      <c r="H19" s="26" t="n">
        <f>429659605089</f>
        <v>4.29659605089E11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256114.0</v>
      </c>
      <c r="F20" s="18" t="str">
        <f>"－"</f>
        <v>－</v>
      </c>
      <c r="G20" s="17" t="n">
        <v>1.6760442815E11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229414.0</v>
      </c>
      <c r="F21" s="22" t="str">
        <f>"－"</f>
        <v>－</v>
      </c>
      <c r="G21" s="21" t="n">
        <v>1.514366897E11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225662.0</v>
      </c>
      <c r="F22" s="22" t="str">
        <f>"－"</f>
        <v>－</v>
      </c>
      <c r="G22" s="21" t="n">
        <v>1.4781599855E11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711190.0</v>
      </c>
      <c r="F23" s="26" t="str">
        <f>"－"</f>
        <v>－</v>
      </c>
      <c r="G23" s="25" t="n">
        <v>4.668571164E11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15000.0</v>
      </c>
      <c r="F24" s="18" t="n">
        <f>19</f>
        <v>19.0</v>
      </c>
      <c r="G24" s="17" t="n">
        <v>5.918038292E11</v>
      </c>
      <c r="H24" s="18" t="n">
        <f>749709200</f>
        <v>7.497092E8</v>
      </c>
    </row>
    <row r="25" spans="1:8" ht="24.9" customHeight="1">
      <c r="A25" s="51"/>
      <c r="B25" s="57"/>
      <c r="C25" s="39"/>
      <c r="D25" s="20" t="s">
        <v>16</v>
      </c>
      <c r="E25" s="21" t="n">
        <v>17825.0</v>
      </c>
      <c r="F25" s="22" t="n">
        <f>552</f>
        <v>552.0</v>
      </c>
      <c r="G25" s="21" t="n">
        <v>7.04146488E11</v>
      </c>
      <c r="H25" s="22" t="n">
        <f>21896478000</f>
        <v>2.1896478E10</v>
      </c>
    </row>
    <row r="26" spans="1:8" ht="24.9" customHeight="1">
      <c r="A26" s="51"/>
      <c r="B26" s="57"/>
      <c r="C26" s="39"/>
      <c r="D26" s="20" t="s">
        <v>17</v>
      </c>
      <c r="E26" s="21" t="n">
        <v>35875.0</v>
      </c>
      <c r="F26" s="22" t="n">
        <f>13628</f>
        <v>13628.0</v>
      </c>
      <c r="G26" s="21" t="n">
        <v>1.4086090809E12</v>
      </c>
      <c r="H26" s="22" t="n">
        <f>535056706900</f>
        <v>5.350567069E11</v>
      </c>
    </row>
    <row r="27" spans="1:8" ht="24.9" customHeight="1">
      <c r="A27" s="51"/>
      <c r="B27" s="57"/>
      <c r="C27" s="39"/>
      <c r="D27" s="24" t="s">
        <v>18</v>
      </c>
      <c r="E27" s="25" t="n">
        <v>68700.0</v>
      </c>
      <c r="F27" s="26" t="n">
        <f>14199</f>
        <v>14199.0</v>
      </c>
      <c r="G27" s="25" t="n">
        <v>2.7045593981E12</v>
      </c>
      <c r="H27" s="26" t="n">
        <f>557702894100</f>
        <v>5.577028941E11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3801.0</v>
      </c>
      <c r="F28" s="18" t="n">
        <f>185</f>
        <v>185.0</v>
      </c>
      <c r="G28" s="17" t="n">
        <v>1.499353345E10</v>
      </c>
      <c r="H28" s="18" t="n">
        <f>729609700</f>
        <v>7.296097E8</v>
      </c>
    </row>
    <row r="29" spans="1:8" ht="24.9" customHeight="1">
      <c r="A29" s="51"/>
      <c r="B29" s="57"/>
      <c r="C29" s="39"/>
      <c r="D29" s="20" t="s">
        <v>16</v>
      </c>
      <c r="E29" s="21" t="n">
        <v>7823.0</v>
      </c>
      <c r="F29" s="22" t="n">
        <f>428</f>
        <v>428.0</v>
      </c>
      <c r="G29" s="21" t="n">
        <v>3.090802035E10</v>
      </c>
      <c r="H29" s="22" t="n">
        <f>1690927850</f>
        <v>1.69092785E9</v>
      </c>
    </row>
    <row r="30" spans="1:8" ht="24.9" customHeight="1">
      <c r="A30" s="51"/>
      <c r="B30" s="57"/>
      <c r="C30" s="39"/>
      <c r="D30" s="20" t="s">
        <v>17</v>
      </c>
      <c r="E30" s="21" t="n">
        <v>7197.0</v>
      </c>
      <c r="F30" s="22" t="n">
        <f>317</f>
        <v>317.0</v>
      </c>
      <c r="G30" s="21" t="n">
        <v>2.825952335E10</v>
      </c>
      <c r="H30" s="22" t="n">
        <f>1245325350</f>
        <v>1.24532535E9</v>
      </c>
    </row>
    <row r="31" spans="1:8" ht="24.9" customHeight="1">
      <c r="A31" s="51"/>
      <c r="B31" s="57"/>
      <c r="C31" s="39"/>
      <c r="D31" s="24" t="s">
        <v>18</v>
      </c>
      <c r="E31" s="25" t="n">
        <v>18821.0</v>
      </c>
      <c r="F31" s="26" t="n">
        <f>930</f>
        <v>930.0</v>
      </c>
      <c r="G31" s="25" t="n">
        <v>7.416107715E10</v>
      </c>
      <c r="H31" s="26" t="n">
        <f>3665862900</f>
        <v>3.6658629E9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601.0</v>
      </c>
      <c r="F36" s="18" t="n">
        <f>0</f>
        <v>0.0</v>
      </c>
      <c r="G36" s="17" t="n">
        <v>2.1518985E9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1805.0</v>
      </c>
      <c r="F37" s="22" t="n">
        <f>1</f>
        <v>1.0</v>
      </c>
      <c r="G37" s="21" t="n">
        <v>6.480385E9</v>
      </c>
      <c r="H37" s="22" t="n">
        <f>3583000</f>
        <v>3583000.0</v>
      </c>
    </row>
    <row r="38" spans="1:8" ht="24.9" customHeight="1">
      <c r="A38" s="51"/>
      <c r="B38" s="57"/>
      <c r="C38" s="39"/>
      <c r="D38" s="20" t="s">
        <v>17</v>
      </c>
      <c r="E38" s="21" t="n">
        <v>528.0</v>
      </c>
      <c r="F38" s="22" t="n">
        <f>3</f>
        <v>3.0</v>
      </c>
      <c r="G38" s="21" t="n">
        <v>1.885162E9</v>
      </c>
      <c r="H38" s="22" t="n">
        <f>10687000</f>
        <v>1.0687E7</v>
      </c>
    </row>
    <row r="39" spans="1:8" ht="24.9" customHeight="1">
      <c r="A39" s="51"/>
      <c r="B39" s="57"/>
      <c r="C39" s="39"/>
      <c r="D39" s="24" t="s">
        <v>18</v>
      </c>
      <c r="E39" s="25" t="n">
        <v>2934.0</v>
      </c>
      <c r="F39" s="26" t="n">
        <f>4</f>
        <v>4.0</v>
      </c>
      <c r="G39" s="25" t="n">
        <v>1.05174455E10</v>
      </c>
      <c r="H39" s="26" t="n">
        <f>14270000</f>
        <v>1.427E7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0.0</v>
      </c>
      <c r="F47" s="26" t="n">
        <f>0</f>
        <v>0.0</v>
      </c>
      <c r="G47" s="25" t="n">
        <v>0.0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9.0</v>
      </c>
      <c r="F48" s="18" t="n">
        <f>9</f>
        <v>9.0</v>
      </c>
      <c r="G48" s="17" t="n">
        <v>1.6165E7</v>
      </c>
      <c r="H48" s="18" t="n">
        <f>16165000</f>
        <v>1.6165E7</v>
      </c>
    </row>
    <row r="49" spans="1:8" ht="24.9" customHeight="1">
      <c r="A49" s="51"/>
      <c r="B49" s="57"/>
      <c r="C49" s="39"/>
      <c r="D49" s="20" t="s">
        <v>16</v>
      </c>
      <c r="E49" s="21" t="n">
        <v>12.0</v>
      </c>
      <c r="F49" s="22" t="n">
        <f>0</f>
        <v>0.0</v>
      </c>
      <c r="G49" s="21" t="n">
        <v>2.15565E7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2162.0</v>
      </c>
      <c r="F50" s="22" t="n">
        <f>1829</f>
        <v>1829.0</v>
      </c>
      <c r="G50" s="21" t="n">
        <v>3.90184619E9</v>
      </c>
      <c r="H50" s="22" t="n">
        <f>3302076690</f>
        <v>3.30207669E9</v>
      </c>
    </row>
    <row r="51" spans="1:8" ht="24.9" customHeight="1">
      <c r="A51" s="51"/>
      <c r="B51" s="57"/>
      <c r="C51" s="39"/>
      <c r="D51" s="24" t="s">
        <v>18</v>
      </c>
      <c r="E51" s="25" t="n">
        <v>2183.0</v>
      </c>
      <c r="F51" s="26" t="n">
        <f>1838</f>
        <v>1838.0</v>
      </c>
      <c r="G51" s="25" t="n">
        <v>3.93956769E9</v>
      </c>
      <c r="H51" s="26" t="n">
        <f>3318241690</f>
        <v>3.31824169E9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425.0</v>
      </c>
      <c r="F56" s="18" t="n">
        <f>11</f>
        <v>11.0</v>
      </c>
      <c r="G56" s="17" t="n">
        <v>3.54423E8</v>
      </c>
      <c r="H56" s="18" t="n">
        <f>9209000</f>
        <v>9209000.0</v>
      </c>
    </row>
    <row r="57" spans="1:8" ht="24.9" customHeight="1">
      <c r="A57" s="51"/>
      <c r="B57" s="57"/>
      <c r="C57" s="39"/>
      <c r="D57" s="20" t="s">
        <v>16</v>
      </c>
      <c r="E57" s="21" t="n">
        <v>2357.0</v>
      </c>
      <c r="F57" s="22" t="n">
        <f>70</f>
        <v>70.0</v>
      </c>
      <c r="G57" s="21" t="n">
        <v>1.9636709E9</v>
      </c>
      <c r="H57" s="22" t="n">
        <f>58494900</f>
        <v>5.84949E7</v>
      </c>
    </row>
    <row r="58" spans="1:8" ht="24.9" customHeight="1">
      <c r="A58" s="51"/>
      <c r="B58" s="57"/>
      <c r="C58" s="39"/>
      <c r="D58" s="20" t="s">
        <v>17</v>
      </c>
      <c r="E58" s="21" t="n">
        <v>2236.0</v>
      </c>
      <c r="F58" s="22" t="n">
        <f>63</f>
        <v>63.0</v>
      </c>
      <c r="G58" s="21" t="n">
        <v>1.83054894E9</v>
      </c>
      <c r="H58" s="22" t="n">
        <f>51811940</f>
        <v>5.181194E7</v>
      </c>
    </row>
    <row r="59" spans="1:8" ht="24.9" customHeight="1">
      <c r="A59" s="51"/>
      <c r="B59" s="57"/>
      <c r="C59" s="39"/>
      <c r="D59" s="24" t="s">
        <v>18</v>
      </c>
      <c r="E59" s="25" t="n">
        <v>5018.0</v>
      </c>
      <c r="F59" s="26" t="n">
        <f>144</f>
        <v>144.0</v>
      </c>
      <c r="G59" s="25" t="n">
        <v>4.14864284E9</v>
      </c>
      <c r="H59" s="26" t="n">
        <f>119515840</f>
        <v>1.1951584E8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203.0</v>
      </c>
      <c r="F60" s="18" t="n">
        <f>12</f>
        <v>12.0</v>
      </c>
      <c r="G60" s="17" t="n">
        <v>1.03097869E9</v>
      </c>
      <c r="H60" s="18" t="n">
        <f>60907890</f>
        <v>6.090789E7</v>
      </c>
    </row>
    <row r="61" spans="1:8" ht="24.9" customHeight="1">
      <c r="A61" s="51"/>
      <c r="B61" s="57"/>
      <c r="C61" s="39"/>
      <c r="D61" s="20" t="s">
        <v>16</v>
      </c>
      <c r="E61" s="21" t="n">
        <v>13.0</v>
      </c>
      <c r="F61" s="22" t="n">
        <f>3</f>
        <v>3.0</v>
      </c>
      <c r="G61" s="21" t="n">
        <v>6.58094E7</v>
      </c>
      <c r="H61" s="22" t="n">
        <f>15178700</f>
        <v>1.51787E7</v>
      </c>
    </row>
    <row r="62" spans="1:8" ht="24.9" customHeight="1">
      <c r="A62" s="51"/>
      <c r="B62" s="57"/>
      <c r="C62" s="39"/>
      <c r="D62" s="20" t="s">
        <v>17</v>
      </c>
      <c r="E62" s="21" t="n">
        <v>16.0</v>
      </c>
      <c r="F62" s="22" t="n">
        <f>0</f>
        <v>0.0</v>
      </c>
      <c r="G62" s="21" t="n">
        <v>8.09919E7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232.0</v>
      </c>
      <c r="F63" s="26" t="n">
        <f>15</f>
        <v>15.0</v>
      </c>
      <c r="G63" s="25" t="n">
        <v>1.17777999E9</v>
      </c>
      <c r="H63" s="26" t="n">
        <f>76086590</f>
        <v>7.608659E7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1.0</v>
      </c>
      <c r="F77" s="22" t="n">
        <f>0</f>
        <v>0.0</v>
      </c>
      <c r="G77" s="21" t="n">
        <v>345500.0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3.0</v>
      </c>
      <c r="F78" s="22" t="n">
        <f>0</f>
        <v>0.0</v>
      </c>
      <c r="G78" s="21" t="n">
        <v>1020000.0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4.0</v>
      </c>
      <c r="F79" s="26" t="n">
        <f>0</f>
        <v>0.0</v>
      </c>
      <c r="G79" s="25" t="n">
        <v>1365500.0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0.0</v>
      </c>
      <c r="F92" s="18" t="n">
        <f>0</f>
        <v>0.0</v>
      </c>
      <c r="G92" s="17" t="n">
        <v>0.0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0.0</v>
      </c>
      <c r="F93" s="22" t="n">
        <f>0</f>
        <v>0.0</v>
      </c>
      <c r="G93" s="21" t="n">
        <v>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1.0</v>
      </c>
      <c r="F94" s="22" t="n">
        <f>0</f>
        <v>0.0</v>
      </c>
      <c r="G94" s="21" t="n">
        <v>1590100.0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1.0</v>
      </c>
      <c r="F95" s="26" t="n">
        <f>0</f>
        <v>0.0</v>
      </c>
      <c r="G95" s="25" t="n">
        <v>1590100.0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82.0</v>
      </c>
      <c r="F96" s="18" t="n">
        <f>0</f>
        <v>0.0</v>
      </c>
      <c r="G96" s="17" t="n">
        <v>1.924055E8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82.0</v>
      </c>
      <c r="F99" s="26" t="n">
        <f>0</f>
        <v>0.0</v>
      </c>
      <c r="G99" s="25" t="n">
        <v>1.924055E8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200.0</v>
      </c>
      <c r="F100" s="18" t="n">
        <f>0</f>
        <v>0.0</v>
      </c>
      <c r="G100" s="17" t="n">
        <v>3.7013E8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200.0</v>
      </c>
      <c r="F103" s="26" t="n">
        <f>0</f>
        <v>0.0</v>
      </c>
      <c r="G103" s="25" t="n">
        <v>3.7013E8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8548.0</v>
      </c>
      <c r="F108" s="18" t="n">
        <f>436</f>
        <v>436.0</v>
      </c>
      <c r="G108" s="17" t="n">
        <v>1.09633428E12</v>
      </c>
      <c r="H108" s="18" t="n">
        <f>55920600000</f>
        <v>5.59206E10</v>
      </c>
    </row>
    <row r="109" spans="1:8" ht="24.9" customHeight="1">
      <c r="A109" s="51"/>
      <c r="B109" s="57"/>
      <c r="C109" s="39"/>
      <c r="D109" s="20" t="s">
        <v>16</v>
      </c>
      <c r="E109" s="21" t="n">
        <v>12557.0</v>
      </c>
      <c r="F109" s="22" t="n">
        <f>614</f>
        <v>614.0</v>
      </c>
      <c r="G109" s="21" t="n">
        <v>1.6107329E12</v>
      </c>
      <c r="H109" s="22" t="n">
        <f>78767860000</f>
        <v>7.876786E10</v>
      </c>
    </row>
    <row r="110" spans="1:8" ht="24.9" customHeight="1">
      <c r="A110" s="51"/>
      <c r="B110" s="57"/>
      <c r="C110" s="39"/>
      <c r="D110" s="20" t="s">
        <v>17</v>
      </c>
      <c r="E110" s="21" t="n">
        <v>14703.0</v>
      </c>
      <c r="F110" s="22" t="n">
        <f>1823</f>
        <v>1823.0</v>
      </c>
      <c r="G110" s="21" t="n">
        <v>1.88812539E12</v>
      </c>
      <c r="H110" s="22" t="n">
        <f>234037090000</f>
        <v>2.3403709E11</v>
      </c>
    </row>
    <row r="111" spans="1:8" ht="24.9" customHeight="1">
      <c r="A111" s="51"/>
      <c r="B111" s="57"/>
      <c r="C111" s="39"/>
      <c r="D111" s="24" t="s">
        <v>18</v>
      </c>
      <c r="E111" s="25" t="n">
        <v>35808.0</v>
      </c>
      <c r="F111" s="26" t="n">
        <f>2873</f>
        <v>2873.0</v>
      </c>
      <c r="G111" s="25" t="n">
        <v>4.59519257E12</v>
      </c>
      <c r="H111" s="26" t="n">
        <f>368725550000</f>
        <v>3.6872555E11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184.0</v>
      </c>
      <c r="F113" s="22" t="n">
        <f>0</f>
        <v>0.0</v>
      </c>
      <c r="G113" s="21" t="n">
        <v>2.360764E9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464.0</v>
      </c>
      <c r="F114" s="22" t="n">
        <f>0</f>
        <v>0.0</v>
      </c>
      <c r="G114" s="21" t="n">
        <v>5.957039E9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648.0</v>
      </c>
      <c r="F115" s="26" t="n">
        <f>0</f>
        <v>0.0</v>
      </c>
      <c r="G115" s="25" t="n">
        <v>8.317803E9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550.0</v>
      </c>
      <c r="F118" s="22" t="n">
        <f>0</f>
        <v>0.0</v>
      </c>
      <c r="G118" s="21" t="n">
        <v>5.062E9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550.0</v>
      </c>
      <c r="F119" s="26" t="n">
        <f>0</f>
        <v>0.0</v>
      </c>
      <c r="G119" s="25" t="n">
        <v>5.062E9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519.0</v>
      </c>
      <c r="F120" s="18" t="n">
        <f>0</f>
        <v>0.0</v>
      </c>
      <c r="G120" s="17" t="n">
        <v>1.2848613125E10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500.0</v>
      </c>
      <c r="F121" s="22" t="n">
        <f>0</f>
        <v>0.0</v>
      </c>
      <c r="G121" s="21" t="n">
        <v>1.23495E10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3931.0</v>
      </c>
      <c r="F122" s="22" t="n">
        <f>0</f>
        <v>0.0</v>
      </c>
      <c r="G122" s="21" t="n">
        <v>9.7196598125E10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4950.0</v>
      </c>
      <c r="F123" s="26" t="n">
        <f>0</f>
        <v>0.0</v>
      </c>
      <c r="G123" s="25" t="n">
        <v>1.2239471125E11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4876.0</v>
      </c>
      <c r="F124" s="18" t="n">
        <f>0</f>
        <v>0.0</v>
      </c>
      <c r="G124" s="17" t="n">
        <v>1.16094572E11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1402.0</v>
      </c>
      <c r="F125" s="22" t="n">
        <f>0</f>
        <v>0.0</v>
      </c>
      <c r="G125" s="21" t="n">
        <v>3.3398128E10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2671.0</v>
      </c>
      <c r="F126" s="22" t="n">
        <f>3</f>
        <v>3.0</v>
      </c>
      <c r="G126" s="21" t="n">
        <v>6.3306524E10</v>
      </c>
      <c r="H126" s="22" t="n">
        <f>71115000</f>
        <v>7.1115E7</v>
      </c>
    </row>
    <row r="127" spans="1:8" ht="24.9" customHeight="1">
      <c r="A127" s="51"/>
      <c r="B127" s="57"/>
      <c r="C127" s="39"/>
      <c r="D127" s="24" t="s">
        <v>18</v>
      </c>
      <c r="E127" s="25" t="n">
        <v>8949.0</v>
      </c>
      <c r="F127" s="26" t="n">
        <f>3</f>
        <v>3.0</v>
      </c>
      <c r="G127" s="25" t="n">
        <v>2.12799224E11</v>
      </c>
      <c r="H127" s="26" t="n">
        <f>71115000</f>
        <v>7.1115E7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29.0</v>
      </c>
      <c r="F128" s="18" t="n">
        <f>0</f>
        <v>0.0</v>
      </c>
      <c r="G128" s="17" t="n">
        <v>6.9086E7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72.0</v>
      </c>
      <c r="F129" s="22" t="n">
        <f>0</f>
        <v>0.0</v>
      </c>
      <c r="G129" s="21" t="n">
        <v>1.71453E8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292.0</v>
      </c>
      <c r="F130" s="22" t="n">
        <f>0</f>
        <v>0.0</v>
      </c>
      <c r="G130" s="21" t="n">
        <v>6.919287E8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393.0</v>
      </c>
      <c r="F131" s="26" t="n">
        <f>0</f>
        <v>0.0</v>
      </c>
      <c r="G131" s="25" t="n">
        <v>9.324677E8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4912.0</v>
      </c>
      <c r="F132" s="18" t="n">
        <f>0</f>
        <v>0.0</v>
      </c>
      <c r="G132" s="17" t="n">
        <v>1.17179662E10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1586.0</v>
      </c>
      <c r="F133" s="22" t="n">
        <f>0</f>
        <v>0.0</v>
      </c>
      <c r="G133" s="21" t="n">
        <v>3.783994E9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2501.0</v>
      </c>
      <c r="F134" s="22" t="n">
        <f>0</f>
        <v>0.0</v>
      </c>
      <c r="G134" s="21" t="n">
        <v>5.94327995E9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8999.0</v>
      </c>
      <c r="F135" s="26" t="n">
        <f>0</f>
        <v>0.0</v>
      </c>
      <c r="G135" s="25" t="n">
        <v>2.144524015E10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47.0</v>
      </c>
      <c r="F136" s="18" t="n">
        <f>0</f>
        <v>0.0</v>
      </c>
      <c r="G136" s="17" t="n">
        <v>1.113929E8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3.0</v>
      </c>
      <c r="F137" s="22" t="n">
        <f>0</f>
        <v>0.0</v>
      </c>
      <c r="G137" s="21" t="n">
        <v>7092400.0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54.0</v>
      </c>
      <c r="F138" s="22" t="n">
        <f>0</f>
        <v>0.0</v>
      </c>
      <c r="G138" s="21" t="n">
        <v>1.273726E8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104.0</v>
      </c>
      <c r="F139" s="26" t="n">
        <f>0</f>
        <v>0.0</v>
      </c>
      <c r="G139" s="25" t="n">
        <v>2.458579E8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590.0</v>
      </c>
      <c r="F144" s="18" t="n">
        <f>0</f>
        <v>0.0</v>
      </c>
      <c r="G144" s="17" t="n">
        <v>2.9029125E9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729.0</v>
      </c>
      <c r="F145" s="22" t="n">
        <f>0</f>
        <v>0.0</v>
      </c>
      <c r="G145" s="21" t="n">
        <v>3.6053345E9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1324.0</v>
      </c>
      <c r="F146" s="22" t="n">
        <f>30</f>
        <v>30.0</v>
      </c>
      <c r="G146" s="21" t="n">
        <v>6.481034E9</v>
      </c>
      <c r="H146" s="22" t="n">
        <f>146250000</f>
        <v>1.4625E8</v>
      </c>
    </row>
    <row r="147" spans="1:8" ht="24.9" customHeight="1">
      <c r="A147" s="51"/>
      <c r="B147" s="57"/>
      <c r="C147" s="39"/>
      <c r="D147" s="24" t="s">
        <v>18</v>
      </c>
      <c r="E147" s="25" t="n">
        <v>2643.0</v>
      </c>
      <c r="F147" s="26" t="n">
        <f>30</f>
        <v>30.0</v>
      </c>
      <c r="G147" s="25" t="n">
        <v>1.2989281E10</v>
      </c>
      <c r="H147" s="26" t="n">
        <f>146250000</f>
        <v>1.4625E8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14.0</v>
      </c>
      <c r="F148" s="18" t="n">
        <f>0</f>
        <v>0.0</v>
      </c>
      <c r="G148" s="17" t="n">
        <v>1.40512E7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66.0</v>
      </c>
      <c r="F149" s="22" t="n">
        <f>0</f>
        <v>0.0</v>
      </c>
      <c r="G149" s="21" t="n">
        <v>6.64448E7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705.0</v>
      </c>
      <c r="F150" s="22" t="n">
        <f>0</f>
        <v>0.0</v>
      </c>
      <c r="G150" s="21" t="n">
        <v>6.979224E8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785.0</v>
      </c>
      <c r="F151" s="26" t="n">
        <f>0</f>
        <v>0.0</v>
      </c>
      <c r="G151" s="25" t="n">
        <v>7.784184E8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224.0</v>
      </c>
      <c r="F152" s="18" t="n">
        <f>0</f>
        <v>0.0</v>
      </c>
      <c r="G152" s="17" t="n">
        <v>2.2072735E8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174.0</v>
      </c>
      <c r="F153" s="22" t="n">
        <f>0</f>
        <v>0.0</v>
      </c>
      <c r="G153" s="21" t="n">
        <v>1.7204825E8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518.0</v>
      </c>
      <c r="F154" s="22" t="n">
        <f>0</f>
        <v>0.0</v>
      </c>
      <c r="G154" s="21" t="n">
        <v>5.110092E8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916.0</v>
      </c>
      <c r="F155" s="26" t="n">
        <f>0</f>
        <v>0.0</v>
      </c>
      <c r="G155" s="25" t="n">
        <v>9.037848E8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150.0</v>
      </c>
      <c r="F156" s="18" t="n">
        <f>0</f>
        <v>0.0</v>
      </c>
      <c r="G156" s="17" t="n">
        <v>1.478048E8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392.0</v>
      </c>
      <c r="F157" s="22" t="n">
        <f>0</f>
        <v>0.0</v>
      </c>
      <c r="G157" s="21" t="n">
        <v>3.867014E8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1396.0</v>
      </c>
      <c r="F158" s="22" t="n">
        <f>0</f>
        <v>0.0</v>
      </c>
      <c r="G158" s="21" t="n">
        <v>1.3572804E9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1938.0</v>
      </c>
      <c r="F159" s="26" t="n">
        <f>0</f>
        <v>0.0</v>
      </c>
      <c r="G159" s="25" t="n">
        <v>1.8917866E9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96.0</v>
      </c>
      <c r="F168" s="18" t="n">
        <f>0</f>
        <v>0.0</v>
      </c>
      <c r="G168" s="17" t="n">
        <v>1.96828E8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240.0</v>
      </c>
      <c r="F169" s="22" t="n">
        <f>2</f>
        <v>2.0</v>
      </c>
      <c r="G169" s="21" t="n">
        <v>4.95092E8</v>
      </c>
      <c r="H169" s="22" t="n">
        <f>4030000</f>
        <v>4030000.0</v>
      </c>
    </row>
    <row r="170" spans="1:8" ht="24.9" customHeight="1">
      <c r="A170" s="51"/>
      <c r="B170" s="57"/>
      <c r="C170" s="39"/>
      <c r="D170" s="20" t="s">
        <v>17</v>
      </c>
      <c r="E170" s="21" t="n">
        <v>376.0</v>
      </c>
      <c r="F170" s="22" t="n">
        <f>0</f>
        <v>0.0</v>
      </c>
      <c r="G170" s="21" t="n">
        <v>7.766025E8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712.0</v>
      </c>
      <c r="F171" s="26" t="n">
        <f>2</f>
        <v>2.0</v>
      </c>
      <c r="G171" s="25" t="n">
        <v>1.4685225E9</v>
      </c>
      <c r="H171" s="26" t="n">
        <f>4030000</f>
        <v>4030000.0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0.0</v>
      </c>
      <c r="F179" s="26" t="n">
        <f>0</f>
        <v>0.0</v>
      </c>
      <c r="G179" s="25" t="n">
        <v>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322.0</v>
      </c>
      <c r="F204" s="18" t="n">
        <f>0</f>
        <v>0.0</v>
      </c>
      <c r="G204" s="17" t="n">
        <v>1.3380815E9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324.0</v>
      </c>
      <c r="F205" s="22" t="n">
        <f>0</f>
        <v>0.0</v>
      </c>
      <c r="G205" s="21" t="n">
        <v>1.3319345E9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1008.0</v>
      </c>
      <c r="F206" s="22" t="n">
        <f>34</f>
        <v>34.0</v>
      </c>
      <c r="G206" s="21" t="n">
        <v>4.151464E9</v>
      </c>
      <c r="H206" s="22" t="n">
        <f>139500000</f>
        <v>1.395E8</v>
      </c>
    </row>
    <row r="207" spans="1:8" ht="24.9" customHeight="1">
      <c r="A207" s="57"/>
      <c r="B207" s="59"/>
      <c r="C207" s="39"/>
      <c r="D207" s="24" t="s">
        <v>18</v>
      </c>
      <c r="E207" s="25" t="n">
        <v>1654.0</v>
      </c>
      <c r="F207" s="26" t="n">
        <f>34</f>
        <v>34.0</v>
      </c>
      <c r="G207" s="25" t="n">
        <v>6.82148E9</v>
      </c>
      <c r="H207" s="26" t="n">
        <f>139500000</f>
        <v>1.395E8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80.0</v>
      </c>
      <c r="F208" s="18" t="n">
        <f>80</f>
        <v>80.0</v>
      </c>
      <c r="G208" s="17" t="n">
        <v>9.289536E7</v>
      </c>
      <c r="H208" s="18" t="n">
        <f>92895360</f>
        <v>9.289536E7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80.0</v>
      </c>
      <c r="F211" s="26" t="n">
        <f>80</f>
        <v>80.0</v>
      </c>
      <c r="G211" s="25" t="n">
        <v>9.289536E7</v>
      </c>
      <c r="H211" s="26" t="n">
        <f>92895360</f>
        <v>9.289536E7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50.0</v>
      </c>
      <c r="F212" s="18" t="n">
        <f>50</f>
        <v>50.0</v>
      </c>
      <c r="G212" s="17" t="n">
        <v>7.533E7</v>
      </c>
      <c r="H212" s="18" t="n">
        <f>75330000</f>
        <v>7.533E7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50.0</v>
      </c>
      <c r="F215" s="26" t="n">
        <f>50</f>
        <v>50.0</v>
      </c>
      <c r="G215" s="25" t="n">
        <v>7.533E7</v>
      </c>
      <c r="H215" s="26" t="n">
        <f>75330000</f>
        <v>7.533E7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46169.0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46169.0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4543</f>
        <v>4543.0</v>
      </c>
      <c r="E12" s="35" t="n">
        <f>3029</f>
        <v>3029.0</v>
      </c>
      <c r="F12" s="17" t="n">
        <f>2313</f>
        <v>2313.0</v>
      </c>
      <c r="G12" s="35" t="n">
        <f>501</f>
        <v>501.0</v>
      </c>
      <c r="H12" s="17" t="n">
        <f>6856</f>
        <v>6856.0</v>
      </c>
      <c r="I12" s="35" t="n">
        <f>3530</f>
        <v>3530.0</v>
      </c>
      <c r="J12" s="17" t="n">
        <f>2735614530</f>
        <v>2.73561453E9</v>
      </c>
      <c r="K12" s="35" t="n">
        <f>2193619530</f>
        <v>2.19361953E9</v>
      </c>
      <c r="L12" s="17" t="n">
        <f>884781690</f>
        <v>8.8478169E8</v>
      </c>
      <c r="M12" s="35" t="n">
        <f>148558690</f>
        <v>1.4855869E8</v>
      </c>
      <c r="N12" s="17" t="n">
        <f>3620396220</f>
        <v>3.62039622E9</v>
      </c>
      <c r="O12" s="35" t="n">
        <f>2342178220</f>
        <v>2.34217822E9</v>
      </c>
    </row>
    <row r="13" spans="1:15" ht="24.9" customHeight="1">
      <c r="A13" s="38"/>
      <c r="B13" s="62"/>
      <c r="C13" s="20" t="s">
        <v>16</v>
      </c>
      <c r="D13" s="21" t="n">
        <f>7853</f>
        <v>7853.0</v>
      </c>
      <c r="E13" s="36" t="n">
        <f>3872</f>
        <v>3872.0</v>
      </c>
      <c r="F13" s="21" t="n">
        <f>6281</f>
        <v>6281.0</v>
      </c>
      <c r="G13" s="36" t="n">
        <f>1006</f>
        <v>1006.0</v>
      </c>
      <c r="H13" s="21" t="n">
        <f>14134</f>
        <v>14134.0</v>
      </c>
      <c r="I13" s="36" t="n">
        <f>4878</f>
        <v>4878.0</v>
      </c>
      <c r="J13" s="21" t="n">
        <f>5454603669</f>
        <v>5.454603669E9</v>
      </c>
      <c r="K13" s="36" t="n">
        <f>3925177669</f>
        <v>3.925177669E9</v>
      </c>
      <c r="L13" s="21" t="n">
        <f>2788562256</f>
        <v>2.788562256E9</v>
      </c>
      <c r="M13" s="36" t="n">
        <f>778229256</f>
        <v>7.78229256E8</v>
      </c>
      <c r="N13" s="21" t="n">
        <f>8243165925</f>
        <v>8.243165925E9</v>
      </c>
      <c r="O13" s="36" t="n">
        <f>4703406925</f>
        <v>4.703406925E9</v>
      </c>
    </row>
    <row r="14" spans="1:15" ht="24.9" customHeight="1">
      <c r="A14" s="38"/>
      <c r="B14" s="62"/>
      <c r="C14" s="20" t="s">
        <v>17</v>
      </c>
      <c r="D14" s="21" t="n">
        <f>10427</f>
        <v>10427.0</v>
      </c>
      <c r="E14" s="36" t="n">
        <f>7560</f>
        <v>7560.0</v>
      </c>
      <c r="F14" s="21" t="n">
        <f>7667</f>
        <v>7667.0</v>
      </c>
      <c r="G14" s="36" t="n">
        <f>5231</f>
        <v>5231.0</v>
      </c>
      <c r="H14" s="21" t="n">
        <f>18094</f>
        <v>18094.0</v>
      </c>
      <c r="I14" s="36" t="n">
        <f>12791</f>
        <v>12791.0</v>
      </c>
      <c r="J14" s="21" t="n">
        <f>9781349390</f>
        <v>9.78134939E9</v>
      </c>
      <c r="K14" s="36" t="n">
        <f>8404305390</f>
        <v>8.40430539E9</v>
      </c>
      <c r="L14" s="21" t="n">
        <f>23232476800</f>
        <v>2.32324768E10</v>
      </c>
      <c r="M14" s="36" t="n">
        <f>22138565800</f>
        <v>2.21385658E10</v>
      </c>
      <c r="N14" s="21" t="n">
        <f>33013826190</f>
        <v>3.301382619E10</v>
      </c>
      <c r="O14" s="36" t="n">
        <f>30542871190</f>
        <v>3.054287119E10</v>
      </c>
    </row>
    <row r="15" spans="1:15" ht="24.9" customHeight="1">
      <c r="A15" s="38"/>
      <c r="B15" s="62"/>
      <c r="C15" s="24" t="s">
        <v>18</v>
      </c>
      <c r="D15" s="25" t="n">
        <f>22823</f>
        <v>22823.0</v>
      </c>
      <c r="E15" s="37" t="n">
        <f>14461</f>
        <v>14461.0</v>
      </c>
      <c r="F15" s="25" t="n">
        <f>16261</f>
        <v>16261.0</v>
      </c>
      <c r="G15" s="37" t="n">
        <f>6738</f>
        <v>6738.0</v>
      </c>
      <c r="H15" s="25" t="n">
        <f>39084</f>
        <v>39084.0</v>
      </c>
      <c r="I15" s="37" t="n">
        <f>21199</f>
        <v>21199.0</v>
      </c>
      <c r="J15" s="25" t="n">
        <f>17971567589</f>
        <v>1.7971567589E10</v>
      </c>
      <c r="K15" s="37" t="n">
        <f>14523102589</f>
        <v>1.4523102589E10</v>
      </c>
      <c r="L15" s="25" t="n">
        <f>26905820746</f>
        <v>2.6905820746E10</v>
      </c>
      <c r="M15" s="37" t="n">
        <f>23065353746</f>
        <v>2.3065353746E10</v>
      </c>
      <c r="N15" s="25" t="n">
        <f>44877388335</f>
        <v>4.4877388335E10</v>
      </c>
      <c r="O15" s="37" t="n">
        <f>37588456335</f>
        <v>3.7588456335E10</v>
      </c>
    </row>
    <row r="16" spans="1:15" ht="24.9" customHeight="1">
      <c r="A16" s="38"/>
      <c r="B16" s="61" t="s">
        <v>105</v>
      </c>
      <c r="C16" s="16" t="s">
        <v>15</v>
      </c>
      <c r="D16" s="17" t="n">
        <f>8112</f>
        <v>8112.0</v>
      </c>
      <c r="E16" s="35" t="n">
        <f>1170</f>
        <v>1170.0</v>
      </c>
      <c r="F16" s="17" t="n">
        <f>4396</f>
        <v>4396.0</v>
      </c>
      <c r="G16" s="35" t="n">
        <f>240</f>
        <v>240.0</v>
      </c>
      <c r="H16" s="17" t="n">
        <f>12508</f>
        <v>12508.0</v>
      </c>
      <c r="I16" s="35" t="n">
        <f>1410</f>
        <v>1410.0</v>
      </c>
      <c r="J16" s="17" t="n">
        <f>172283540</f>
        <v>1.7228354E8</v>
      </c>
      <c r="K16" s="35" t="n">
        <f>4783140</f>
        <v>4783140.0</v>
      </c>
      <c r="L16" s="17" t="n">
        <f>210586600</f>
        <v>2.105866E8</v>
      </c>
      <c r="M16" s="35" t="n">
        <f>4701100</f>
        <v>4701100.0</v>
      </c>
      <c r="N16" s="17" t="n">
        <f>382870140</f>
        <v>3.8287014E8</v>
      </c>
      <c r="O16" s="35" t="n">
        <f>9484240</f>
        <v>9484240.0</v>
      </c>
    </row>
    <row r="17" spans="1:15" ht="24.9" customHeight="1">
      <c r="A17" s="38"/>
      <c r="B17" s="62"/>
      <c r="C17" s="20" t="s">
        <v>16</v>
      </c>
      <c r="D17" s="21" t="n">
        <f>12215</f>
        <v>12215.0</v>
      </c>
      <c r="E17" s="36" t="n">
        <f>700</f>
        <v>700.0</v>
      </c>
      <c r="F17" s="21" t="n">
        <f>6286</f>
        <v>6286.0</v>
      </c>
      <c r="G17" s="36" t="n">
        <f>540</f>
        <v>540.0</v>
      </c>
      <c r="H17" s="21" t="n">
        <f>18501</f>
        <v>18501.0</v>
      </c>
      <c r="I17" s="36" t="n">
        <f>1240</f>
        <v>1240.0</v>
      </c>
      <c r="J17" s="21" t="n">
        <f>253752820</f>
        <v>2.5375282E8</v>
      </c>
      <c r="K17" s="36" t="n">
        <f>6365920</f>
        <v>6365920.0</v>
      </c>
      <c r="L17" s="21" t="n">
        <f>318009050</f>
        <v>3.1800905E8</v>
      </c>
      <c r="M17" s="36" t="n">
        <f>12536950</f>
        <v>1.253695E7</v>
      </c>
      <c r="N17" s="21" t="n">
        <f>571761870</f>
        <v>5.7176187E8</v>
      </c>
      <c r="O17" s="36" t="n">
        <f>18902870</f>
        <v>1.890287E7</v>
      </c>
    </row>
    <row r="18" spans="1:15" ht="24.9" customHeight="1">
      <c r="A18" s="38"/>
      <c r="B18" s="62"/>
      <c r="C18" s="20" t="s">
        <v>17</v>
      </c>
      <c r="D18" s="21" t="n">
        <f>9967</f>
        <v>9967.0</v>
      </c>
      <c r="E18" s="36" t="n">
        <f>810</f>
        <v>810.0</v>
      </c>
      <c r="F18" s="21" t="n">
        <f>7792</f>
        <v>7792.0</v>
      </c>
      <c r="G18" s="36" t="n">
        <f>360</f>
        <v>360.0</v>
      </c>
      <c r="H18" s="21" t="n">
        <f>17759</f>
        <v>17759.0</v>
      </c>
      <c r="I18" s="36" t="n">
        <f>1170</f>
        <v>1170.0</v>
      </c>
      <c r="J18" s="21" t="n">
        <f>226799230</f>
        <v>2.2679923E8</v>
      </c>
      <c r="K18" s="36" t="n">
        <f>4198830</f>
        <v>4198830.0</v>
      </c>
      <c r="L18" s="21" t="n">
        <f>267478890</f>
        <v>2.6747889E8</v>
      </c>
      <c r="M18" s="36" t="n">
        <f>2533490</f>
        <v>2533490.0</v>
      </c>
      <c r="N18" s="21" t="n">
        <f>494278120</f>
        <v>4.9427812E8</v>
      </c>
      <c r="O18" s="36" t="n">
        <f>6732320</f>
        <v>6732320.0</v>
      </c>
    </row>
    <row r="19" spans="1:15" ht="24.9" customHeight="1">
      <c r="A19" s="38"/>
      <c r="B19" s="62"/>
      <c r="C19" s="24" t="s">
        <v>18</v>
      </c>
      <c r="D19" s="25" t="n">
        <f>30294</f>
        <v>30294.0</v>
      </c>
      <c r="E19" s="37" t="n">
        <f>2680</f>
        <v>2680.0</v>
      </c>
      <c r="F19" s="25" t="n">
        <f>18474</f>
        <v>18474.0</v>
      </c>
      <c r="G19" s="37" t="n">
        <f>1140</f>
        <v>1140.0</v>
      </c>
      <c r="H19" s="25" t="n">
        <f>48768</f>
        <v>48768.0</v>
      </c>
      <c r="I19" s="37" t="n">
        <f>3820</f>
        <v>3820.0</v>
      </c>
      <c r="J19" s="25" t="n">
        <f>652835590</f>
        <v>6.5283559E8</v>
      </c>
      <c r="K19" s="37" t="n">
        <f>15347890</f>
        <v>1.534789E7</v>
      </c>
      <c r="L19" s="25" t="n">
        <f>796074540</f>
        <v>7.9607454E8</v>
      </c>
      <c r="M19" s="37" t="n">
        <f>19771540</f>
        <v>1.977154E7</v>
      </c>
      <c r="N19" s="25" t="n">
        <f>1448910130</f>
        <v>1.44891013E9</v>
      </c>
      <c r="O19" s="37" t="n">
        <f>35119430</f>
        <v>3.511943E7</v>
      </c>
    </row>
    <row r="20" spans="1:15" ht="24.9" customHeight="1">
      <c r="A20" s="38"/>
      <c r="B20" s="61" t="s">
        <v>106</v>
      </c>
      <c r="C20" s="16" t="s">
        <v>15</v>
      </c>
      <c r="D20" s="17" t="n">
        <f>56</f>
        <v>56.0</v>
      </c>
      <c r="E20" s="35" t="n">
        <f>56</f>
        <v>56.0</v>
      </c>
      <c r="F20" s="17" t="n">
        <f>0</f>
        <v>0.0</v>
      </c>
      <c r="G20" s="35" t="n">
        <f>0</f>
        <v>0.0</v>
      </c>
      <c r="H20" s="17" t="n">
        <f>56</f>
        <v>56.0</v>
      </c>
      <c r="I20" s="35" t="n">
        <f>56</f>
        <v>56.0</v>
      </c>
      <c r="J20" s="17" t="n">
        <f>42880600</f>
        <v>4.28806E7</v>
      </c>
      <c r="K20" s="35" t="n">
        <f>42880600</f>
        <v>4.28806E7</v>
      </c>
      <c r="L20" s="17" t="n">
        <f>0</f>
        <v>0.0</v>
      </c>
      <c r="M20" s="35" t="n">
        <f>0</f>
        <v>0.0</v>
      </c>
      <c r="N20" s="17" t="n">
        <f>42880600</f>
        <v>4.28806E7</v>
      </c>
      <c r="O20" s="35" t="n">
        <f>42880600</f>
        <v>4.28806E7</v>
      </c>
    </row>
    <row r="21" spans="1:15" ht="24.9" customHeight="1">
      <c r="A21" s="38"/>
      <c r="B21" s="62"/>
      <c r="C21" s="20" t="s">
        <v>16</v>
      </c>
      <c r="D21" s="21" t="n">
        <f>55</f>
        <v>55.0</v>
      </c>
      <c r="E21" s="36" t="n">
        <f>55</f>
        <v>55.0</v>
      </c>
      <c r="F21" s="21" t="n">
        <f>30</f>
        <v>30.0</v>
      </c>
      <c r="G21" s="36" t="n">
        <f>0</f>
        <v>0.0</v>
      </c>
      <c r="H21" s="21" t="n">
        <f>85</f>
        <v>85.0</v>
      </c>
      <c r="I21" s="36" t="n">
        <f>55</f>
        <v>55.0</v>
      </c>
      <c r="J21" s="21" t="n">
        <f>1127500</f>
        <v>1127500.0</v>
      </c>
      <c r="K21" s="36" t="n">
        <f>1127500</f>
        <v>1127500.0</v>
      </c>
      <c r="L21" s="21" t="n">
        <f>6300000</f>
        <v>6300000.0</v>
      </c>
      <c r="M21" s="36" t="n">
        <f>0</f>
        <v>0.0</v>
      </c>
      <c r="N21" s="21" t="n">
        <f>7427500</f>
        <v>7427500.0</v>
      </c>
      <c r="O21" s="36" t="n">
        <f>1127500</f>
        <v>1127500.0</v>
      </c>
    </row>
    <row r="22" spans="1:15" ht="24.9" customHeight="1">
      <c r="A22" s="38"/>
      <c r="B22" s="62"/>
      <c r="C22" s="20" t="s">
        <v>17</v>
      </c>
      <c r="D22" s="21" t="n">
        <f>1115</f>
        <v>1115.0</v>
      </c>
      <c r="E22" s="36" t="n">
        <f>1115</f>
        <v>1115.0</v>
      </c>
      <c r="F22" s="21" t="n">
        <f>390</f>
        <v>390.0</v>
      </c>
      <c r="G22" s="36" t="n">
        <f>390</f>
        <v>390.0</v>
      </c>
      <c r="H22" s="21" t="n">
        <f>1505</f>
        <v>1505.0</v>
      </c>
      <c r="I22" s="36" t="n">
        <f>1505</f>
        <v>1505.0</v>
      </c>
      <c r="J22" s="21" t="n">
        <f>1823525000</f>
        <v>1.823525E9</v>
      </c>
      <c r="K22" s="36" t="n">
        <f>1823525000</f>
        <v>1.823525E9</v>
      </c>
      <c r="L22" s="21" t="n">
        <f>647120000</f>
        <v>6.4712E8</v>
      </c>
      <c r="M22" s="36" t="n">
        <f>647120000</f>
        <v>6.4712E8</v>
      </c>
      <c r="N22" s="21" t="n">
        <f>2470645000</f>
        <v>2.470645E9</v>
      </c>
      <c r="O22" s="36" t="n">
        <f>2470645000</f>
        <v>2.470645E9</v>
      </c>
    </row>
    <row r="23" spans="1:15" ht="24.9" customHeight="1">
      <c r="A23" s="38"/>
      <c r="B23" s="62"/>
      <c r="C23" s="24" t="s">
        <v>18</v>
      </c>
      <c r="D23" s="25" t="n">
        <f>1226</f>
        <v>1226.0</v>
      </c>
      <c r="E23" s="37" t="n">
        <f>1226</f>
        <v>1226.0</v>
      </c>
      <c r="F23" s="25" t="n">
        <f>420</f>
        <v>420.0</v>
      </c>
      <c r="G23" s="37" t="n">
        <f>390</f>
        <v>390.0</v>
      </c>
      <c r="H23" s="25" t="n">
        <f>1646</f>
        <v>1646.0</v>
      </c>
      <c r="I23" s="37" t="n">
        <f>1616</f>
        <v>1616.0</v>
      </c>
      <c r="J23" s="25" t="n">
        <f>1867533100</f>
        <v>1.8675331E9</v>
      </c>
      <c r="K23" s="37" t="n">
        <f>1867533100</f>
        <v>1.8675331E9</v>
      </c>
      <c r="L23" s="25" t="n">
        <f>653420000</f>
        <v>6.5342E8</v>
      </c>
      <c r="M23" s="37" t="n">
        <f>647120000</f>
        <v>6.4712E8</v>
      </c>
      <c r="N23" s="25" t="n">
        <f>2520953100</f>
        <v>2.5209531E9</v>
      </c>
      <c r="O23" s="37" t="n">
        <f>2514653100</f>
        <v>2.5146531E9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0</f>
        <v>0.0</v>
      </c>
      <c r="E37" s="22" t="n">
        <f>0</f>
        <v>0.0</v>
      </c>
      <c r="F37" s="21" t="n">
        <f>0</f>
        <v>0.0</v>
      </c>
      <c r="G37" s="22" t="n">
        <f>0</f>
        <v>0.0</v>
      </c>
      <c r="H37" s="21" t="n">
        <f>0</f>
        <v>0.0</v>
      </c>
      <c r="I37" s="22" t="n">
        <f>0</f>
        <v>0.0</v>
      </c>
      <c r="J37" s="21" t="n">
        <f>0</f>
        <v>0.0</v>
      </c>
      <c r="K37" s="22" t="n">
        <f>0</f>
        <v>0.0</v>
      </c>
      <c r="L37" s="21" t="n">
        <f>0</f>
        <v>0.0</v>
      </c>
      <c r="M37" s="22" t="n">
        <f>0</f>
        <v>0.0</v>
      </c>
      <c r="N37" s="21" t="n">
        <f>0</f>
        <v>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45</f>
        <v>45.0</v>
      </c>
      <c r="E38" s="36" t="n">
        <f>0</f>
        <v>0.0</v>
      </c>
      <c r="F38" s="21" t="n">
        <f>173</f>
        <v>173.0</v>
      </c>
      <c r="G38" s="36" t="n">
        <f>74</f>
        <v>74.0</v>
      </c>
      <c r="H38" s="21" t="n">
        <f>218</f>
        <v>218.0</v>
      </c>
      <c r="I38" s="36" t="n">
        <f>74</f>
        <v>74.0</v>
      </c>
      <c r="J38" s="21" t="n">
        <f>2550000</f>
        <v>2550000.0</v>
      </c>
      <c r="K38" s="36" t="n">
        <f>0</f>
        <v>0.0</v>
      </c>
      <c r="L38" s="21" t="n">
        <f>10740000</f>
        <v>1.074E7</v>
      </c>
      <c r="M38" s="36" t="n">
        <f>740000</f>
        <v>740000.0</v>
      </c>
      <c r="N38" s="21" t="n">
        <f>13290000</f>
        <v>1.329E7</v>
      </c>
      <c r="O38" s="36" t="n">
        <f>740000</f>
        <v>740000.0</v>
      </c>
    </row>
    <row r="39" spans="1:15" ht="24.9" customHeight="1">
      <c r="A39" s="38"/>
      <c r="B39" s="62"/>
      <c r="C39" s="24" t="s">
        <v>18</v>
      </c>
      <c r="D39" s="25" t="n">
        <f>45</f>
        <v>45.0</v>
      </c>
      <c r="E39" s="37" t="n">
        <f>0</f>
        <v>0.0</v>
      </c>
      <c r="F39" s="25" t="n">
        <f>173</f>
        <v>173.0</v>
      </c>
      <c r="G39" s="37" t="n">
        <f>74</f>
        <v>74.0</v>
      </c>
      <c r="H39" s="25" t="n">
        <f>218</f>
        <v>218.0</v>
      </c>
      <c r="I39" s="37" t="n">
        <f>74</f>
        <v>74.0</v>
      </c>
      <c r="J39" s="25" t="n">
        <f>2550000</f>
        <v>2550000.0</v>
      </c>
      <c r="K39" s="37" t="n">
        <f>0</f>
        <v>0.0</v>
      </c>
      <c r="L39" s="25" t="n">
        <f>10740000</f>
        <v>1.074E7</v>
      </c>
      <c r="M39" s="37" t="n">
        <f>740000</f>
        <v>740000.0</v>
      </c>
      <c r="N39" s="25" t="n">
        <f>13290000</f>
        <v>1.329E7</v>
      </c>
      <c r="O39" s="37" t="n">
        <f>740000</f>
        <v>740000.0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1876</f>
        <v>1876.0</v>
      </c>
      <c r="E41" s="36" t="n">
        <f>1400</f>
        <v>1400.0</v>
      </c>
      <c r="F41" s="21" t="n">
        <f>2150</f>
        <v>2150.0</v>
      </c>
      <c r="G41" s="36" t="n">
        <f>1000</f>
        <v>1000.0</v>
      </c>
      <c r="H41" s="21" t="n">
        <f>4026</f>
        <v>4026.0</v>
      </c>
      <c r="I41" s="36" t="n">
        <f>2400</f>
        <v>2400.0</v>
      </c>
      <c r="J41" s="21" t="n">
        <f>69717208</f>
        <v>6.9717208E7</v>
      </c>
      <c r="K41" s="36" t="n">
        <f>58080000</f>
        <v>5.808E7</v>
      </c>
      <c r="L41" s="21" t="n">
        <f>91368924</f>
        <v>9.1368924E7</v>
      </c>
      <c r="M41" s="36" t="n">
        <f>41500000</f>
        <v>4.15E7</v>
      </c>
      <c r="N41" s="21" t="n">
        <f>161086132</f>
        <v>1.61086132E8</v>
      </c>
      <c r="O41" s="36" t="n">
        <f>99580000</f>
        <v>9.958E7</v>
      </c>
    </row>
    <row r="42" spans="1:15" ht="24.9" customHeight="1">
      <c r="A42" s="38"/>
      <c r="B42" s="62"/>
      <c r="C42" s="20" t="s">
        <v>17</v>
      </c>
      <c r="D42" s="21" t="n">
        <f>7412</f>
        <v>7412.0</v>
      </c>
      <c r="E42" s="36" t="n">
        <f>1460</f>
        <v>1460.0</v>
      </c>
      <c r="F42" s="21" t="n">
        <f>323</f>
        <v>323.0</v>
      </c>
      <c r="G42" s="36" t="n">
        <f>100</f>
        <v>100.0</v>
      </c>
      <c r="H42" s="21" t="n">
        <f>7735</f>
        <v>7735.0</v>
      </c>
      <c r="I42" s="36" t="n">
        <f>1560</f>
        <v>1560.0</v>
      </c>
      <c r="J42" s="21" t="n">
        <f>274549580</f>
        <v>2.7454958E8</v>
      </c>
      <c r="K42" s="36" t="n">
        <f>235680000</f>
        <v>2.3568E8</v>
      </c>
      <c r="L42" s="21" t="n">
        <f>37495865</f>
        <v>3.7495865E7</v>
      </c>
      <c r="M42" s="36" t="n">
        <f>17080000</f>
        <v>1.708E7</v>
      </c>
      <c r="N42" s="21" t="n">
        <f>312045445</f>
        <v>3.12045445E8</v>
      </c>
      <c r="O42" s="36" t="n">
        <f>252760000</f>
        <v>2.5276E8</v>
      </c>
    </row>
    <row r="43" spans="1:15" ht="24.9" customHeight="1">
      <c r="A43" s="38"/>
      <c r="B43" s="62"/>
      <c r="C43" s="24" t="s">
        <v>18</v>
      </c>
      <c r="D43" s="25" t="n">
        <f>9288</f>
        <v>9288.0</v>
      </c>
      <c r="E43" s="37" t="n">
        <f>2860</f>
        <v>2860.0</v>
      </c>
      <c r="F43" s="25" t="n">
        <f>2473</f>
        <v>2473.0</v>
      </c>
      <c r="G43" s="37" t="n">
        <f>1100</f>
        <v>1100.0</v>
      </c>
      <c r="H43" s="25" t="n">
        <f>11761</f>
        <v>11761.0</v>
      </c>
      <c r="I43" s="37" t="n">
        <f>3960</f>
        <v>3960.0</v>
      </c>
      <c r="J43" s="25" t="n">
        <f>344266788</f>
        <v>3.44266788E8</v>
      </c>
      <c r="K43" s="37" t="n">
        <f>293760000</f>
        <v>2.9376E8</v>
      </c>
      <c r="L43" s="25" t="n">
        <f>128864789</f>
        <v>1.28864789E8</v>
      </c>
      <c r="M43" s="37" t="n">
        <f>58580000</f>
        <v>5.858E7</v>
      </c>
      <c r="N43" s="25" t="n">
        <f>473131577</f>
        <v>4.73131577E8</v>
      </c>
      <c r="O43" s="37" t="n">
        <f>352340000</f>
        <v>3.5234E8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