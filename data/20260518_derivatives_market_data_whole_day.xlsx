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<sst xmlns="http://schemas.openxmlformats.org/spreadsheetml/2006/main" count="528" uniqueCount="129">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</sst>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DATE(2026,05,18)</f>
        <v>46160.0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DATE(2026,05,18)</f>
        <v>46160.0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789740.0</f>
        <v>789740.0</v>
      </c>
      <c r="E12" s="18" t="n">
        <f>46852.0</f>
        <v>46852.0</v>
      </c>
      <c r="F12" s="19" t="n">
        <f>1.0</f>
        <v>1.0</v>
      </c>
      <c r="G12" s="17" t="n">
        <f>6403817537566.0</f>
        <v>6.403817537566E12</v>
      </c>
      <c r="H12" s="18" t="n">
        <f>462305343866.0</f>
        <v>4.62305343866E11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544247.0</f>
        <v>544247.0</v>
      </c>
      <c r="E13" s="22" t="n">
        <f>26037.0</f>
        <v>26037.0</v>
      </c>
      <c r="F13" s="23" t="n">
        <f>1.0</f>
        <v>1.0</v>
      </c>
      <c r="G13" s="21" t="n">
        <f>5913760516750.0</f>
        <v>5.91376051675E12</v>
      </c>
      <c r="H13" s="22" t="n">
        <f>429727609500.0</f>
        <v>4.297276095E11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482133.0</f>
        <v>482133.0</v>
      </c>
      <c r="E14" s="22" t="n">
        <f>44857.0</f>
        <v>44857.0</v>
      </c>
      <c r="F14" s="23" t="n">
        <f>1.0</f>
        <v>1.0</v>
      </c>
      <c r="G14" s="21" t="n">
        <f>7351765485517.0</f>
        <v>7.351765485517E12</v>
      </c>
      <c r="H14" s="22" t="n">
        <f>1458420080342.0</f>
        <v>1.458420080342E12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1816120.0</f>
        <v>1816120.0</v>
      </c>
      <c r="E15" s="26" t="n">
        <f>117746.0</f>
        <v>117746.0</v>
      </c>
      <c r="F15" s="27" t="n">
        <f>1.0</f>
        <v>1.0</v>
      </c>
      <c r="G15" s="25" t="n">
        <f>19669343539833.0</f>
        <v>1.9669343539833E13</v>
      </c>
      <c r="H15" s="26" t="n">
        <f>2350453033708.0</f>
        <v>2.350453033708E12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20540.0</f>
        <v>20540.0</v>
      </c>
      <c r="E16" s="18" t="n">
        <f>437.0</f>
        <v>437.0</v>
      </c>
      <c r="F16" s="19" t="n">
        <f>0.026</f>
        <v>0.026</v>
      </c>
      <c r="G16" s="17" t="n">
        <f>2615782645000.0</f>
        <v>2.615782645E12</v>
      </c>
      <c r="H16" s="18" t="n">
        <f>55993830000.0</f>
        <v>5.599383E10</v>
      </c>
      <c r="I16" s="19" t="n">
        <f>0.408</f>
        <v>0.408</v>
      </c>
    </row>
    <row r="17" spans="1:9" ht="24.9" customHeight="1">
      <c r="A17" s="41"/>
      <c r="B17" s="39"/>
      <c r="C17" s="20" t="s">
        <v>16</v>
      </c>
      <c r="D17" s="21" t="n">
        <f>20394.0</f>
        <v>20394.0</v>
      </c>
      <c r="E17" s="22" t="n">
        <f>1857.0</f>
        <v>1857.0</v>
      </c>
      <c r="F17" s="23" t="n">
        <f>0.037</f>
        <v>0.037</v>
      </c>
      <c r="G17" s="21" t="n">
        <f>2577547264000.0</f>
        <v>2.577547264E12</v>
      </c>
      <c r="H17" s="22" t="n">
        <f>237271265000.0</f>
        <v>2.37271265E11</v>
      </c>
      <c r="I17" s="23" t="n">
        <f>0.436</f>
        <v>0.436</v>
      </c>
    </row>
    <row r="18" spans="1:9" ht="24.9" customHeight="1">
      <c r="A18" s="41"/>
      <c r="B18" s="39"/>
      <c r="C18" s="20" t="s">
        <v>17</v>
      </c>
      <c r="D18" s="21" t="n">
        <f>26766.0</f>
        <v>26766.0</v>
      </c>
      <c r="E18" s="22" t="n">
        <f>2977.0</f>
        <v>2977.0</v>
      </c>
      <c r="F18" s="23" t="n">
        <f>0.056</f>
        <v>0.056</v>
      </c>
      <c r="G18" s="21" t="n">
        <f>3299218179875.0</f>
        <v>3.299218179875E12</v>
      </c>
      <c r="H18" s="22" t="n">
        <f>380656305000.0</f>
        <v>3.80656305E11</v>
      </c>
      <c r="I18" s="23" t="n">
        <f>0.449</f>
        <v>0.449</v>
      </c>
    </row>
    <row r="19" spans="1:9" ht="24.9" customHeight="1">
      <c r="A19" s="41"/>
      <c r="B19" s="39"/>
      <c r="C19" s="24" t="s">
        <v>18</v>
      </c>
      <c r="D19" s="25" t="n">
        <f>67700.0</f>
        <v>67700.0</v>
      </c>
      <c r="E19" s="26" t="n">
        <f>5271.0</f>
        <v>5271.0</v>
      </c>
      <c r="F19" s="27" t="n">
        <f>0.037</f>
        <v>0.037</v>
      </c>
      <c r="G19" s="25" t="n">
        <f>8492548088875.0</f>
        <v>8.492548088875E12</v>
      </c>
      <c r="H19" s="26" t="n">
        <f>673921400000.0</f>
        <v>6.739214E11</v>
      </c>
      <c r="I19" s="27" t="n">
        <f>0.432</f>
        <v>0.432</v>
      </c>
    </row>
    <row r="20" spans="1:9" ht="24.9" customHeight="1">
      <c r="A20" s="41"/>
      <c r="B20" s="39" t="s">
        <v>21</v>
      </c>
      <c r="C20" s="16" t="s">
        <v>15</v>
      </c>
      <c r="D20" s="17" t="n">
        <f>752214.0</f>
        <v>752214.0</v>
      </c>
      <c r="E20" s="18" t="n">
        <f>46415.0</f>
        <v>46415.0</v>
      </c>
      <c r="F20" s="19" t="n">
        <f>0.952</f>
        <v>0.952</v>
      </c>
      <c r="G20" s="17" t="n">
        <f>3591272114866.0</f>
        <v>3.591272114866E12</v>
      </c>
      <c r="H20" s="18" t="n">
        <f>406311513866.0</f>
        <v>4.06311513866E11</v>
      </c>
      <c r="I20" s="19" t="n">
        <f>0.561</f>
        <v>0.561</v>
      </c>
    </row>
    <row r="21" spans="1:9" ht="24.9" customHeight="1">
      <c r="A21" s="41"/>
      <c r="B21" s="39"/>
      <c r="C21" s="20" t="s">
        <v>16</v>
      </c>
      <c r="D21" s="21" t="n">
        <f>512924.0</f>
        <v>512924.0</v>
      </c>
      <c r="E21" s="22" t="n">
        <f>24180.0</f>
        <v>24180.0</v>
      </c>
      <c r="F21" s="23" t="n">
        <f>0.942</f>
        <v>0.942</v>
      </c>
      <c r="G21" s="21" t="n">
        <f>3220747185850.0</f>
        <v>3.22074718585E12</v>
      </c>
      <c r="H21" s="22" t="n">
        <f>192456344500.0</f>
        <v>1.924563445E11</v>
      </c>
      <c r="I21" s="23" t="n">
        <f>0.545</f>
        <v>0.545</v>
      </c>
    </row>
    <row r="22" spans="1:9" ht="24.9" customHeight="1">
      <c r="A22" s="41"/>
      <c r="B22" s="39"/>
      <c r="C22" s="20" t="s">
        <v>17</v>
      </c>
      <c r="D22" s="21" t="n">
        <f>440541.0</f>
        <v>440541.0</v>
      </c>
      <c r="E22" s="22" t="n">
        <f>41880.0</f>
        <v>41880.0</v>
      </c>
      <c r="F22" s="23" t="n">
        <f>0.914</f>
        <v>0.914</v>
      </c>
      <c r="G22" s="21" t="n">
        <f>3898725752092.0</f>
        <v>3.898725752092E12</v>
      </c>
      <c r="H22" s="22" t="n">
        <f>1077763775342.0</f>
        <v>1.077763775342E12</v>
      </c>
      <c r="I22" s="23" t="n">
        <f>0.53</f>
        <v>0.53</v>
      </c>
    </row>
    <row r="23" spans="1:9" ht="24.9" customHeight="1">
      <c r="A23" s="41"/>
      <c r="B23" s="39"/>
      <c r="C23" s="24" t="s">
        <v>18</v>
      </c>
      <c r="D23" s="25" t="n">
        <f>1705679.0</f>
        <v>1705679.0</v>
      </c>
      <c r="E23" s="26" t="n">
        <f>112475.0</f>
        <v>112475.0</v>
      </c>
      <c r="F23" s="27" t="n">
        <f>0.939</f>
        <v>0.939</v>
      </c>
      <c r="G23" s="25" t="n">
        <f>10710745052808.0</f>
        <v>1.0710745052808E13</v>
      </c>
      <c r="H23" s="26" t="n">
        <f>1676531633708.0</f>
        <v>1.676531633708E12</v>
      </c>
      <c r="I23" s="27" t="n">
        <f>0.545</f>
        <v>0.545</v>
      </c>
    </row>
    <row r="24" spans="1:9" ht="24.9" customHeight="1">
      <c r="A24" s="41"/>
      <c r="B24" s="39" t="s">
        <v>22</v>
      </c>
      <c r="C24" s="16" t="s">
        <v>15</v>
      </c>
      <c r="D24" s="17" t="n">
        <f>16202.0</f>
        <v>16202.0</v>
      </c>
      <c r="E24" s="18" t="n">
        <f>0.0</f>
        <v>0.0</v>
      </c>
      <c r="F24" s="19" t="n">
        <f>0.021</f>
        <v>0.021</v>
      </c>
      <c r="G24" s="17" t="n">
        <f>193286971200.0</f>
        <v>1.932869712E11</v>
      </c>
      <c r="H24" s="18" t="n">
        <f>0.0</f>
        <v>0.0</v>
      </c>
      <c r="I24" s="19" t="n">
        <f>0.03</f>
        <v>0.03</v>
      </c>
    </row>
    <row r="25" spans="1:9" ht="24.9" customHeight="1">
      <c r="A25" s="41"/>
      <c r="B25" s="39"/>
      <c r="C25" s="20" t="s">
        <v>16</v>
      </c>
      <c r="D25" s="21" t="n">
        <f>10348.0</f>
        <v>10348.0</v>
      </c>
      <c r="E25" s="22" t="n">
        <f>0.0</f>
        <v>0.0</v>
      </c>
      <c r="F25" s="23" t="n">
        <f>0.019</f>
        <v>0.019</v>
      </c>
      <c r="G25" s="21" t="n">
        <f>112843379400.0</f>
        <v>1.128433794E11</v>
      </c>
      <c r="H25" s="22" t="n">
        <f>0.0</f>
        <v>0.0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10404.0</f>
        <v>10404.0</v>
      </c>
      <c r="E26" s="22" t="n">
        <f>0.0</f>
        <v>0.0</v>
      </c>
      <c r="F26" s="23" t="n">
        <f>0.022</f>
        <v>0.022</v>
      </c>
      <c r="G26" s="21" t="n">
        <f>133721079050.0</f>
        <v>1.3372107905E11</v>
      </c>
      <c r="H26" s="22" t="n">
        <f>0.0</f>
        <v>0.0</v>
      </c>
      <c r="I26" s="23" t="n">
        <f>0.018</f>
        <v>0.018</v>
      </c>
    </row>
    <row r="27" spans="1:9" ht="24.9" customHeight="1">
      <c r="A27" s="42"/>
      <c r="B27" s="39"/>
      <c r="C27" s="24" t="s">
        <v>18</v>
      </c>
      <c r="D27" s="25" t="n">
        <f>36954.0</f>
        <v>36954.0</v>
      </c>
      <c r="E27" s="26" t="n">
        <f>0.0</f>
        <v>0.0</v>
      </c>
      <c r="F27" s="27" t="n">
        <f>0.02</f>
        <v>0.02</v>
      </c>
      <c r="G27" s="25" t="n">
        <f>439851429650.0</f>
        <v>4.3985142965E11</v>
      </c>
      <c r="H27" s="26" t="n">
        <f>0.0</f>
        <v>0.0</v>
      </c>
      <c r="I27" s="27" t="n">
        <f>0.022</f>
        <v>0.022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784.0</f>
        <v>784.0</v>
      </c>
      <c r="E28" s="18" t="n">
        <f>0.0</f>
        <v>0.0</v>
      </c>
      <c r="F28" s="19" t="n">
        <f>0.001</f>
        <v>0.001</v>
      </c>
      <c r="G28" s="17" t="n">
        <f>3475806500.0</f>
        <v>3.4758065E9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581.0</f>
        <v>581.0</v>
      </c>
      <c r="E29" s="22" t="n">
        <f>0.0</f>
        <v>0.0</v>
      </c>
      <c r="F29" s="23" t="n">
        <f>0.001</f>
        <v>0.001</v>
      </c>
      <c r="G29" s="21" t="n">
        <f>2622687500.0</f>
        <v>2.6226875E9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4422.0</f>
        <v>4422.0</v>
      </c>
      <c r="E30" s="22" t="n">
        <f>0.0</f>
        <v>0.0</v>
      </c>
      <c r="F30" s="23" t="n">
        <f>0.009</f>
        <v>0.009</v>
      </c>
      <c r="G30" s="21" t="n">
        <f>20100474500.0</f>
        <v>2.01004745E10</v>
      </c>
      <c r="H30" s="22" t="n">
        <f>0.0</f>
        <v>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5787.0</f>
        <v>5787.0</v>
      </c>
      <c r="E31" s="26" t="n">
        <f>0.0</f>
        <v>0.0</v>
      </c>
      <c r="F31" s="27" t="n">
        <f>0.003</f>
        <v>0.003</v>
      </c>
      <c r="G31" s="25" t="n">
        <f>26198968500.0</f>
        <v>2.61989685E10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20313</f>
        <v>20313.0</v>
      </c>
      <c r="E11" s="18" t="n">
        <f>2678</f>
        <v>2678.0</v>
      </c>
      <c r="F11" s="19" t="n">
        <f>1</f>
        <v>1.0</v>
      </c>
      <c r="G11" s="17" t="n">
        <f>3583280550</f>
        <v>3.58328055E9</v>
      </c>
      <c r="H11" s="18" t="n">
        <f>2112703850</f>
        <v>2.11270385E9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40947</f>
        <v>40947.0</v>
      </c>
      <c r="E12" s="22" t="n">
        <f>4059</f>
        <v>4059.0</v>
      </c>
      <c r="F12" s="23" t="n">
        <f>1</f>
        <v>1.0</v>
      </c>
      <c r="G12" s="21" t="n">
        <f>7913731578</f>
        <v>7.913731578E9</v>
      </c>
      <c r="H12" s="22" t="n">
        <f>5616386810</f>
        <v>5.61638681E9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39165</f>
        <v>39165.0</v>
      </c>
      <c r="E13" s="22" t="n">
        <f>12517</f>
        <v>12517.0</v>
      </c>
      <c r="F13" s="23" t="n">
        <f>1</f>
        <v>1.0</v>
      </c>
      <c r="G13" s="21" t="n">
        <f>21069732665</f>
        <v>2.1069732665E10</v>
      </c>
      <c r="H13" s="22" t="n">
        <f>18459629975</f>
        <v>1.8459629975E10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100425</f>
        <v>100425.0</v>
      </c>
      <c r="E14" s="26" t="n">
        <f>19254</f>
        <v>19254.0</v>
      </c>
      <c r="F14" s="27" t="n">
        <f>1</f>
        <v>1.0</v>
      </c>
      <c r="G14" s="25" t="n">
        <f>32566744793</f>
        <v>3.2566744793E10</v>
      </c>
      <c r="H14" s="26" t="n">
        <f>26188720635</f>
        <v>2.6188720635E10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266</f>
        <v>266.0</v>
      </c>
      <c r="E15" s="18" t="n">
        <f>225</f>
        <v>225.0</v>
      </c>
      <c r="F15" s="19" t="n">
        <f>0.013</f>
        <v>0.013</v>
      </c>
      <c r="G15" s="17" t="n">
        <f>51700000</f>
        <v>5.17E7</v>
      </c>
      <c r="H15" s="18" t="n">
        <f>37750000</f>
        <v>3.775E7</v>
      </c>
      <c r="I15" s="19" t="n">
        <f>0.014</f>
        <v>0.014</v>
      </c>
    </row>
    <row r="16" spans="1:9" ht="24.9" customHeight="1">
      <c r="A16" s="41"/>
      <c r="B16" s="39"/>
      <c r="C16" s="20" t="s">
        <v>16</v>
      </c>
      <c r="D16" s="21" t="n">
        <f>117</f>
        <v>117.0</v>
      </c>
      <c r="E16" s="22" t="n">
        <f>20</f>
        <v>20.0</v>
      </c>
      <c r="F16" s="23" t="n">
        <f>0.003</f>
        <v>0.003</v>
      </c>
      <c r="G16" s="21" t="n">
        <f>61450000</f>
        <v>6.145E7</v>
      </c>
      <c r="H16" s="22" t="n">
        <f>1900000</f>
        <v>1900000.0</v>
      </c>
      <c r="I16" s="23" t="n">
        <f>0.008</f>
        <v>0.008</v>
      </c>
    </row>
    <row r="17" spans="1:9" ht="24.9" customHeight="1">
      <c r="A17" s="41"/>
      <c r="B17" s="39"/>
      <c r="C17" s="20" t="s">
        <v>17</v>
      </c>
      <c r="D17" s="21" t="n">
        <f>189</f>
        <v>189.0</v>
      </c>
      <c r="E17" s="22" t="n">
        <f>70</f>
        <v>70.0</v>
      </c>
      <c r="F17" s="23" t="n">
        <f>0.005</f>
        <v>0.005</v>
      </c>
      <c r="G17" s="21" t="n">
        <f>27350000</f>
        <v>2.735E7</v>
      </c>
      <c r="H17" s="22" t="n">
        <f>6300000</f>
        <v>6300000.0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572</f>
        <v>572.0</v>
      </c>
      <c r="E18" s="26" t="n">
        <f>315</f>
        <v>315.0</v>
      </c>
      <c r="F18" s="27" t="n">
        <f>0.006</f>
        <v>0.006</v>
      </c>
      <c r="G18" s="25" t="n">
        <f>140500000</f>
        <v>1.405E8</v>
      </c>
      <c r="H18" s="26" t="n">
        <f>45950000</f>
        <v>4.595E7</v>
      </c>
      <c r="I18" s="27" t="n">
        <f>0.004</f>
        <v>0.004</v>
      </c>
    </row>
    <row r="19" spans="1:9" ht="24.9" customHeight="1">
      <c r="A19" s="41"/>
      <c r="B19" s="39" t="s">
        <v>31</v>
      </c>
      <c r="C19" s="16" t="s">
        <v>15</v>
      </c>
      <c r="D19" s="17" t="n">
        <f>20047</f>
        <v>20047.0</v>
      </c>
      <c r="E19" s="18" t="n">
        <f>2453</f>
        <v>2453.0</v>
      </c>
      <c r="F19" s="19" t="n">
        <f>0.987</f>
        <v>0.987</v>
      </c>
      <c r="G19" s="17" t="n">
        <f>3531580550</f>
        <v>3.53158055E9</v>
      </c>
      <c r="H19" s="18" t="n">
        <f>2074953850</f>
        <v>2.07495385E9</v>
      </c>
      <c r="I19" s="19" t="n">
        <f>0.986</f>
        <v>0.986</v>
      </c>
    </row>
    <row r="20" spans="1:9" ht="24.9" customHeight="1">
      <c r="A20" s="41"/>
      <c r="B20" s="39"/>
      <c r="C20" s="20" t="s">
        <v>16</v>
      </c>
      <c r="D20" s="21" t="n">
        <f>22815</f>
        <v>22815.0</v>
      </c>
      <c r="E20" s="22" t="n">
        <f>4039</f>
        <v>4039.0</v>
      </c>
      <c r="F20" s="23" t="n">
        <f>0.557</f>
        <v>0.557</v>
      </c>
      <c r="G20" s="21" t="n">
        <f>7809881510</f>
        <v>7.80988151E9</v>
      </c>
      <c r="H20" s="22" t="n">
        <f>5614486810</f>
        <v>5.61448681E9</v>
      </c>
      <c r="I20" s="23" t="n">
        <f>0.987</f>
        <v>0.987</v>
      </c>
    </row>
    <row r="21" spans="1:9" ht="24.9" customHeight="1">
      <c r="A21" s="41"/>
      <c r="B21" s="39"/>
      <c r="C21" s="20" t="s">
        <v>17</v>
      </c>
      <c r="D21" s="21" t="n">
        <f>28366</f>
        <v>28366.0</v>
      </c>
      <c r="E21" s="22" t="n">
        <f>12447</f>
        <v>12447.0</v>
      </c>
      <c r="F21" s="23" t="n">
        <f>0.724</f>
        <v>0.724</v>
      </c>
      <c r="G21" s="21" t="n">
        <f>21006182175</f>
        <v>2.1006182175E10</v>
      </c>
      <c r="H21" s="22" t="n">
        <f>18453329975</f>
        <v>1.8453329975E10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71228</f>
        <v>71228.0</v>
      </c>
      <c r="E22" s="26" t="n">
        <f>18939</f>
        <v>18939.0</v>
      </c>
      <c r="F22" s="27" t="n">
        <f>0.709</f>
        <v>0.709</v>
      </c>
      <c r="G22" s="25" t="n">
        <f>32347644235</f>
        <v>3.2347644235E10</v>
      </c>
      <c r="H22" s="26" t="n">
        <f>26142770635</f>
        <v>2.6142770635E10</v>
      </c>
      <c r="I22" s="27" t="n">
        <f>0.993</f>
        <v>0.993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18015</f>
        <v>18015.0</v>
      </c>
      <c r="E24" s="22" t="n">
        <f>0</f>
        <v>0.0</v>
      </c>
      <c r="F24" s="23" t="n">
        <f>0.44</f>
        <v>0.44</v>
      </c>
      <c r="G24" s="21" t="n">
        <f>42400068</f>
        <v>4.2400068E7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10610</f>
        <v>10610.0</v>
      </c>
      <c r="E25" s="22" t="n">
        <f>0</f>
        <v>0.0</v>
      </c>
      <c r="F25" s="23" t="n">
        <f>0.271</f>
        <v>0.271</v>
      </c>
      <c r="G25" s="21" t="n">
        <f>36200490</f>
        <v>3.620049E7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28625</f>
        <v>28625.0</v>
      </c>
      <c r="E26" s="26" t="n">
        <f>0</f>
        <v>0.0</v>
      </c>
      <c r="F26" s="27" t="n">
        <f>0.285</f>
        <v>0.285</v>
      </c>
      <c r="G26" s="25" t="n">
        <f>78600558</f>
        <v>7.8600558E7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13439.0</v>
      </c>
      <c r="F12" s="18" t="n">
        <f>1837</f>
        <v>1837.0</v>
      </c>
      <c r="G12" s="17" t="n">
        <v>8.3075363782E11</v>
      </c>
      <c r="H12" s="18" t="n">
        <f>113620981820</f>
        <v>1.1362098182E11</v>
      </c>
    </row>
    <row r="13" spans="1:8" ht="24.9" customHeight="1">
      <c r="A13" s="51"/>
      <c r="B13" s="57"/>
      <c r="C13" s="39"/>
      <c r="D13" s="20" t="s">
        <v>16</v>
      </c>
      <c r="E13" s="21" t="n">
        <v>14494.0</v>
      </c>
      <c r="F13" s="22" t="n">
        <f>736</f>
        <v>736.0</v>
      </c>
      <c r="G13" s="21" t="n">
        <v>8.850101837E11</v>
      </c>
      <c r="H13" s="22" t="n">
        <f>45028843700</f>
        <v>4.50288437E10</v>
      </c>
    </row>
    <row r="14" spans="1:8" ht="24.9" customHeight="1">
      <c r="A14" s="51"/>
      <c r="B14" s="57"/>
      <c r="C14" s="39"/>
      <c r="D14" s="20" t="s">
        <v>17</v>
      </c>
      <c r="E14" s="21" t="n">
        <v>25176.0</v>
      </c>
      <c r="F14" s="22" t="n">
        <f>10583</f>
        <v>10583.0</v>
      </c>
      <c r="G14" s="21" t="n">
        <v>1.532238173E12</v>
      </c>
      <c r="H14" s="22" t="n">
        <f>643976933000</f>
        <v>6.43976933E11</v>
      </c>
    </row>
    <row r="15" spans="1:8" ht="24.9" customHeight="1">
      <c r="A15" s="51"/>
      <c r="B15" s="57"/>
      <c r="C15" s="39"/>
      <c r="D15" s="24" t="s">
        <v>18</v>
      </c>
      <c r="E15" s="25" t="n">
        <v>53109.0</v>
      </c>
      <c r="F15" s="26" t="n">
        <f>13156</f>
        <v>13156.0</v>
      </c>
      <c r="G15" s="25" t="n">
        <v>3.24800199452E12</v>
      </c>
      <c r="H15" s="26" t="n">
        <f>802626758520</f>
        <v>8.0262675852E11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299951.0</v>
      </c>
      <c r="F16" s="18" t="n">
        <f>43744</f>
        <v>43744.0</v>
      </c>
      <c r="G16" s="17" t="n">
        <v>1.8549654708E12</v>
      </c>
      <c r="H16" s="18" t="n">
        <f>270496594800</f>
        <v>2.704965948E11</v>
      </c>
    </row>
    <row r="17" spans="1:8" ht="24.9" customHeight="1">
      <c r="A17" s="51"/>
      <c r="B17" s="57"/>
      <c r="C17" s="39"/>
      <c r="D17" s="20" t="s">
        <v>16</v>
      </c>
      <c r="E17" s="21" t="n">
        <v>214932.0</v>
      </c>
      <c r="F17" s="22" t="n">
        <f>22952</f>
        <v>22952.0</v>
      </c>
      <c r="G17" s="21" t="n">
        <v>1.31170551635E12</v>
      </c>
      <c r="H17" s="22" t="n">
        <f>140031101850</f>
        <v>1.4003110185E11</v>
      </c>
    </row>
    <row r="18" spans="1:8" ht="24.9" customHeight="1">
      <c r="A18" s="51"/>
      <c r="B18" s="57"/>
      <c r="C18" s="39"/>
      <c r="D18" s="20" t="s">
        <v>17</v>
      </c>
      <c r="E18" s="21" t="n">
        <v>187413.0</v>
      </c>
      <c r="F18" s="22" t="n">
        <f>22635</f>
        <v>22635.0</v>
      </c>
      <c r="G18" s="21" t="n">
        <v>1.14150929087E12</v>
      </c>
      <c r="H18" s="22" t="n">
        <f>137926317370</f>
        <v>1.3792631737E11</v>
      </c>
    </row>
    <row r="19" spans="1:8" ht="24.9" customHeight="1">
      <c r="A19" s="51"/>
      <c r="B19" s="57"/>
      <c r="C19" s="39"/>
      <c r="D19" s="24" t="s">
        <v>18</v>
      </c>
      <c r="E19" s="25" t="n">
        <v>702296.0</v>
      </c>
      <c r="F19" s="26" t="n">
        <f>89331</f>
        <v>89331.0</v>
      </c>
      <c r="G19" s="25" t="n">
        <v>4.30818027802E12</v>
      </c>
      <c r="H19" s="26" t="n">
        <f>548454014020</f>
        <v>5.4845401402E11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414041.0</v>
      </c>
      <c r="F20" s="18" t="str">
        <f>"－"</f>
        <v>－</v>
      </c>
      <c r="G20" s="17" t="n">
        <v>2.5605146465E11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247519.0</v>
      </c>
      <c r="F21" s="22" t="str">
        <f>"－"</f>
        <v>－</v>
      </c>
      <c r="G21" s="21" t="n">
        <v>1.510964044E11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188729.0</v>
      </c>
      <c r="F22" s="22" t="str">
        <f>"－"</f>
        <v>－</v>
      </c>
      <c r="G22" s="21" t="n">
        <v>1.149680569E11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850289.0</v>
      </c>
      <c r="F23" s="26" t="str">
        <f>"－"</f>
        <v>－</v>
      </c>
      <c r="G23" s="25" t="n">
        <v>5.2211592595E11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15999.0</v>
      </c>
      <c r="F24" s="18" t="n">
        <f>546</f>
        <v>546.0</v>
      </c>
      <c r="G24" s="17" t="n">
        <v>6.190438622E11</v>
      </c>
      <c r="H24" s="18" t="n">
        <f>21114327200</f>
        <v>2.11143272E10</v>
      </c>
    </row>
    <row r="25" spans="1:8" ht="24.9" customHeight="1">
      <c r="A25" s="51"/>
      <c r="B25" s="57"/>
      <c r="C25" s="39"/>
      <c r="D25" s="20" t="s">
        <v>16</v>
      </c>
      <c r="E25" s="21" t="n">
        <v>21408.0</v>
      </c>
      <c r="F25" s="22" t="n">
        <f>162</f>
        <v>162.0</v>
      </c>
      <c r="G25" s="21" t="n">
        <v>8.229444365E11</v>
      </c>
      <c r="H25" s="22" t="n">
        <f>6247616500</f>
        <v>6.2476165E9</v>
      </c>
    </row>
    <row r="26" spans="1:8" ht="24.9" customHeight="1">
      <c r="A26" s="51"/>
      <c r="B26" s="57"/>
      <c r="C26" s="39"/>
      <c r="D26" s="20" t="s">
        <v>17</v>
      </c>
      <c r="E26" s="21" t="n">
        <v>28055.0</v>
      </c>
      <c r="F26" s="22" t="n">
        <f>7622</f>
        <v>7622.0</v>
      </c>
      <c r="G26" s="21" t="n">
        <v>1.075221042472E12</v>
      </c>
      <c r="H26" s="22" t="n">
        <f>292210591472</f>
        <v>2.92210591472E11</v>
      </c>
    </row>
    <row r="27" spans="1:8" ht="24.9" customHeight="1">
      <c r="A27" s="51"/>
      <c r="B27" s="57"/>
      <c r="C27" s="39"/>
      <c r="D27" s="24" t="s">
        <v>18</v>
      </c>
      <c r="E27" s="25" t="n">
        <v>65462.0</v>
      </c>
      <c r="F27" s="26" t="n">
        <f>8330</f>
        <v>8330.0</v>
      </c>
      <c r="G27" s="25" t="n">
        <v>2.517209341172E12</v>
      </c>
      <c r="H27" s="26" t="n">
        <f>319572535172</f>
        <v>3.19572535172E11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6786.0</v>
      </c>
      <c r="F28" s="18" t="n">
        <f>257</f>
        <v>257.0</v>
      </c>
      <c r="G28" s="17" t="n">
        <v>2.627190154E10</v>
      </c>
      <c r="H28" s="18" t="n">
        <f>994880790</f>
        <v>9.9488079E8</v>
      </c>
    </row>
    <row r="29" spans="1:8" ht="24.9" customHeight="1">
      <c r="A29" s="51"/>
      <c r="B29" s="57"/>
      <c r="C29" s="39"/>
      <c r="D29" s="20" t="s">
        <v>16</v>
      </c>
      <c r="E29" s="21" t="n">
        <v>10652.0</v>
      </c>
      <c r="F29" s="22" t="n">
        <f>290</f>
        <v>290.0</v>
      </c>
      <c r="G29" s="21" t="n">
        <v>4.09535837E10</v>
      </c>
      <c r="H29" s="22" t="n">
        <f>1115051450</f>
        <v>1.11505145E9</v>
      </c>
    </row>
    <row r="30" spans="1:8" ht="24.9" customHeight="1">
      <c r="A30" s="51"/>
      <c r="B30" s="57"/>
      <c r="C30" s="39"/>
      <c r="D30" s="20" t="s">
        <v>17</v>
      </c>
      <c r="E30" s="21" t="n">
        <v>6457.0</v>
      </c>
      <c r="F30" s="22" t="n">
        <f>330</f>
        <v>330.0</v>
      </c>
      <c r="G30" s="21" t="n">
        <v>2.474508029E10</v>
      </c>
      <c r="H30" s="22" t="n">
        <f>1264254040</f>
        <v>1.26425404E9</v>
      </c>
    </row>
    <row r="31" spans="1:8" ht="24.9" customHeight="1">
      <c r="A31" s="51"/>
      <c r="B31" s="57"/>
      <c r="C31" s="39"/>
      <c r="D31" s="24" t="s">
        <v>18</v>
      </c>
      <c r="E31" s="25" t="n">
        <v>23895.0</v>
      </c>
      <c r="F31" s="26" t="n">
        <f>877</f>
        <v>877.0</v>
      </c>
      <c r="G31" s="25" t="n">
        <v>9.197056553E10</v>
      </c>
      <c r="H31" s="26" t="n">
        <f>3374186280</f>
        <v>3.37418628E9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540.0</v>
      </c>
      <c r="F36" s="18" t="n">
        <f>11</f>
        <v>11.0</v>
      </c>
      <c r="G36" s="17" t="n">
        <v>1.899416356E9</v>
      </c>
      <c r="H36" s="18" t="n">
        <f>38685856</f>
        <v>3.8685856E7</v>
      </c>
    </row>
    <row r="37" spans="1:8" ht="24.9" customHeight="1">
      <c r="A37" s="51"/>
      <c r="B37" s="57"/>
      <c r="C37" s="39"/>
      <c r="D37" s="20" t="s">
        <v>16</v>
      </c>
      <c r="E37" s="21" t="n">
        <v>1991.0</v>
      </c>
      <c r="F37" s="22" t="n">
        <f>1</f>
        <v>1.0</v>
      </c>
      <c r="G37" s="21" t="n">
        <v>6.934783E9</v>
      </c>
      <c r="H37" s="22" t="n">
        <f>3488000</f>
        <v>3488000.0</v>
      </c>
    </row>
    <row r="38" spans="1:8" ht="24.9" customHeight="1">
      <c r="A38" s="51"/>
      <c r="B38" s="57"/>
      <c r="C38" s="39"/>
      <c r="D38" s="20" t="s">
        <v>17</v>
      </c>
      <c r="E38" s="21" t="n">
        <v>1195.0</v>
      </c>
      <c r="F38" s="22" t="n">
        <f>1</f>
        <v>1.0</v>
      </c>
      <c r="G38" s="21" t="n">
        <v>4.1570265E9</v>
      </c>
      <c r="H38" s="22" t="n">
        <f>3478000</f>
        <v>3478000.0</v>
      </c>
    </row>
    <row r="39" spans="1:8" ht="24.9" customHeight="1">
      <c r="A39" s="51"/>
      <c r="B39" s="57"/>
      <c r="C39" s="39"/>
      <c r="D39" s="24" t="s">
        <v>18</v>
      </c>
      <c r="E39" s="25" t="n">
        <v>3726.0</v>
      </c>
      <c r="F39" s="26" t="n">
        <f>13</f>
        <v>13.0</v>
      </c>
      <c r="G39" s="25" t="n">
        <v>1.2991225856E10</v>
      </c>
      <c r="H39" s="26" t="n">
        <f>45651856</f>
        <v>4.5651856E7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260.0</v>
      </c>
      <c r="F46" s="22" t="n">
        <f>260</f>
        <v>260.0</v>
      </c>
      <c r="G46" s="21" t="n">
        <v>1.62006E9</v>
      </c>
      <c r="H46" s="22" t="n">
        <f>1620060000</f>
        <v>1.62006E9</v>
      </c>
    </row>
    <row r="47" spans="1:8" ht="24.9" customHeight="1">
      <c r="A47" s="51"/>
      <c r="B47" s="57"/>
      <c r="C47" s="39"/>
      <c r="D47" s="24" t="s">
        <v>18</v>
      </c>
      <c r="E47" s="25" t="n">
        <v>260.0</v>
      </c>
      <c r="F47" s="26" t="n">
        <f>260</f>
        <v>260.0</v>
      </c>
      <c r="G47" s="25" t="n">
        <v>1.62006E9</v>
      </c>
      <c r="H47" s="26" t="n">
        <f>1620060000</f>
        <v>1.62006E9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5</f>
        <v>5.0</v>
      </c>
      <c r="G48" s="17" t="n">
        <v>9169000.0</v>
      </c>
      <c r="H48" s="18" t="n">
        <f>9169000</f>
        <v>9169000.0</v>
      </c>
    </row>
    <row r="49" spans="1:8" ht="24.9" customHeight="1">
      <c r="A49" s="51"/>
      <c r="B49" s="57"/>
      <c r="C49" s="39"/>
      <c r="D49" s="20" t="s">
        <v>16</v>
      </c>
      <c r="E49" s="21" t="n">
        <v>416.0</v>
      </c>
      <c r="F49" s="22" t="n">
        <f>0</f>
        <v>0.0</v>
      </c>
      <c r="G49" s="21" t="n">
        <v>7.52963E8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568.0</v>
      </c>
      <c r="F50" s="22" t="n">
        <f>397</f>
        <v>397.0</v>
      </c>
      <c r="G50" s="21" t="n">
        <v>1.02569066E9</v>
      </c>
      <c r="H50" s="22" t="n">
        <f>717149660</f>
        <v>7.1714966E8</v>
      </c>
    </row>
    <row r="51" spans="1:8" ht="24.9" customHeight="1">
      <c r="A51" s="51"/>
      <c r="B51" s="57"/>
      <c r="C51" s="39"/>
      <c r="D51" s="24" t="s">
        <v>18</v>
      </c>
      <c r="E51" s="25" t="n">
        <v>989.0</v>
      </c>
      <c r="F51" s="26" t="n">
        <f>402</f>
        <v>402.0</v>
      </c>
      <c r="G51" s="25" t="n">
        <v>1.78782266E9</v>
      </c>
      <c r="H51" s="26" t="n">
        <f>726318660</f>
        <v>7.2631866E8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816.0</v>
      </c>
      <c r="F56" s="18" t="n">
        <f>9</f>
        <v>9.0</v>
      </c>
      <c r="G56" s="17" t="n">
        <v>6.375338E8</v>
      </c>
      <c r="H56" s="18" t="n">
        <f>7003800</f>
        <v>7003800.0</v>
      </c>
    </row>
    <row r="57" spans="1:8" ht="24.9" customHeight="1">
      <c r="A57" s="51"/>
      <c r="B57" s="57"/>
      <c r="C57" s="39"/>
      <c r="D57" s="20" t="s">
        <v>16</v>
      </c>
      <c r="E57" s="21" t="n">
        <v>1465.0</v>
      </c>
      <c r="F57" s="22" t="n">
        <f>39</f>
        <v>39.0</v>
      </c>
      <c r="G57" s="21" t="n">
        <v>1.138975E9</v>
      </c>
      <c r="H57" s="22" t="n">
        <f>30243000</f>
        <v>3.0243E7</v>
      </c>
    </row>
    <row r="58" spans="1:8" ht="24.9" customHeight="1">
      <c r="A58" s="51"/>
      <c r="B58" s="57"/>
      <c r="C58" s="39"/>
      <c r="D58" s="20" t="s">
        <v>17</v>
      </c>
      <c r="E58" s="21" t="n">
        <v>1602.0</v>
      </c>
      <c r="F58" s="22" t="n">
        <f>51</f>
        <v>51.0</v>
      </c>
      <c r="G58" s="21" t="n">
        <v>1.2494788E9</v>
      </c>
      <c r="H58" s="22" t="n">
        <f>40074800</f>
        <v>4.00748E7</v>
      </c>
    </row>
    <row r="59" spans="1:8" ht="24.9" customHeight="1">
      <c r="A59" s="51"/>
      <c r="B59" s="57"/>
      <c r="C59" s="39"/>
      <c r="D59" s="24" t="s">
        <v>18</v>
      </c>
      <c r="E59" s="25" t="n">
        <v>3883.0</v>
      </c>
      <c r="F59" s="26" t="n">
        <f>99</f>
        <v>99.0</v>
      </c>
      <c r="G59" s="25" t="n">
        <v>3.0259876E9</v>
      </c>
      <c r="H59" s="26" t="n">
        <f>77321600</f>
        <v>7.73216E7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121.0</v>
      </c>
      <c r="F60" s="18" t="n">
        <f>6</f>
        <v>6.0</v>
      </c>
      <c r="G60" s="17" t="n">
        <v>6.022362E8</v>
      </c>
      <c r="H60" s="18" t="n">
        <f>29870600</f>
        <v>2.98706E7</v>
      </c>
    </row>
    <row r="61" spans="1:8" ht="24.9" customHeight="1">
      <c r="A61" s="51"/>
      <c r="B61" s="57"/>
      <c r="C61" s="39"/>
      <c r="D61" s="20" t="s">
        <v>16</v>
      </c>
      <c r="E61" s="21" t="n">
        <v>42.0</v>
      </c>
      <c r="F61" s="22" t="n">
        <f>0</f>
        <v>0.0</v>
      </c>
      <c r="G61" s="21" t="n">
        <v>2.073553E8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14.0</v>
      </c>
      <c r="F62" s="22" t="n">
        <f>1</f>
        <v>1.0</v>
      </c>
      <c r="G62" s="21" t="n">
        <v>6.89509E7</v>
      </c>
      <c r="H62" s="22" t="n">
        <f>4917000</f>
        <v>4917000.0</v>
      </c>
    </row>
    <row r="63" spans="1:8" ht="24.9" customHeight="1">
      <c r="A63" s="51"/>
      <c r="B63" s="57"/>
      <c r="C63" s="39"/>
      <c r="D63" s="24" t="s">
        <v>18</v>
      </c>
      <c r="E63" s="25" t="n">
        <v>177.0</v>
      </c>
      <c r="F63" s="26" t="n">
        <f>7</f>
        <v>7.0</v>
      </c>
      <c r="G63" s="25" t="n">
        <v>8.785424E8</v>
      </c>
      <c r="H63" s="26" t="n">
        <f>34787600</f>
        <v>3.47876E7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4.0</v>
      </c>
      <c r="F77" s="22" t="n">
        <f>0</f>
        <v>0.0</v>
      </c>
      <c r="G77" s="21" t="n">
        <v>1399500.0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345000.0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5.0</v>
      </c>
      <c r="F79" s="26" t="n">
        <f>0</f>
        <v>0.0</v>
      </c>
      <c r="G79" s="25" t="n">
        <v>1744500.0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219.0</v>
      </c>
      <c r="F92" s="18" t="n">
        <f>0</f>
        <v>0.0</v>
      </c>
      <c r="G92" s="17" t="n">
        <v>3.463364E8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1585400.0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510.0</v>
      </c>
      <c r="F94" s="22" t="n">
        <f>0</f>
        <v>0.0</v>
      </c>
      <c r="G94" s="21" t="n">
        <v>8.088424E8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730.0</v>
      </c>
      <c r="F95" s="26" t="n">
        <f>0</f>
        <v>0.0</v>
      </c>
      <c r="G95" s="25" t="n">
        <v>1.1567642E9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297.0</v>
      </c>
      <c r="F96" s="18" t="n">
        <f>0</f>
        <v>0.0</v>
      </c>
      <c r="G96" s="17" t="n">
        <v>6.910861E8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161.0</v>
      </c>
      <c r="F98" s="22" t="n">
        <f>0</f>
        <v>0.0</v>
      </c>
      <c r="G98" s="21" t="n">
        <v>3.752993E8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458.0</v>
      </c>
      <c r="F99" s="26" t="n">
        <f>0</f>
        <v>0.0</v>
      </c>
      <c r="G99" s="25" t="n">
        <v>1.0663854E9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400.0</v>
      </c>
      <c r="F102" s="22" t="n">
        <f>0</f>
        <v>0.0</v>
      </c>
      <c r="G102" s="21" t="n">
        <v>7.38415E8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400.0</v>
      </c>
      <c r="F103" s="26" t="n">
        <f>0</f>
        <v>0.0</v>
      </c>
      <c r="G103" s="25" t="n">
        <v>7.38415E8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20429.0</v>
      </c>
      <c r="F108" s="18" t="n">
        <f>437</f>
        <v>437.0</v>
      </c>
      <c r="G108" s="17" t="n">
        <v>2.61304245E12</v>
      </c>
      <c r="H108" s="18" t="n">
        <f>55993830000</f>
        <v>5.599383E10</v>
      </c>
    </row>
    <row r="109" spans="1:8" ht="24.9" customHeight="1">
      <c r="A109" s="51"/>
      <c r="B109" s="57"/>
      <c r="C109" s="39"/>
      <c r="D109" s="20" t="s">
        <v>16</v>
      </c>
      <c r="E109" s="21" t="n">
        <v>20154.0</v>
      </c>
      <c r="F109" s="22" t="n">
        <f>1857</f>
        <v>1857.0</v>
      </c>
      <c r="G109" s="21" t="n">
        <v>2.573227005E12</v>
      </c>
      <c r="H109" s="22" t="n">
        <f>237271265000</f>
        <v>2.37271265E11</v>
      </c>
    </row>
    <row r="110" spans="1:8" ht="24.9" customHeight="1">
      <c r="A110" s="51"/>
      <c r="B110" s="57"/>
      <c r="C110" s="39"/>
      <c r="D110" s="20" t="s">
        <v>17</v>
      </c>
      <c r="E110" s="21" t="n">
        <v>25607.0</v>
      </c>
      <c r="F110" s="22" t="n">
        <f>2977</f>
        <v>2977.0</v>
      </c>
      <c r="G110" s="21" t="n">
        <v>3.275364255E12</v>
      </c>
      <c r="H110" s="22" t="n">
        <f>380656305000</f>
        <v>3.80656305E11</v>
      </c>
    </row>
    <row r="111" spans="1:8" ht="24.9" customHeight="1">
      <c r="A111" s="51"/>
      <c r="B111" s="57"/>
      <c r="C111" s="39"/>
      <c r="D111" s="24" t="s">
        <v>18</v>
      </c>
      <c r="E111" s="25" t="n">
        <v>66190.0</v>
      </c>
      <c r="F111" s="26" t="n">
        <f>5271</f>
        <v>5271.0</v>
      </c>
      <c r="G111" s="25" t="n">
        <v>8.46163371E12</v>
      </c>
      <c r="H111" s="26" t="n">
        <f>673921400000</f>
        <v>6.739214E11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135.0</v>
      </c>
      <c r="F113" s="22" t="n">
        <f>0</f>
        <v>0.0</v>
      </c>
      <c r="G113" s="21" t="n">
        <v>1.721599E9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1.279E7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136.0</v>
      </c>
      <c r="F115" s="26" t="n">
        <f>0</f>
        <v>0.0</v>
      </c>
      <c r="G115" s="25" t="n">
        <v>1.734389E9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311.0</v>
      </c>
      <c r="F118" s="22" t="n">
        <f>0</f>
        <v>0.0</v>
      </c>
      <c r="G118" s="21" t="n">
        <v>2.823268E9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311.0</v>
      </c>
      <c r="F119" s="26" t="n">
        <f>0</f>
        <v>0.0</v>
      </c>
      <c r="G119" s="25" t="n">
        <v>2.823268E9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111.0</v>
      </c>
      <c r="F120" s="18" t="n">
        <f>0</f>
        <v>0.0</v>
      </c>
      <c r="G120" s="17" t="n">
        <v>2.740195E9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105.0</v>
      </c>
      <c r="F121" s="22" t="n">
        <f>0</f>
        <v>0.0</v>
      </c>
      <c r="G121" s="21" t="n">
        <v>2.59866E9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847.0</v>
      </c>
      <c r="F122" s="22" t="n">
        <f>0</f>
        <v>0.0</v>
      </c>
      <c r="G122" s="21" t="n">
        <v>2.1017866875E10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1063.0</v>
      </c>
      <c r="F123" s="26" t="n">
        <f>0</f>
        <v>0.0</v>
      </c>
      <c r="G123" s="25" t="n">
        <v>2.6356721875E10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6928.0</v>
      </c>
      <c r="F124" s="18" t="n">
        <f>0</f>
        <v>0.0</v>
      </c>
      <c r="G124" s="17" t="n">
        <v>1.6582638E11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3985.0</v>
      </c>
      <c r="F125" s="22" t="n">
        <f>0</f>
        <v>0.0</v>
      </c>
      <c r="G125" s="21" t="n">
        <v>9.4637729E10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5068.0</v>
      </c>
      <c r="F126" s="22" t="n">
        <f>0</f>
        <v>0.0</v>
      </c>
      <c r="G126" s="21" t="n">
        <v>1.20968517E11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15981.0</v>
      </c>
      <c r="F127" s="26" t="n">
        <f>0</f>
        <v>0.0</v>
      </c>
      <c r="G127" s="25" t="n">
        <v>3.81432626E11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73.0</v>
      </c>
      <c r="F128" s="18" t="n">
        <f>0</f>
        <v>0.0</v>
      </c>
      <c r="G128" s="17" t="n">
        <v>1.748485E8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60.0</v>
      </c>
      <c r="F129" s="22" t="n">
        <f>0</f>
        <v>0.0</v>
      </c>
      <c r="G129" s="21" t="n">
        <v>1.42576E8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23.0</v>
      </c>
      <c r="F130" s="22" t="n">
        <f>0</f>
        <v>0.0</v>
      </c>
      <c r="G130" s="21" t="n">
        <v>5.4982E7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156.0</v>
      </c>
      <c r="F131" s="26" t="n">
        <f>0</f>
        <v>0.0</v>
      </c>
      <c r="G131" s="25" t="n">
        <v>3.724065E8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6141.0</v>
      </c>
      <c r="F132" s="18" t="n">
        <f>0</f>
        <v>0.0</v>
      </c>
      <c r="G132" s="17" t="n">
        <v>1.47469092E10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3220.0</v>
      </c>
      <c r="F133" s="22" t="n">
        <f>0</f>
        <v>0.0</v>
      </c>
      <c r="G133" s="21" t="n">
        <v>7.67030875E9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2383.0</v>
      </c>
      <c r="F134" s="22" t="n">
        <f>0</f>
        <v>0.0</v>
      </c>
      <c r="G134" s="21" t="n">
        <v>5.7129617E9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11744.0</v>
      </c>
      <c r="F135" s="26" t="n">
        <f>0</f>
        <v>0.0</v>
      </c>
      <c r="G135" s="25" t="n">
        <v>2.813017965E10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214.0</v>
      </c>
      <c r="F136" s="18" t="n">
        <f>0</f>
        <v>0.0</v>
      </c>
      <c r="G136" s="17" t="n">
        <v>5.077631E8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100.0</v>
      </c>
      <c r="F137" s="22" t="n">
        <f>0</f>
        <v>0.0</v>
      </c>
      <c r="G137" s="21" t="n">
        <v>2.356797E8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18.0</v>
      </c>
      <c r="F138" s="22" t="n">
        <f>0</f>
        <v>0.0</v>
      </c>
      <c r="G138" s="21" t="n">
        <v>4.2807E7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332.0</v>
      </c>
      <c r="F139" s="26" t="n">
        <f>0</f>
        <v>0.0</v>
      </c>
      <c r="G139" s="25" t="n">
        <v>7.862498E8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2.0</v>
      </c>
      <c r="F141" s="22" t="n">
        <f>0</f>
        <v>0.0</v>
      </c>
      <c r="G141" s="21" t="n">
        <v>2.331E7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5.0</v>
      </c>
      <c r="F142" s="22" t="n">
        <f>0</f>
        <v>0.0</v>
      </c>
      <c r="G142" s="21" t="n">
        <v>5.8485E7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7.0</v>
      </c>
      <c r="F143" s="26" t="n">
        <f>0</f>
        <v>0.0</v>
      </c>
      <c r="G143" s="25" t="n">
        <v>8.1795E7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2267.0</v>
      </c>
      <c r="F144" s="18" t="n">
        <f>0</f>
        <v>0.0</v>
      </c>
      <c r="G144" s="17" t="n">
        <v>1.1400735E10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1696.0</v>
      </c>
      <c r="F145" s="22" t="n">
        <f>0</f>
        <v>0.0</v>
      </c>
      <c r="G145" s="21" t="n">
        <v>8.407325E9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947.0</v>
      </c>
      <c r="F146" s="22" t="n">
        <f>0</f>
        <v>0.0</v>
      </c>
      <c r="G146" s="21" t="n">
        <v>4.685371E9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4910.0</v>
      </c>
      <c r="F147" s="26" t="n">
        <f>0</f>
        <v>0.0</v>
      </c>
      <c r="G147" s="25" t="n">
        <v>2.4493431E10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150.0</v>
      </c>
      <c r="F148" s="18" t="n">
        <f>0</f>
        <v>0.0</v>
      </c>
      <c r="G148" s="17" t="n">
        <v>1.534328E8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143.0</v>
      </c>
      <c r="F149" s="22" t="n">
        <f>0</f>
        <v>0.0</v>
      </c>
      <c r="G149" s="21" t="n">
        <v>1.43833E8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328.0</v>
      </c>
      <c r="F150" s="22" t="n">
        <f>0</f>
        <v>0.0</v>
      </c>
      <c r="G150" s="21" t="n">
        <v>3.298026E8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621.0</v>
      </c>
      <c r="F151" s="26" t="n">
        <f>0</f>
        <v>0.0</v>
      </c>
      <c r="G151" s="25" t="n">
        <v>6.270684E8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321.0</v>
      </c>
      <c r="F152" s="18" t="n">
        <f>0</f>
        <v>0.0</v>
      </c>
      <c r="G152" s="17" t="n">
        <v>3.232275E8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196.0</v>
      </c>
      <c r="F153" s="22" t="n">
        <f>0</f>
        <v>0.0</v>
      </c>
      <c r="G153" s="21" t="n">
        <v>1.9455075E8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178.0</v>
      </c>
      <c r="F154" s="22" t="n">
        <f>0</f>
        <v>0.0</v>
      </c>
      <c r="G154" s="21" t="n">
        <v>1.7648035E8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695.0</v>
      </c>
      <c r="F155" s="26" t="n">
        <f>0</f>
        <v>0.0</v>
      </c>
      <c r="G155" s="25" t="n">
        <v>6.942586E8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64.0</v>
      </c>
      <c r="F156" s="18" t="n">
        <f>0</f>
        <v>0.0</v>
      </c>
      <c r="G156" s="17" t="n">
        <v>6.44246E7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521.0</v>
      </c>
      <c r="F157" s="22" t="n">
        <f>0</f>
        <v>0.0</v>
      </c>
      <c r="G157" s="21" t="n">
        <v>5.202927E8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1217.0</v>
      </c>
      <c r="F158" s="22" t="n">
        <f>0</f>
        <v>0.0</v>
      </c>
      <c r="G158" s="21" t="n">
        <v>1.2026364E9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1802.0</v>
      </c>
      <c r="F159" s="26" t="n">
        <f>0</f>
        <v>0.0</v>
      </c>
      <c r="G159" s="25" t="n">
        <v>1.7873537E9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38.0</v>
      </c>
      <c r="F168" s="18" t="n">
        <f>0</f>
        <v>0.0</v>
      </c>
      <c r="G168" s="17" t="n">
        <v>7.8618E7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413.0</v>
      </c>
      <c r="F169" s="22" t="n">
        <f>0</f>
        <v>0.0</v>
      </c>
      <c r="G169" s="21" t="n">
        <v>8.465165E8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237.0</v>
      </c>
      <c r="F170" s="22" t="n">
        <f>0</f>
        <v>0.0</v>
      </c>
      <c r="G170" s="21" t="n">
        <v>4.89036E8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688.0</v>
      </c>
      <c r="F171" s="26" t="n">
        <f>0</f>
        <v>0.0</v>
      </c>
      <c r="G171" s="25" t="n">
        <v>1.4141705E9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6.0</v>
      </c>
      <c r="F176" s="18" t="n">
        <f>0</f>
        <v>0.0</v>
      </c>
      <c r="G176" s="17" t="n">
        <v>1.06325E7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12.0</v>
      </c>
      <c r="F177" s="22" t="n">
        <f>0</f>
        <v>0.0</v>
      </c>
      <c r="G177" s="21" t="n">
        <v>2.1258E7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18.0</v>
      </c>
      <c r="F179" s="26" t="n">
        <f>0</f>
        <v>0.0</v>
      </c>
      <c r="G179" s="25" t="n">
        <v>3.18905E7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784.0</v>
      </c>
      <c r="F204" s="18" t="n">
        <f>0</f>
        <v>0.0</v>
      </c>
      <c r="G204" s="17" t="n">
        <v>3.4758065E9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581.0</v>
      </c>
      <c r="F205" s="22" t="n">
        <f>0</f>
        <v>0.0</v>
      </c>
      <c r="G205" s="21" t="n">
        <v>2.6226875E9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4422.0</v>
      </c>
      <c r="F206" s="22" t="n">
        <f>0</f>
        <v>0.0</v>
      </c>
      <c r="G206" s="21" t="n">
        <v>2.01004745E10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5787.0</v>
      </c>
      <c r="F207" s="26" t="n">
        <f>0</f>
        <v>0.0</v>
      </c>
      <c r="G207" s="25" t="n">
        <v>2.61989685E10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2149</f>
        <v>2149.0</v>
      </c>
      <c r="E12" s="35" t="n">
        <f>638</f>
        <v>638.0</v>
      </c>
      <c r="F12" s="17" t="n">
        <f>1665</f>
        <v>1665.0</v>
      </c>
      <c r="G12" s="35" t="n">
        <f>695</f>
        <v>695.0</v>
      </c>
      <c r="H12" s="17" t="n">
        <f>3814</f>
        <v>3814.0</v>
      </c>
      <c r="I12" s="35" t="n">
        <f>1333</f>
        <v>1333.0</v>
      </c>
      <c r="J12" s="17" t="n">
        <f>1234359510</f>
        <v>1.23435951E9</v>
      </c>
      <c r="K12" s="35" t="n">
        <f>571155510</f>
        <v>5.7115551E8</v>
      </c>
      <c r="L12" s="17" t="n">
        <f>1781079990</f>
        <v>1.78107999E9</v>
      </c>
      <c r="M12" s="35" t="n">
        <f>1490318990</f>
        <v>1.49031899E9</v>
      </c>
      <c r="N12" s="17" t="n">
        <f>3015439500</f>
        <v>3.0154395E9</v>
      </c>
      <c r="O12" s="35" t="n">
        <f>2061474500</f>
        <v>2.0614745E9</v>
      </c>
    </row>
    <row r="13" spans="1:15" ht="24.9" customHeight="1">
      <c r="A13" s="38"/>
      <c r="B13" s="62"/>
      <c r="C13" s="20" t="s">
        <v>16</v>
      </c>
      <c r="D13" s="21" t="n">
        <f>3700</f>
        <v>3700.0</v>
      </c>
      <c r="E13" s="36" t="n">
        <f>1414</f>
        <v>1414.0</v>
      </c>
      <c r="F13" s="21" t="n">
        <f>3798</f>
        <v>3798.0</v>
      </c>
      <c r="G13" s="36" t="n">
        <f>1880</f>
        <v>1880.0</v>
      </c>
      <c r="H13" s="21" t="n">
        <f>7498</f>
        <v>7498.0</v>
      </c>
      <c r="I13" s="36" t="n">
        <f>3294</f>
        <v>3294.0</v>
      </c>
      <c r="J13" s="21" t="n">
        <f>3306256560</f>
        <v>3.30625656E9</v>
      </c>
      <c r="K13" s="36" t="n">
        <f>2312840560</f>
        <v>2.31284056E9</v>
      </c>
      <c r="L13" s="21" t="n">
        <f>3561300320</f>
        <v>3.56130032E9</v>
      </c>
      <c r="M13" s="36" t="n">
        <f>2793177320</f>
        <v>2.79317732E9</v>
      </c>
      <c r="N13" s="21" t="n">
        <f>6867556880</f>
        <v>6.86755688E9</v>
      </c>
      <c r="O13" s="36" t="n">
        <f>5106017880</f>
        <v>5.10601788E9</v>
      </c>
    </row>
    <row r="14" spans="1:15" ht="24.9" customHeight="1">
      <c r="A14" s="38"/>
      <c r="B14" s="62"/>
      <c r="C14" s="20" t="s">
        <v>17</v>
      </c>
      <c r="D14" s="21" t="n">
        <f>12102</f>
        <v>12102.0</v>
      </c>
      <c r="E14" s="36" t="n">
        <f>9721</f>
        <v>9721.0</v>
      </c>
      <c r="F14" s="21" t="n">
        <f>3271</f>
        <v>3271.0</v>
      </c>
      <c r="G14" s="36" t="n">
        <f>1131</f>
        <v>1131.0</v>
      </c>
      <c r="H14" s="21" t="n">
        <f>15373</f>
        <v>15373.0</v>
      </c>
      <c r="I14" s="36" t="n">
        <f>10852</f>
        <v>10852.0</v>
      </c>
      <c r="J14" s="21" t="n">
        <f>16220019925</f>
        <v>1.6220019925E10</v>
      </c>
      <c r="K14" s="36" t="n">
        <f>15083501925</f>
        <v>1.5083501925E10</v>
      </c>
      <c r="L14" s="21" t="n">
        <f>2621500460</f>
        <v>2.62150046E9</v>
      </c>
      <c r="M14" s="36" t="n">
        <f>1574959460</f>
        <v>1.57495946E9</v>
      </c>
      <c r="N14" s="21" t="n">
        <f>18841520385</f>
        <v>1.8841520385E10</v>
      </c>
      <c r="O14" s="36" t="n">
        <f>16658461385</f>
        <v>1.6658461385E10</v>
      </c>
    </row>
    <row r="15" spans="1:15" ht="24.9" customHeight="1">
      <c r="A15" s="38"/>
      <c r="B15" s="62"/>
      <c r="C15" s="24" t="s">
        <v>18</v>
      </c>
      <c r="D15" s="25" t="n">
        <f>17951</f>
        <v>17951.0</v>
      </c>
      <c r="E15" s="37" t="n">
        <f>11773</f>
        <v>11773.0</v>
      </c>
      <c r="F15" s="25" t="n">
        <f>8734</f>
        <v>8734.0</v>
      </c>
      <c r="G15" s="37" t="n">
        <f>3706</f>
        <v>3706.0</v>
      </c>
      <c r="H15" s="25" t="n">
        <f>26685</f>
        <v>26685.0</v>
      </c>
      <c r="I15" s="37" t="n">
        <f>15479</f>
        <v>15479.0</v>
      </c>
      <c r="J15" s="25" t="n">
        <f>20760635995</f>
        <v>2.0760635995E10</v>
      </c>
      <c r="K15" s="37" t="n">
        <f>17967497995</f>
        <v>1.7967497995E10</v>
      </c>
      <c r="L15" s="25" t="n">
        <f>7963880770</f>
        <v>7.96388077E9</v>
      </c>
      <c r="M15" s="37" t="n">
        <f>5858455770</f>
        <v>5.85845577E9</v>
      </c>
      <c r="N15" s="25" t="n">
        <f>28724516765</f>
        <v>2.8724516765E10</v>
      </c>
      <c r="O15" s="37" t="n">
        <f>23825953765</f>
        <v>2.3825953765E10</v>
      </c>
    </row>
    <row r="16" spans="1:15" ht="24.9" customHeight="1">
      <c r="A16" s="38"/>
      <c r="B16" s="61" t="s">
        <v>105</v>
      </c>
      <c r="C16" s="16" t="s">
        <v>15</v>
      </c>
      <c r="D16" s="17" t="n">
        <f>8202</f>
        <v>8202.0</v>
      </c>
      <c r="E16" s="35" t="n">
        <f>770</f>
        <v>770.0</v>
      </c>
      <c r="F16" s="17" t="n">
        <f>8031</f>
        <v>8031.0</v>
      </c>
      <c r="G16" s="35" t="n">
        <f>350</f>
        <v>350.0</v>
      </c>
      <c r="H16" s="17" t="n">
        <f>16233</f>
        <v>16233.0</v>
      </c>
      <c r="I16" s="35" t="n">
        <f>1120</f>
        <v>1120.0</v>
      </c>
      <c r="J16" s="17" t="n">
        <f>256760570</f>
        <v>2.5676057E8</v>
      </c>
      <c r="K16" s="35" t="n">
        <f>8954470</f>
        <v>8954470.0</v>
      </c>
      <c r="L16" s="17" t="n">
        <f>259380480</f>
        <v>2.5938048E8</v>
      </c>
      <c r="M16" s="35" t="n">
        <f>4524880</f>
        <v>4524880.0</v>
      </c>
      <c r="N16" s="17" t="n">
        <f>516141050</f>
        <v>5.1614105E8</v>
      </c>
      <c r="O16" s="35" t="n">
        <f>13479350</f>
        <v>1.347935E7</v>
      </c>
    </row>
    <row r="17" spans="1:15" ht="24.9" customHeight="1">
      <c r="A17" s="38"/>
      <c r="B17" s="62"/>
      <c r="C17" s="20" t="s">
        <v>16</v>
      </c>
      <c r="D17" s="21" t="n">
        <f>7999</f>
        <v>7999.0</v>
      </c>
      <c r="E17" s="36" t="n">
        <f>330</f>
        <v>330.0</v>
      </c>
      <c r="F17" s="21" t="n">
        <f>7143</f>
        <v>7143.0</v>
      </c>
      <c r="G17" s="36" t="n">
        <f>240</f>
        <v>240.0</v>
      </c>
      <c r="H17" s="21" t="n">
        <f>15142</f>
        <v>15142.0</v>
      </c>
      <c r="I17" s="36" t="n">
        <f>570</f>
        <v>570.0</v>
      </c>
      <c r="J17" s="21" t="n">
        <f>281710340</f>
        <v>2.8171034E8</v>
      </c>
      <c r="K17" s="36" t="n">
        <f>4825940</f>
        <v>4825940.0</v>
      </c>
      <c r="L17" s="21" t="n">
        <f>164489290</f>
        <v>1.6448929E8</v>
      </c>
      <c r="M17" s="36" t="n">
        <f>7517990</f>
        <v>7517990.0</v>
      </c>
      <c r="N17" s="21" t="n">
        <f>446199630</f>
        <v>4.4619963E8</v>
      </c>
      <c r="O17" s="36" t="n">
        <f>12343930</f>
        <v>1.234393E7</v>
      </c>
    </row>
    <row r="18" spans="1:15" ht="24.9" customHeight="1">
      <c r="A18" s="38"/>
      <c r="B18" s="62"/>
      <c r="C18" s="20" t="s">
        <v>17</v>
      </c>
      <c r="D18" s="21" t="n">
        <f>6696</f>
        <v>6696.0</v>
      </c>
      <c r="E18" s="36" t="n">
        <f>450</f>
        <v>450.0</v>
      </c>
      <c r="F18" s="21" t="n">
        <f>5312</f>
        <v>5312.0</v>
      </c>
      <c r="G18" s="36" t="n">
        <f>160</f>
        <v>160.0</v>
      </c>
      <c r="H18" s="21" t="n">
        <f>12008</f>
        <v>12008.0</v>
      </c>
      <c r="I18" s="36" t="n">
        <f>610</f>
        <v>610.0</v>
      </c>
      <c r="J18" s="21" t="n">
        <f>219179580</f>
        <v>2.1917958E8</v>
      </c>
      <c r="K18" s="36" t="n">
        <f>6402380</f>
        <v>6402380.0</v>
      </c>
      <c r="L18" s="21" t="n">
        <f>158682210</f>
        <v>1.5868221E8</v>
      </c>
      <c r="M18" s="36" t="n">
        <f>1666210</f>
        <v>1666210.0</v>
      </c>
      <c r="N18" s="21" t="n">
        <f>377861790</f>
        <v>3.7786179E8</v>
      </c>
      <c r="O18" s="36" t="n">
        <f>8068590</f>
        <v>8068590.0</v>
      </c>
    </row>
    <row r="19" spans="1:15" ht="24.9" customHeight="1">
      <c r="A19" s="38"/>
      <c r="B19" s="62"/>
      <c r="C19" s="24" t="s">
        <v>18</v>
      </c>
      <c r="D19" s="25" t="n">
        <f>22897</f>
        <v>22897.0</v>
      </c>
      <c r="E19" s="37" t="n">
        <f>1550</f>
        <v>1550.0</v>
      </c>
      <c r="F19" s="25" t="n">
        <f>20486</f>
        <v>20486.0</v>
      </c>
      <c r="G19" s="37" t="n">
        <f>750</f>
        <v>750.0</v>
      </c>
      <c r="H19" s="25" t="n">
        <f>43383</f>
        <v>43383.0</v>
      </c>
      <c r="I19" s="37" t="n">
        <f>2300</f>
        <v>2300.0</v>
      </c>
      <c r="J19" s="25" t="n">
        <f>757650490</f>
        <v>7.5765049E8</v>
      </c>
      <c r="K19" s="37" t="n">
        <f>20182790</f>
        <v>2.018279E7</v>
      </c>
      <c r="L19" s="25" t="n">
        <f>582551980</f>
        <v>5.8255198E8</v>
      </c>
      <c r="M19" s="37" t="n">
        <f>13709080</f>
        <v>1.370908E7</v>
      </c>
      <c r="N19" s="25" t="n">
        <f>1340202470</f>
        <v>1.34020247E9</v>
      </c>
      <c r="O19" s="37" t="n">
        <f>33891870</f>
        <v>3.389187E7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175</f>
        <v>175.0</v>
      </c>
      <c r="E21" s="36" t="n">
        <f>175</f>
        <v>175.0</v>
      </c>
      <c r="F21" s="21" t="n">
        <f>0</f>
        <v>0.0</v>
      </c>
      <c r="G21" s="36" t="n">
        <f>0</f>
        <v>0.0</v>
      </c>
      <c r="H21" s="21" t="n">
        <f>175</f>
        <v>175.0</v>
      </c>
      <c r="I21" s="36" t="n">
        <f>175</f>
        <v>175.0</v>
      </c>
      <c r="J21" s="21" t="n">
        <f>496125000</f>
        <v>4.96125E8</v>
      </c>
      <c r="K21" s="36" t="n">
        <f>496125000</f>
        <v>4.96125E8</v>
      </c>
      <c r="L21" s="21" t="n">
        <f>0</f>
        <v>0.0</v>
      </c>
      <c r="M21" s="36" t="n">
        <f>0</f>
        <v>0.0</v>
      </c>
      <c r="N21" s="21" t="n">
        <f>496125000</f>
        <v>4.96125E8</v>
      </c>
      <c r="O21" s="36" t="n">
        <f>496125000</f>
        <v>4.96125E8</v>
      </c>
    </row>
    <row r="22" spans="1:15" ht="24.9" customHeight="1">
      <c r="A22" s="38"/>
      <c r="B22" s="62"/>
      <c r="C22" s="20" t="s">
        <v>17</v>
      </c>
      <c r="D22" s="21" t="n">
        <f>730</f>
        <v>730.0</v>
      </c>
      <c r="E22" s="36" t="n">
        <f>730</f>
        <v>730.0</v>
      </c>
      <c r="F22" s="21" t="n">
        <f>255</f>
        <v>255.0</v>
      </c>
      <c r="G22" s="36" t="n">
        <f>255</f>
        <v>255.0</v>
      </c>
      <c r="H22" s="21" t="n">
        <f>985</f>
        <v>985.0</v>
      </c>
      <c r="I22" s="36" t="n">
        <f>985</f>
        <v>985.0</v>
      </c>
      <c r="J22" s="21" t="n">
        <f>1054124000</f>
        <v>1.054124E9</v>
      </c>
      <c r="K22" s="36" t="n">
        <f>1054124000</f>
        <v>1.054124E9</v>
      </c>
      <c r="L22" s="21" t="n">
        <f>732676000</f>
        <v>7.32676E8</v>
      </c>
      <c r="M22" s="36" t="n">
        <f>732676000</f>
        <v>7.32676E8</v>
      </c>
      <c r="N22" s="21" t="n">
        <f>1786800000</f>
        <v>1.7868E9</v>
      </c>
      <c r="O22" s="36" t="n">
        <f>1786800000</f>
        <v>1.7868E9</v>
      </c>
    </row>
    <row r="23" spans="1:15" ht="24.9" customHeight="1">
      <c r="A23" s="38"/>
      <c r="B23" s="62"/>
      <c r="C23" s="24" t="s">
        <v>18</v>
      </c>
      <c r="D23" s="25" t="n">
        <f>905</f>
        <v>905.0</v>
      </c>
      <c r="E23" s="37" t="n">
        <f>905</f>
        <v>905.0</v>
      </c>
      <c r="F23" s="25" t="n">
        <f>255</f>
        <v>255.0</v>
      </c>
      <c r="G23" s="37" t="n">
        <f>255</f>
        <v>255.0</v>
      </c>
      <c r="H23" s="25" t="n">
        <f>1160</f>
        <v>1160.0</v>
      </c>
      <c r="I23" s="37" t="n">
        <f>1160</f>
        <v>1160.0</v>
      </c>
      <c r="J23" s="25" t="n">
        <f>1550249000</f>
        <v>1.550249E9</v>
      </c>
      <c r="K23" s="37" t="n">
        <f>1550249000</f>
        <v>1.550249E9</v>
      </c>
      <c r="L23" s="25" t="n">
        <f>732676000</f>
        <v>7.32676E8</v>
      </c>
      <c r="M23" s="37" t="n">
        <f>732676000</f>
        <v>7.32676E8</v>
      </c>
      <c r="N23" s="25" t="n">
        <f>2282925000</f>
        <v>2.282925E9</v>
      </c>
      <c r="O23" s="37" t="n">
        <f>2282925000</f>
        <v>2.282925E9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125</f>
        <v>125.0</v>
      </c>
      <c r="E36" s="18" t="n">
        <f>125</f>
        <v>125.0</v>
      </c>
      <c r="F36" s="17" t="n">
        <f>141</f>
        <v>141.0</v>
      </c>
      <c r="G36" s="18" t="n">
        <f>100</f>
        <v>100.0</v>
      </c>
      <c r="H36" s="17" t="n">
        <f>266</f>
        <v>266.0</v>
      </c>
      <c r="I36" s="18" t="n">
        <f>225</f>
        <v>225.0</v>
      </c>
      <c r="J36" s="17" t="n">
        <f>27750000</f>
        <v>2.775E7</v>
      </c>
      <c r="K36" s="18" t="n">
        <f>27750000</f>
        <v>2.775E7</v>
      </c>
      <c r="L36" s="17" t="n">
        <f>23950000</f>
        <v>2.395E7</v>
      </c>
      <c r="M36" s="18" t="n">
        <f>10000000</f>
        <v>1.0E7</v>
      </c>
      <c r="N36" s="17" t="n">
        <f>51700000</f>
        <v>5.17E7</v>
      </c>
      <c r="O36" s="18" t="n">
        <f>37750000</f>
        <v>3.775E7</v>
      </c>
    </row>
    <row r="37" spans="1:15" ht="24.9" customHeight="1">
      <c r="A37" s="38"/>
      <c r="B37" s="62"/>
      <c r="C37" s="20" t="s">
        <v>16</v>
      </c>
      <c r="D37" s="21" t="n">
        <f>62</f>
        <v>62.0</v>
      </c>
      <c r="E37" s="22" t="n">
        <f>20</f>
        <v>20.0</v>
      </c>
      <c r="F37" s="21" t="n">
        <f>55</f>
        <v>55.0</v>
      </c>
      <c r="G37" s="22" t="n">
        <f>0</f>
        <v>0.0</v>
      </c>
      <c r="H37" s="21" t="n">
        <f>117</f>
        <v>117.0</v>
      </c>
      <c r="I37" s="22" t="n">
        <f>20</f>
        <v>20.0</v>
      </c>
      <c r="J37" s="21" t="n">
        <f>53900000</f>
        <v>5.39E7</v>
      </c>
      <c r="K37" s="22" t="n">
        <f>1900000</f>
        <v>1900000.0</v>
      </c>
      <c r="L37" s="21" t="n">
        <f>7550000</f>
        <v>7550000.0</v>
      </c>
      <c r="M37" s="22" t="n">
        <f>0</f>
        <v>0.0</v>
      </c>
      <c r="N37" s="21" t="n">
        <f>61450000</f>
        <v>6.145E7</v>
      </c>
      <c r="O37" s="22" t="n">
        <f>1900000</f>
        <v>1900000.0</v>
      </c>
    </row>
    <row r="38" spans="1:15" ht="24.9" customHeight="1">
      <c r="A38" s="38"/>
      <c r="B38" s="62"/>
      <c r="C38" s="20" t="s">
        <v>17</v>
      </c>
      <c r="D38" s="21" t="n">
        <f>164</f>
        <v>164.0</v>
      </c>
      <c r="E38" s="36" t="n">
        <f>70</f>
        <v>70.0</v>
      </c>
      <c r="F38" s="21" t="n">
        <f>25</f>
        <v>25.0</v>
      </c>
      <c r="G38" s="36" t="n">
        <f>0</f>
        <v>0.0</v>
      </c>
      <c r="H38" s="21" t="n">
        <f>189</f>
        <v>189.0</v>
      </c>
      <c r="I38" s="36" t="n">
        <f>70</f>
        <v>70.0</v>
      </c>
      <c r="J38" s="21" t="n">
        <f>17700000</f>
        <v>1.77E7</v>
      </c>
      <c r="K38" s="36" t="n">
        <f>6300000</f>
        <v>6300000.0</v>
      </c>
      <c r="L38" s="21" t="n">
        <f>9650000</f>
        <v>9650000.0</v>
      </c>
      <c r="M38" s="36" t="n">
        <f>0</f>
        <v>0.0</v>
      </c>
      <c r="N38" s="21" t="n">
        <f>27350000</f>
        <v>2.735E7</v>
      </c>
      <c r="O38" s="36" t="n">
        <f>6300000</f>
        <v>6300000.0</v>
      </c>
    </row>
    <row r="39" spans="1:15" ht="24.9" customHeight="1">
      <c r="A39" s="38"/>
      <c r="B39" s="62"/>
      <c r="C39" s="24" t="s">
        <v>18</v>
      </c>
      <c r="D39" s="25" t="n">
        <f>351</f>
        <v>351.0</v>
      </c>
      <c r="E39" s="37" t="n">
        <f>215</f>
        <v>215.0</v>
      </c>
      <c r="F39" s="25" t="n">
        <f>221</f>
        <v>221.0</v>
      </c>
      <c r="G39" s="37" t="n">
        <f>100</f>
        <v>100.0</v>
      </c>
      <c r="H39" s="25" t="n">
        <f>572</f>
        <v>572.0</v>
      </c>
      <c r="I39" s="37" t="n">
        <f>315</f>
        <v>315.0</v>
      </c>
      <c r="J39" s="25" t="n">
        <f>99350000</f>
        <v>9.935E7</v>
      </c>
      <c r="K39" s="37" t="n">
        <f>35950000</f>
        <v>3.595E7</v>
      </c>
      <c r="L39" s="25" t="n">
        <f>41150000</f>
        <v>4.115E7</v>
      </c>
      <c r="M39" s="37" t="n">
        <f>10000000</f>
        <v>1.0E7</v>
      </c>
      <c r="N39" s="25" t="n">
        <f>140500000</f>
        <v>1.405E8</v>
      </c>
      <c r="O39" s="37" t="n">
        <f>45950000</f>
        <v>4.595E7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6526</f>
        <v>6526.0</v>
      </c>
      <c r="E41" s="36" t="n">
        <f>0</f>
        <v>0.0</v>
      </c>
      <c r="F41" s="21" t="n">
        <f>11489</f>
        <v>11489.0</v>
      </c>
      <c r="G41" s="36" t="n">
        <f>0</f>
        <v>0.0</v>
      </c>
      <c r="H41" s="21" t="n">
        <f>18015</f>
        <v>18015.0</v>
      </c>
      <c r="I41" s="36" t="n">
        <f>0</f>
        <v>0.0</v>
      </c>
      <c r="J41" s="21" t="n">
        <f>18155598</f>
        <v>1.8155598E7</v>
      </c>
      <c r="K41" s="36" t="n">
        <f>0</f>
        <v>0.0</v>
      </c>
      <c r="L41" s="21" t="n">
        <f>24244470</f>
        <v>2.424447E7</v>
      </c>
      <c r="M41" s="36" t="n">
        <f>0</f>
        <v>0.0</v>
      </c>
      <c r="N41" s="21" t="n">
        <f>42400068</f>
        <v>4.2400068E7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5570</f>
        <v>5570.0</v>
      </c>
      <c r="E42" s="36" t="n">
        <f>0</f>
        <v>0.0</v>
      </c>
      <c r="F42" s="21" t="n">
        <f>5040</f>
        <v>5040.0</v>
      </c>
      <c r="G42" s="36" t="n">
        <f>0</f>
        <v>0.0</v>
      </c>
      <c r="H42" s="21" t="n">
        <f>10610</f>
        <v>10610.0</v>
      </c>
      <c r="I42" s="36" t="n">
        <f>0</f>
        <v>0.0</v>
      </c>
      <c r="J42" s="21" t="n">
        <f>14021760</f>
        <v>1.402176E7</v>
      </c>
      <c r="K42" s="36" t="n">
        <f>0</f>
        <v>0.0</v>
      </c>
      <c r="L42" s="21" t="n">
        <f>22178730</f>
        <v>2.217873E7</v>
      </c>
      <c r="M42" s="36" t="n">
        <f>0</f>
        <v>0.0</v>
      </c>
      <c r="N42" s="21" t="n">
        <f>36200490</f>
        <v>3.620049E7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12096</f>
        <v>12096.0</v>
      </c>
      <c r="E43" s="37" t="n">
        <f>0</f>
        <v>0.0</v>
      </c>
      <c r="F43" s="25" t="n">
        <f>16529</f>
        <v>16529.0</v>
      </c>
      <c r="G43" s="37" t="n">
        <f>0</f>
        <v>0.0</v>
      </c>
      <c r="H43" s="25" t="n">
        <f>28625</f>
        <v>28625.0</v>
      </c>
      <c r="I43" s="37" t="n">
        <f>0</f>
        <v>0.0</v>
      </c>
      <c r="J43" s="25" t="n">
        <f>32177358</f>
        <v>3.2177358E7</v>
      </c>
      <c r="K43" s="37" t="n">
        <f>0</f>
        <v>0.0</v>
      </c>
      <c r="L43" s="25" t="n">
        <f>46423200</f>
        <v>4.64232E7</v>
      </c>
      <c r="M43" s="37" t="n">
        <f>0</f>
        <v>0.0</v>
      </c>
      <c r="N43" s="25" t="n">
        <f>78600558</f>
        <v>7.8600558E7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