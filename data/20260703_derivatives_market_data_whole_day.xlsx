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<sst xmlns="http://schemas.openxmlformats.org/spreadsheetml/2006/main" count="528" uniqueCount="129">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</sst>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DATE(2026,07,03)</f>
        <v>46206.0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DATE(2026,07,03)</f>
        <v>46206.0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1164943.0</f>
        <v>1164943.0</v>
      </c>
      <c r="E12" s="18" t="n">
        <f>49953.0</f>
        <v>49953.0</v>
      </c>
      <c r="F12" s="19" t="n">
        <f>1.0</f>
        <v>1.0</v>
      </c>
      <c r="G12" s="17" t="n">
        <f>7631311462338.0</f>
        <v>7.631311462338E12</v>
      </c>
      <c r="H12" s="18" t="n">
        <f>450051601388.0</f>
        <v>4.50051601388E11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585452.0</f>
        <v>585452.0</v>
      </c>
      <c r="E13" s="22" t="n">
        <f>22837.0</f>
        <v>22837.0</v>
      </c>
      <c r="F13" s="23" t="n">
        <f>1.0</f>
        <v>1.0</v>
      </c>
      <c r="G13" s="21" t="n">
        <f>5592048450940.0</f>
        <v>5.59204845094E12</v>
      </c>
      <c r="H13" s="22" t="n">
        <f>358587816590.0</f>
        <v>3.5858781659E11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540658.0</f>
        <v>540658.0</v>
      </c>
      <c r="E14" s="22" t="n">
        <f>42457.0</f>
        <v>42457.0</v>
      </c>
      <c r="F14" s="23" t="n">
        <f>1.0</f>
        <v>1.0</v>
      </c>
      <c r="G14" s="21" t="n">
        <f>5932311457607.0</f>
        <v>5.932311457607E12</v>
      </c>
      <c r="H14" s="22" t="n">
        <f>1230402089032.0</f>
        <v>1.230402089032E12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2291053.0</f>
        <v>2291053.0</v>
      </c>
      <c r="E15" s="26" t="n">
        <f>115247.0</f>
        <v>115247.0</v>
      </c>
      <c r="F15" s="27" t="n">
        <f>1.0</f>
        <v>1.0</v>
      </c>
      <c r="G15" s="25" t="n">
        <f>19155671370885.0</f>
        <v>1.9155671370885E13</v>
      </c>
      <c r="H15" s="26" t="n">
        <f>2039041507010.0</f>
        <v>2.03904150701E12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26109.0</f>
        <v>26109.0</v>
      </c>
      <c r="E16" s="18" t="n">
        <f>148.0</f>
        <v>148.0</v>
      </c>
      <c r="F16" s="19" t="n">
        <f>0.022</f>
        <v>0.022</v>
      </c>
      <c r="G16" s="17" t="n">
        <f>2213394637500.0</f>
        <v>2.2133946375E12</v>
      </c>
      <c r="H16" s="18" t="n">
        <f>18820590000.0</f>
        <v>1.882059E10</v>
      </c>
      <c r="I16" s="19" t="n">
        <f>0.29</f>
        <v>0.29</v>
      </c>
    </row>
    <row r="17" spans="1:9" ht="24.9" customHeight="1">
      <c r="A17" s="41"/>
      <c r="B17" s="39"/>
      <c r="C17" s="20" t="s">
        <v>16</v>
      </c>
      <c r="D17" s="21" t="n">
        <f>16397.0</f>
        <v>16397.0</v>
      </c>
      <c r="E17" s="22" t="n">
        <f>894.0</f>
        <v>894.0</v>
      </c>
      <c r="F17" s="23" t="n">
        <f>0.028</f>
        <v>0.028</v>
      </c>
      <c r="G17" s="21" t="n">
        <f>1989251532500.0</f>
        <v>1.9892515325E12</v>
      </c>
      <c r="H17" s="22" t="n">
        <f>113712805000.0</f>
        <v>1.13712805E11</v>
      </c>
      <c r="I17" s="23" t="n">
        <f>0.356</f>
        <v>0.356</v>
      </c>
    </row>
    <row r="18" spans="1:9" ht="24.9" customHeight="1">
      <c r="A18" s="41"/>
      <c r="B18" s="39"/>
      <c r="C18" s="20" t="s">
        <v>17</v>
      </c>
      <c r="D18" s="21" t="n">
        <f>13956.0</f>
        <v>13956.0</v>
      </c>
      <c r="E18" s="22" t="n">
        <f>1884.0</f>
        <v>1884.0</v>
      </c>
      <c r="F18" s="23" t="n">
        <f>0.026</f>
        <v>0.026</v>
      </c>
      <c r="G18" s="21" t="n">
        <f>1534108828125.0</f>
        <v>1.534108828125E12</v>
      </c>
      <c r="H18" s="22" t="n">
        <f>239779290000.0</f>
        <v>2.3977929E11</v>
      </c>
      <c r="I18" s="23" t="n">
        <f>0.259</f>
        <v>0.259</v>
      </c>
    </row>
    <row r="19" spans="1:9" ht="24.9" customHeight="1">
      <c r="A19" s="41"/>
      <c r="B19" s="39"/>
      <c r="C19" s="24" t="s">
        <v>18</v>
      </c>
      <c r="D19" s="25" t="n">
        <f>56462.0</f>
        <v>56462.0</v>
      </c>
      <c r="E19" s="26" t="n">
        <f>2926.0</f>
        <v>2926.0</v>
      </c>
      <c r="F19" s="27" t="n">
        <f>0.025</f>
        <v>0.025</v>
      </c>
      <c r="G19" s="25" t="n">
        <f>5736754998125.0</f>
        <v>5.736754998125E12</v>
      </c>
      <c r="H19" s="26" t="n">
        <f>372312685000.0</f>
        <v>3.72312685E11</v>
      </c>
      <c r="I19" s="27" t="n">
        <f>0.299</f>
        <v>0.299</v>
      </c>
    </row>
    <row r="20" spans="1:9" ht="24.9" customHeight="1">
      <c r="A20" s="41"/>
      <c r="B20" s="39" t="s">
        <v>21</v>
      </c>
      <c r="C20" s="16" t="s">
        <v>15</v>
      </c>
      <c r="D20" s="17" t="n">
        <f>1120742.0</f>
        <v>1120742.0</v>
      </c>
      <c r="E20" s="18" t="n">
        <f>49805.0</f>
        <v>49805.0</v>
      </c>
      <c r="F20" s="19" t="n">
        <f>0.962</f>
        <v>0.962</v>
      </c>
      <c r="G20" s="17" t="n">
        <f>5224920869838.0</f>
        <v>5.224920869838E12</v>
      </c>
      <c r="H20" s="18" t="n">
        <f>431231011388.0</f>
        <v>4.31231011388E11</v>
      </c>
      <c r="I20" s="19" t="n">
        <f>0.685</f>
        <v>0.685</v>
      </c>
    </row>
    <row r="21" spans="1:9" ht="24.9" customHeight="1">
      <c r="A21" s="41"/>
      <c r="B21" s="39"/>
      <c r="C21" s="20" t="s">
        <v>16</v>
      </c>
      <c r="D21" s="21" t="n">
        <f>557123.0</f>
        <v>557123.0</v>
      </c>
      <c r="E21" s="22" t="n">
        <f>21943.0</f>
        <v>21943.0</v>
      </c>
      <c r="F21" s="23" t="n">
        <f>0.952</f>
        <v>0.952</v>
      </c>
      <c r="G21" s="21" t="n">
        <f>3471897473740.0</f>
        <v>3.47189747374E12</v>
      </c>
      <c r="H21" s="22" t="n">
        <f>244875011590.0</f>
        <v>2.4487501159E11</v>
      </c>
      <c r="I21" s="23" t="n">
        <f>0.621</f>
        <v>0.621</v>
      </c>
    </row>
    <row r="22" spans="1:9" ht="24.9" customHeight="1">
      <c r="A22" s="41"/>
      <c r="B22" s="39"/>
      <c r="C22" s="20" t="s">
        <v>17</v>
      </c>
      <c r="D22" s="21" t="n">
        <f>518273.0</f>
        <v>518273.0</v>
      </c>
      <c r="E22" s="22" t="n">
        <f>40522.0</f>
        <v>40522.0</v>
      </c>
      <c r="F22" s="23" t="n">
        <f>0.959</f>
        <v>0.959</v>
      </c>
      <c r="G22" s="21" t="n">
        <f>4323144018132.0</f>
        <v>4.323144018132E12</v>
      </c>
      <c r="H22" s="22" t="n">
        <f>990416210232.0</f>
        <v>9.90416210232E11</v>
      </c>
      <c r="I22" s="23" t="n">
        <f>0.729</f>
        <v>0.729</v>
      </c>
    </row>
    <row r="23" spans="1:9" ht="24.9" customHeight="1">
      <c r="A23" s="41"/>
      <c r="B23" s="39"/>
      <c r="C23" s="24" t="s">
        <v>18</v>
      </c>
      <c r="D23" s="25" t="n">
        <f>2196138.0</f>
        <v>2196138.0</v>
      </c>
      <c r="E23" s="26" t="n">
        <f>112270.0</f>
        <v>112270.0</v>
      </c>
      <c r="F23" s="27" t="n">
        <f>0.959</f>
        <v>0.959</v>
      </c>
      <c r="G23" s="25" t="n">
        <f>13019962361710.0</f>
        <v>1.301996236171E13</v>
      </c>
      <c r="H23" s="26" t="n">
        <f>1666522233210.0</f>
        <v>1.66652223321E12</v>
      </c>
      <c r="I23" s="27" t="n">
        <f>0.68</f>
        <v>0.68</v>
      </c>
    </row>
    <row r="24" spans="1:9" ht="24.9" customHeight="1">
      <c r="A24" s="41"/>
      <c r="B24" s="39" t="s">
        <v>22</v>
      </c>
      <c r="C24" s="16" t="s">
        <v>15</v>
      </c>
      <c r="D24" s="17" t="n">
        <f>17812.0</f>
        <v>17812.0</v>
      </c>
      <c r="E24" s="18" t="n">
        <f>0.0</f>
        <v>0.0</v>
      </c>
      <c r="F24" s="19" t="n">
        <f>0.015</f>
        <v>0.015</v>
      </c>
      <c r="G24" s="17" t="n">
        <f>192046955000.0</f>
        <v>1.92046955E11</v>
      </c>
      <c r="H24" s="18" t="n">
        <f>0.0</f>
        <v>0.0</v>
      </c>
      <c r="I24" s="19" t="n">
        <f>0.025</f>
        <v>0.025</v>
      </c>
    </row>
    <row r="25" spans="1:9" ht="24.9" customHeight="1">
      <c r="A25" s="41"/>
      <c r="B25" s="39"/>
      <c r="C25" s="20" t="s">
        <v>16</v>
      </c>
      <c r="D25" s="21" t="n">
        <f>11842.0</f>
        <v>11842.0</v>
      </c>
      <c r="E25" s="22" t="n">
        <f>0.0</f>
        <v>0.0</v>
      </c>
      <c r="F25" s="23" t="n">
        <f>0.02</f>
        <v>0.02</v>
      </c>
      <c r="G25" s="21" t="n">
        <f>130590215700.0</f>
        <v>1.305902157E11</v>
      </c>
      <c r="H25" s="22" t="n">
        <f>0.0</f>
        <v>0.0</v>
      </c>
      <c r="I25" s="23" t="n">
        <f>0.023</f>
        <v>0.023</v>
      </c>
    </row>
    <row r="26" spans="1:9" ht="24.9" customHeight="1">
      <c r="A26" s="41"/>
      <c r="B26" s="39"/>
      <c r="C26" s="20" t="s">
        <v>17</v>
      </c>
      <c r="D26" s="21" t="n">
        <f>7278.0</f>
        <v>7278.0</v>
      </c>
      <c r="E26" s="22" t="n">
        <f>1.0</f>
        <v>1.0</v>
      </c>
      <c r="F26" s="23" t="n">
        <f>0.013</f>
        <v>0.013</v>
      </c>
      <c r="G26" s="21" t="n">
        <f>71074739550.0</f>
        <v>7.107473955E10</v>
      </c>
      <c r="H26" s="22" t="n">
        <f>22120000.0</f>
        <v>2.212E7</v>
      </c>
      <c r="I26" s="23" t="n">
        <f>0.012</f>
        <v>0.012</v>
      </c>
    </row>
    <row r="27" spans="1:9" ht="24.9" customHeight="1">
      <c r="A27" s="42"/>
      <c r="B27" s="39"/>
      <c r="C27" s="24" t="s">
        <v>18</v>
      </c>
      <c r="D27" s="25" t="n">
        <f>36932.0</f>
        <v>36932.0</v>
      </c>
      <c r="E27" s="26" t="n">
        <f>1.0</f>
        <v>1.0</v>
      </c>
      <c r="F27" s="27" t="n">
        <f>0.016</f>
        <v>0.016</v>
      </c>
      <c r="G27" s="25" t="n">
        <f>393711910250.0</f>
        <v>3.9371191025E11</v>
      </c>
      <c r="H27" s="26" t="n">
        <f>22120000.0</f>
        <v>2.212E7</v>
      </c>
      <c r="I27" s="27" t="n">
        <f>0.021</f>
        <v>0.021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280.0</f>
        <v>280.0</v>
      </c>
      <c r="E28" s="18" t="n">
        <f>0.0</f>
        <v>0.0</v>
      </c>
      <c r="F28" s="19" t="n">
        <f>0.0</f>
        <v>0.0</v>
      </c>
      <c r="G28" s="17" t="n">
        <f>949000000.0</f>
        <v>9.49E8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90.0</f>
        <v>90.0</v>
      </c>
      <c r="E29" s="22" t="n">
        <f>0.0</f>
        <v>0.0</v>
      </c>
      <c r="F29" s="23" t="n">
        <f>0.0</f>
        <v>0.0</v>
      </c>
      <c r="G29" s="21" t="n">
        <f>309229000.0</f>
        <v>3.09229E8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1151.0</f>
        <v>1151.0</v>
      </c>
      <c r="E30" s="22" t="n">
        <f>50.0</f>
        <v>50.0</v>
      </c>
      <c r="F30" s="23" t="n">
        <f>0.002</f>
        <v>0.002</v>
      </c>
      <c r="G30" s="21" t="n">
        <f>3983871800.0</f>
        <v>3.9838718E9</v>
      </c>
      <c r="H30" s="22" t="n">
        <f>184468800.0</f>
        <v>1.844688E8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1521.0</f>
        <v>1521.0</v>
      </c>
      <c r="E31" s="26" t="n">
        <f>50.0</f>
        <v>50.0</v>
      </c>
      <c r="F31" s="27" t="n">
        <f>0.001</f>
        <v>0.001</v>
      </c>
      <c r="G31" s="25" t="n">
        <f>5242100800.0</f>
        <v>5.2421008E9</v>
      </c>
      <c r="H31" s="26" t="n">
        <f>184468800.0</f>
        <v>1.844688E8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46206.0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46206.0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23974</f>
        <v>23974.0</v>
      </c>
      <c r="E11" s="18" t="n">
        <f>4977</f>
        <v>4977.0</v>
      </c>
      <c r="F11" s="19" t="n">
        <f>1</f>
        <v>1.0</v>
      </c>
      <c r="G11" s="17" t="n">
        <f>8364300460</f>
        <v>8.36430046E9</v>
      </c>
      <c r="H11" s="18" t="n">
        <f>5700221160</f>
        <v>5.70022116E9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54300</f>
        <v>54300.0</v>
      </c>
      <c r="E12" s="22" t="n">
        <f>2967</f>
        <v>2967.0</v>
      </c>
      <c r="F12" s="23" t="n">
        <f>1</f>
        <v>1.0</v>
      </c>
      <c r="G12" s="21" t="n">
        <f>7267222400</f>
        <v>7.2672224E9</v>
      </c>
      <c r="H12" s="22" t="n">
        <f>3455176050</f>
        <v>3.45517605E9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60539</f>
        <v>60539.0</v>
      </c>
      <c r="E13" s="22" t="n">
        <f>25019</f>
        <v>25019.0</v>
      </c>
      <c r="F13" s="23" t="n">
        <f>1</f>
        <v>1.0</v>
      </c>
      <c r="G13" s="21" t="n">
        <f>30510803107</f>
        <v>3.0510803107E10</v>
      </c>
      <c r="H13" s="22" t="n">
        <f>26715187327</f>
        <v>2.6715187327E10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138813</f>
        <v>138813.0</v>
      </c>
      <c r="E14" s="26" t="n">
        <f>32963</f>
        <v>32963.0</v>
      </c>
      <c r="F14" s="27" t="n">
        <f>1</f>
        <v>1.0</v>
      </c>
      <c r="G14" s="25" t="n">
        <f>46142325967</f>
        <v>4.6142325967E10</v>
      </c>
      <c r="H14" s="26" t="n">
        <f>35870584537</f>
        <v>3.5870584537E10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25</f>
        <v>25.0</v>
      </c>
      <c r="E15" s="18" t="n">
        <f>0</f>
        <v>0.0</v>
      </c>
      <c r="F15" s="19" t="n">
        <f>0.001</f>
        <v>0.001</v>
      </c>
      <c r="G15" s="17" t="n">
        <f>3250000</f>
        <v>3250000.0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85</f>
        <v>85.0</v>
      </c>
      <c r="E16" s="22" t="n">
        <f>10</f>
        <v>10.0</v>
      </c>
      <c r="F16" s="23" t="n">
        <f>0.002</f>
        <v>0.002</v>
      </c>
      <c r="G16" s="21" t="n">
        <f>17350000</f>
        <v>1.735E7</v>
      </c>
      <c r="H16" s="22" t="n">
        <f>700000</f>
        <v>700000.0</v>
      </c>
      <c r="I16" s="23" t="n">
        <f>0.002</f>
        <v>0.002</v>
      </c>
    </row>
    <row r="17" spans="1:9" ht="24.9" customHeight="1">
      <c r="A17" s="41"/>
      <c r="B17" s="39"/>
      <c r="C17" s="20" t="s">
        <v>17</v>
      </c>
      <c r="D17" s="21" t="n">
        <f>29</f>
        <v>29.0</v>
      </c>
      <c r="E17" s="22" t="n">
        <f>0</f>
        <v>0.0</v>
      </c>
      <c r="F17" s="23" t="n">
        <f>0</f>
        <v>0.0</v>
      </c>
      <c r="G17" s="21" t="n">
        <f>9000000</f>
        <v>9000000.0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139</f>
        <v>139.0</v>
      </c>
      <c r="E18" s="26" t="n">
        <f>10</f>
        <v>10.0</v>
      </c>
      <c r="F18" s="27" t="n">
        <f>0.001</f>
        <v>0.001</v>
      </c>
      <c r="G18" s="25" t="n">
        <f>29600000</f>
        <v>2.96E7</v>
      </c>
      <c r="H18" s="26" t="n">
        <f>700000</f>
        <v>700000.0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23949</f>
        <v>23949.0</v>
      </c>
      <c r="E19" s="18" t="n">
        <f>4977</f>
        <v>4977.0</v>
      </c>
      <c r="F19" s="19" t="n">
        <f>0.999</f>
        <v>0.999</v>
      </c>
      <c r="G19" s="17" t="n">
        <f>8361050460</f>
        <v>8.36105046E9</v>
      </c>
      <c r="H19" s="18" t="n">
        <f>5700221160</f>
        <v>5.70022116E9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20459</f>
        <v>20459.0</v>
      </c>
      <c r="E20" s="22" t="n">
        <f>2957</f>
        <v>2957.0</v>
      </c>
      <c r="F20" s="23" t="n">
        <f>0.377</f>
        <v>0.377</v>
      </c>
      <c r="G20" s="21" t="n">
        <f>7182087250</f>
        <v>7.18208725E9</v>
      </c>
      <c r="H20" s="22" t="n">
        <f>3454476050</f>
        <v>3.45447605E9</v>
      </c>
      <c r="I20" s="23" t="n">
        <f>0.988</f>
        <v>0.988</v>
      </c>
    </row>
    <row r="21" spans="1:9" ht="24.9" customHeight="1">
      <c r="A21" s="41"/>
      <c r="B21" s="39"/>
      <c r="C21" s="20" t="s">
        <v>17</v>
      </c>
      <c r="D21" s="21" t="n">
        <f>42311</f>
        <v>42311.0</v>
      </c>
      <c r="E21" s="22" t="n">
        <f>22669</f>
        <v>22669.0</v>
      </c>
      <c r="F21" s="23" t="n">
        <f>0.699</f>
        <v>0.699</v>
      </c>
      <c r="G21" s="21" t="n">
        <f>30378926527</f>
        <v>3.0378926527E10</v>
      </c>
      <c r="H21" s="22" t="n">
        <f>26597297327</f>
        <v>2.6597297327E10</v>
      </c>
      <c r="I21" s="23" t="n">
        <f>0.996</f>
        <v>0.996</v>
      </c>
    </row>
    <row r="22" spans="1:9" ht="24.9" customHeight="1">
      <c r="A22" s="41"/>
      <c r="B22" s="39"/>
      <c r="C22" s="24" t="s">
        <v>18</v>
      </c>
      <c r="D22" s="25" t="n">
        <f>86719</f>
        <v>86719.0</v>
      </c>
      <c r="E22" s="26" t="n">
        <f>30603</f>
        <v>30603.0</v>
      </c>
      <c r="F22" s="27" t="n">
        <f>0.625</f>
        <v>0.625</v>
      </c>
      <c r="G22" s="25" t="n">
        <f>45922064237</f>
        <v>4.5922064237E10</v>
      </c>
      <c r="H22" s="26" t="n">
        <f>35751994537</f>
        <v>3.5751994537E10</v>
      </c>
      <c r="I22" s="27" t="n">
        <f>0.995</f>
        <v>0.995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33756</f>
        <v>33756.0</v>
      </c>
      <c r="E24" s="22" t="n">
        <f>0</f>
        <v>0.0</v>
      </c>
      <c r="F24" s="23" t="n">
        <f>0.622</f>
        <v>0.622</v>
      </c>
      <c r="G24" s="21" t="n">
        <f>67785150</f>
        <v>6.778515E7</v>
      </c>
      <c r="H24" s="22" t="n">
        <f>0</f>
        <v>0.0</v>
      </c>
      <c r="I24" s="23" t="n">
        <f>0.009</f>
        <v>0.009</v>
      </c>
    </row>
    <row r="25" spans="1:9" ht="24.9" customHeight="1">
      <c r="A25" s="41"/>
      <c r="B25" s="39"/>
      <c r="C25" s="20" t="s">
        <v>17</v>
      </c>
      <c r="D25" s="21" t="n">
        <f>18199</f>
        <v>18199.0</v>
      </c>
      <c r="E25" s="22" t="n">
        <f>2350</f>
        <v>2350.0</v>
      </c>
      <c r="F25" s="23" t="n">
        <f>0.301</f>
        <v>0.301</v>
      </c>
      <c r="G25" s="21" t="n">
        <f>122876580</f>
        <v>1.2287658E8</v>
      </c>
      <c r="H25" s="22" t="n">
        <f>117890000</f>
        <v>1.1789E8</v>
      </c>
      <c r="I25" s="23" t="n">
        <f>0.004</f>
        <v>0.004</v>
      </c>
    </row>
    <row r="26" spans="1:9" ht="24.9" customHeight="1">
      <c r="A26" s="41"/>
      <c r="B26" s="39"/>
      <c r="C26" s="24" t="s">
        <v>18</v>
      </c>
      <c r="D26" s="25" t="n">
        <f>51955</f>
        <v>51955.0</v>
      </c>
      <c r="E26" s="26" t="n">
        <f>2350</f>
        <v>2350.0</v>
      </c>
      <c r="F26" s="27" t="n">
        <f>0.374</f>
        <v>0.374</v>
      </c>
      <c r="G26" s="25" t="n">
        <f>190661730</f>
        <v>1.9066173E8</v>
      </c>
      <c r="H26" s="26" t="n">
        <f>117890000</f>
        <v>1.1789E8</v>
      </c>
      <c r="I26" s="27" t="n">
        <f>0.004</f>
        <v>0.004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46206.0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46206.0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15577.0</v>
      </c>
      <c r="F12" s="18" t="n">
        <f>1312</f>
        <v>1312.0</v>
      </c>
      <c r="G12" s="17" t="n">
        <v>1.071578585E12</v>
      </c>
      <c r="H12" s="18" t="n">
        <f>90267817000</f>
        <v>9.0267817E10</v>
      </c>
    </row>
    <row r="13" spans="1:8" ht="24.9" customHeight="1">
      <c r="A13" s="51"/>
      <c r="B13" s="57"/>
      <c r="C13" s="39"/>
      <c r="D13" s="20" t="s">
        <v>16</v>
      </c>
      <c r="E13" s="21" t="n">
        <v>14563.0</v>
      </c>
      <c r="F13" s="22" t="n">
        <f>1407</f>
        <v>1407.0</v>
      </c>
      <c r="G13" s="21" t="n">
        <v>9.9777542875E11</v>
      </c>
      <c r="H13" s="22" t="n">
        <f>96349595750</f>
        <v>9.634959575E10</v>
      </c>
    </row>
    <row r="14" spans="1:8" ht="24.9" customHeight="1">
      <c r="A14" s="51"/>
      <c r="B14" s="57"/>
      <c r="C14" s="39"/>
      <c r="D14" s="20" t="s">
        <v>17</v>
      </c>
      <c r="E14" s="21" t="n">
        <v>21769.0</v>
      </c>
      <c r="F14" s="22" t="n">
        <f>8571</f>
        <v>8571.0</v>
      </c>
      <c r="G14" s="21" t="n">
        <v>1.515776510903E12</v>
      </c>
      <c r="H14" s="22" t="n">
        <f>596622250903</f>
        <v>5.96622250903E11</v>
      </c>
    </row>
    <row r="15" spans="1:8" ht="24.9" customHeight="1">
      <c r="A15" s="51"/>
      <c r="B15" s="57"/>
      <c r="C15" s="39"/>
      <c r="D15" s="24" t="s">
        <v>18</v>
      </c>
      <c r="E15" s="25" t="n">
        <v>51909.0</v>
      </c>
      <c r="F15" s="26" t="n">
        <f>11290</f>
        <v>11290.0</v>
      </c>
      <c r="G15" s="25" t="n">
        <v>3.585130524653E12</v>
      </c>
      <c r="H15" s="26" t="n">
        <f>783239663653</f>
        <v>7.83239663653E11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414287.0</v>
      </c>
      <c r="F16" s="18" t="n">
        <f>47727</f>
        <v>47727.0</v>
      </c>
      <c r="G16" s="17" t="n">
        <v>2.850805731738E12</v>
      </c>
      <c r="H16" s="18" t="n">
        <f>328496394238</f>
        <v>3.28496394238E11</v>
      </c>
    </row>
    <row r="17" spans="1:8" ht="24.9" customHeight="1">
      <c r="A17" s="51"/>
      <c r="B17" s="57"/>
      <c r="C17" s="39"/>
      <c r="D17" s="20" t="s">
        <v>16</v>
      </c>
      <c r="E17" s="21" t="n">
        <v>233068.0</v>
      </c>
      <c r="F17" s="22" t="n">
        <f>19747</f>
        <v>19747.0</v>
      </c>
      <c r="G17" s="21" t="n">
        <v>1.59639631559E12</v>
      </c>
      <c r="H17" s="22" t="n">
        <f>135268634090</f>
        <v>1.3526863409E11</v>
      </c>
    </row>
    <row r="18" spans="1:8" ht="24.9" customHeight="1">
      <c r="A18" s="51"/>
      <c r="B18" s="57"/>
      <c r="C18" s="39"/>
      <c r="D18" s="20" t="s">
        <v>17</v>
      </c>
      <c r="E18" s="21" t="n">
        <v>222651.0</v>
      </c>
      <c r="F18" s="22" t="n">
        <f>25661</f>
        <v>25661.0</v>
      </c>
      <c r="G18" s="21" t="n">
        <v>1.54891297007E12</v>
      </c>
      <c r="H18" s="22" t="n">
        <f>178432213570</f>
        <v>1.7843221357E11</v>
      </c>
    </row>
    <row r="19" spans="1:8" ht="24.9" customHeight="1">
      <c r="A19" s="51"/>
      <c r="B19" s="57"/>
      <c r="C19" s="39"/>
      <c r="D19" s="24" t="s">
        <v>18</v>
      </c>
      <c r="E19" s="25" t="n">
        <v>870006.0</v>
      </c>
      <c r="F19" s="26" t="n">
        <f>93135</f>
        <v>93135.0</v>
      </c>
      <c r="G19" s="25" t="n">
        <v>5.996115017398E12</v>
      </c>
      <c r="H19" s="26" t="n">
        <f>642197241898</f>
        <v>6.42197241898E11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661511.0</v>
      </c>
      <c r="F20" s="18" t="str">
        <f>"－"</f>
        <v>－</v>
      </c>
      <c r="G20" s="17" t="n">
        <v>4.5514432785E11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281420.0</v>
      </c>
      <c r="F21" s="22" t="str">
        <f>"－"</f>
        <v>－</v>
      </c>
      <c r="G21" s="21" t="n">
        <v>1.927655186E11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238318.0</v>
      </c>
      <c r="F22" s="22" t="str">
        <f>"－"</f>
        <v>－</v>
      </c>
      <c r="G22" s="21" t="n">
        <v>1.65685652E11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1181249.0</v>
      </c>
      <c r="F23" s="26" t="str">
        <f>"－"</f>
        <v>－</v>
      </c>
      <c r="G23" s="25" t="n">
        <v>8.1359549845E11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20197.0</v>
      </c>
      <c r="F24" s="18" t="n">
        <f>261</f>
        <v>261.0</v>
      </c>
      <c r="G24" s="17" t="n">
        <v>8.14353073E11</v>
      </c>
      <c r="H24" s="18" t="n">
        <f>10504178000</f>
        <v>1.0504178E10</v>
      </c>
    </row>
    <row r="25" spans="1:8" ht="24.9" customHeight="1">
      <c r="A25" s="51"/>
      <c r="B25" s="57"/>
      <c r="C25" s="39"/>
      <c r="D25" s="20" t="s">
        <v>16</v>
      </c>
      <c r="E25" s="21" t="n">
        <v>15875.0</v>
      </c>
      <c r="F25" s="22" t="n">
        <f>275</f>
        <v>275.0</v>
      </c>
      <c r="G25" s="21" t="n">
        <v>6.402193615E11</v>
      </c>
      <c r="H25" s="22" t="n">
        <f>11093761500</f>
        <v>1.10937615E10</v>
      </c>
    </row>
    <row r="26" spans="1:8" ht="24.9" customHeight="1">
      <c r="A26" s="51"/>
      <c r="B26" s="57"/>
      <c r="C26" s="39"/>
      <c r="D26" s="20" t="s">
        <v>17</v>
      </c>
      <c r="E26" s="21" t="n">
        <v>26024.0</v>
      </c>
      <c r="F26" s="22" t="n">
        <f>5181</f>
        <v>5181.0</v>
      </c>
      <c r="G26" s="21" t="n">
        <v>1.058452209004E12</v>
      </c>
      <c r="H26" s="22" t="n">
        <f>210714389004</f>
        <v>2.10714389004E11</v>
      </c>
    </row>
    <row r="27" spans="1:8" ht="24.9" customHeight="1">
      <c r="A27" s="51"/>
      <c r="B27" s="57"/>
      <c r="C27" s="39"/>
      <c r="D27" s="24" t="s">
        <v>18</v>
      </c>
      <c r="E27" s="25" t="n">
        <v>62096.0</v>
      </c>
      <c r="F27" s="26" t="n">
        <f>5717</f>
        <v>5717.0</v>
      </c>
      <c r="G27" s="25" t="n">
        <v>2.513024643504E12</v>
      </c>
      <c r="H27" s="26" t="n">
        <f>232312328504</f>
        <v>2.32312328504E11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6987.0</v>
      </c>
      <c r="F28" s="18" t="n">
        <f>469</f>
        <v>469.0</v>
      </c>
      <c r="G28" s="17" t="n">
        <v>2.817201325E10</v>
      </c>
      <c r="H28" s="18" t="n">
        <f>1889211250</f>
        <v>1.88921125E9</v>
      </c>
    </row>
    <row r="29" spans="1:8" ht="24.9" customHeight="1">
      <c r="A29" s="51"/>
      <c r="B29" s="57"/>
      <c r="C29" s="39"/>
      <c r="D29" s="20" t="s">
        <v>16</v>
      </c>
      <c r="E29" s="21" t="n">
        <v>9926.0</v>
      </c>
      <c r="F29" s="22" t="n">
        <f>414</f>
        <v>414.0</v>
      </c>
      <c r="G29" s="21" t="n">
        <v>4.002526035E10</v>
      </c>
      <c r="H29" s="22" t="n">
        <f>1670257600</f>
        <v>1.6702576E9</v>
      </c>
    </row>
    <row r="30" spans="1:8" ht="24.9" customHeight="1">
      <c r="A30" s="51"/>
      <c r="B30" s="57"/>
      <c r="C30" s="39"/>
      <c r="D30" s="20" t="s">
        <v>17</v>
      </c>
      <c r="E30" s="21" t="n">
        <v>7100.0</v>
      </c>
      <c r="F30" s="22" t="n">
        <f>728</f>
        <v>728.0</v>
      </c>
      <c r="G30" s="21" t="n">
        <v>2.88725797E10</v>
      </c>
      <c r="H30" s="22" t="n">
        <f>2963641200</f>
        <v>2.9636412E9</v>
      </c>
    </row>
    <row r="31" spans="1:8" ht="24.9" customHeight="1">
      <c r="A31" s="51"/>
      <c r="B31" s="57"/>
      <c r="C31" s="39"/>
      <c r="D31" s="24" t="s">
        <v>18</v>
      </c>
      <c r="E31" s="25" t="n">
        <v>24013.0</v>
      </c>
      <c r="F31" s="26" t="n">
        <f>1611</f>
        <v>1611.0</v>
      </c>
      <c r="G31" s="25" t="n">
        <v>9.70698533E10</v>
      </c>
      <c r="H31" s="26" t="n">
        <f>6523110050</f>
        <v>6.52311005E9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433.0</v>
      </c>
      <c r="F36" s="18" t="n">
        <f>2</f>
        <v>2.0</v>
      </c>
      <c r="G36" s="17" t="n">
        <v>1.582311E9</v>
      </c>
      <c r="H36" s="18" t="n">
        <f>7337500</f>
        <v>7337500.0</v>
      </c>
    </row>
    <row r="37" spans="1:8" ht="24.9" customHeight="1">
      <c r="A37" s="51"/>
      <c r="B37" s="57"/>
      <c r="C37" s="39"/>
      <c r="D37" s="20" t="s">
        <v>16</v>
      </c>
      <c r="E37" s="21" t="n">
        <v>810.0</v>
      </c>
      <c r="F37" s="22" t="n">
        <f>3</f>
        <v>3.0</v>
      </c>
      <c r="G37" s="21" t="n">
        <v>2.96138699E9</v>
      </c>
      <c r="H37" s="22" t="n">
        <f>10991490</f>
        <v>1.099149E7</v>
      </c>
    </row>
    <row r="38" spans="1:8" ht="24.9" customHeight="1">
      <c r="A38" s="51"/>
      <c r="B38" s="57"/>
      <c r="C38" s="39"/>
      <c r="D38" s="20" t="s">
        <v>17</v>
      </c>
      <c r="E38" s="21" t="n">
        <v>702.0</v>
      </c>
      <c r="F38" s="22" t="n">
        <f>65</f>
        <v>65.0</v>
      </c>
      <c r="G38" s="21" t="n">
        <v>2.587855955E9</v>
      </c>
      <c r="H38" s="22" t="n">
        <f>239949455</f>
        <v>2.39949455E8</v>
      </c>
    </row>
    <row r="39" spans="1:8" ht="24.9" customHeight="1">
      <c r="A39" s="51"/>
      <c r="B39" s="57"/>
      <c r="C39" s="39"/>
      <c r="D39" s="24" t="s">
        <v>18</v>
      </c>
      <c r="E39" s="25" t="n">
        <v>1945.0</v>
      </c>
      <c r="F39" s="26" t="n">
        <f>70</f>
        <v>70.0</v>
      </c>
      <c r="G39" s="25" t="n">
        <v>7.131553945E9</v>
      </c>
      <c r="H39" s="26" t="n">
        <f>258278445</f>
        <v>2.58278445E8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65.0</v>
      </c>
      <c r="F45" s="22" t="n">
        <f>65</f>
        <v>65.0</v>
      </c>
      <c r="G45" s="21" t="n">
        <v>4.5895886E8</v>
      </c>
      <c r="H45" s="22" t="n">
        <f>458958860</f>
        <v>4.5895886E8</v>
      </c>
    </row>
    <row r="46" spans="1:8" ht="24.9" customHeight="1">
      <c r="A46" s="51"/>
      <c r="B46" s="57"/>
      <c r="C46" s="39"/>
      <c r="D46" s="20" t="s">
        <v>17</v>
      </c>
      <c r="E46" s="21" t="n">
        <v>189.0</v>
      </c>
      <c r="F46" s="22" t="n">
        <f>189</f>
        <v>189.0</v>
      </c>
      <c r="G46" s="21" t="n">
        <v>1.34088E9</v>
      </c>
      <c r="H46" s="22" t="n">
        <f>1340880000</f>
        <v>1.34088E9</v>
      </c>
    </row>
    <row r="47" spans="1:8" ht="24.9" customHeight="1">
      <c r="A47" s="51"/>
      <c r="B47" s="57"/>
      <c r="C47" s="39"/>
      <c r="D47" s="24" t="s">
        <v>18</v>
      </c>
      <c r="E47" s="25" t="n">
        <v>254.0</v>
      </c>
      <c r="F47" s="26" t="n">
        <f>254</f>
        <v>254.0</v>
      </c>
      <c r="G47" s="25" t="n">
        <v>1.79983886E9</v>
      </c>
      <c r="H47" s="26" t="n">
        <f>1799838860</f>
        <v>1.79983886E9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5.0</v>
      </c>
      <c r="F48" s="18" t="n">
        <f>5</f>
        <v>5.0</v>
      </c>
      <c r="G48" s="17" t="n">
        <v>8975000.0</v>
      </c>
      <c r="H48" s="18" t="n">
        <f>8975000</f>
        <v>8975000.0</v>
      </c>
    </row>
    <row r="49" spans="1:8" ht="24.9" customHeight="1">
      <c r="A49" s="51"/>
      <c r="B49" s="57"/>
      <c r="C49" s="39"/>
      <c r="D49" s="20" t="s">
        <v>16</v>
      </c>
      <c r="E49" s="21" t="n">
        <v>163.0</v>
      </c>
      <c r="F49" s="22" t="n">
        <f>0</f>
        <v>0.0</v>
      </c>
      <c r="G49" s="21" t="n">
        <v>2.95228E8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45.0</v>
      </c>
      <c r="F50" s="22" t="n">
        <f>5</f>
        <v>5.0</v>
      </c>
      <c r="G50" s="21" t="n">
        <v>8.15306E7</v>
      </c>
      <c r="H50" s="22" t="n">
        <f>9071100</f>
        <v>9071100.0</v>
      </c>
    </row>
    <row r="51" spans="1:8" ht="24.9" customHeight="1">
      <c r="A51" s="51"/>
      <c r="B51" s="57"/>
      <c r="C51" s="39"/>
      <c r="D51" s="24" t="s">
        <v>18</v>
      </c>
      <c r="E51" s="25" t="n">
        <v>213.0</v>
      </c>
      <c r="F51" s="26" t="n">
        <f>10</f>
        <v>10.0</v>
      </c>
      <c r="G51" s="25" t="n">
        <v>3.857336E8</v>
      </c>
      <c r="H51" s="26" t="n">
        <f>18046100</f>
        <v>1.80461E7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888.0</v>
      </c>
      <c r="F56" s="18" t="n">
        <f>21</f>
        <v>21.0</v>
      </c>
      <c r="G56" s="17" t="n">
        <v>6.27901E8</v>
      </c>
      <c r="H56" s="18" t="n">
        <f>14828000</f>
        <v>1.4828E7</v>
      </c>
    </row>
    <row r="57" spans="1:8" ht="24.9" customHeight="1">
      <c r="A57" s="51"/>
      <c r="B57" s="57"/>
      <c r="C57" s="39"/>
      <c r="D57" s="20" t="s">
        <v>16</v>
      </c>
      <c r="E57" s="21" t="n">
        <v>1172.0</v>
      </c>
      <c r="F57" s="22" t="n">
        <f>32</f>
        <v>32.0</v>
      </c>
      <c r="G57" s="21" t="n">
        <v>8.351123E8</v>
      </c>
      <c r="H57" s="22" t="n">
        <f>22812300</f>
        <v>2.28123E7</v>
      </c>
    </row>
    <row r="58" spans="1:8" ht="24.9" customHeight="1">
      <c r="A58" s="51"/>
      <c r="B58" s="57"/>
      <c r="C58" s="39"/>
      <c r="D58" s="20" t="s">
        <v>17</v>
      </c>
      <c r="E58" s="21" t="n">
        <v>1252.0</v>
      </c>
      <c r="F58" s="22" t="n">
        <f>121</f>
        <v>121.0</v>
      </c>
      <c r="G58" s="21" t="n">
        <v>9.022368E8</v>
      </c>
      <c r="H58" s="22" t="n">
        <f>88488800</f>
        <v>8.84888E7</v>
      </c>
    </row>
    <row r="59" spans="1:8" ht="24.9" customHeight="1">
      <c r="A59" s="51"/>
      <c r="B59" s="57"/>
      <c r="C59" s="39"/>
      <c r="D59" s="24" t="s">
        <v>18</v>
      </c>
      <c r="E59" s="25" t="n">
        <v>3312.0</v>
      </c>
      <c r="F59" s="26" t="n">
        <f>174</f>
        <v>174.0</v>
      </c>
      <c r="G59" s="25" t="n">
        <v>2.3652501E9</v>
      </c>
      <c r="H59" s="26" t="n">
        <f>126129100</f>
        <v>1.261291E8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244.0</v>
      </c>
      <c r="F60" s="18" t="n">
        <f>8</f>
        <v>8.0</v>
      </c>
      <c r="G60" s="17" t="n">
        <v>1.2911006E9</v>
      </c>
      <c r="H60" s="18" t="n">
        <f>42270400</f>
        <v>4.22704E7</v>
      </c>
    </row>
    <row r="61" spans="1:8" ht="24.9" customHeight="1">
      <c r="A61" s="51"/>
      <c r="B61" s="57"/>
      <c r="C61" s="39"/>
      <c r="D61" s="20" t="s">
        <v>16</v>
      </c>
      <c r="E61" s="21" t="n">
        <v>12.0</v>
      </c>
      <c r="F61" s="22" t="n">
        <f>0</f>
        <v>0.0</v>
      </c>
      <c r="G61" s="21" t="n">
        <v>6.39145E7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10.0</v>
      </c>
      <c r="F62" s="22" t="n">
        <f>1</f>
        <v>1.0</v>
      </c>
      <c r="G62" s="21" t="n">
        <v>5.33069E7</v>
      </c>
      <c r="H62" s="22" t="n">
        <f>5326200</f>
        <v>5326200.0</v>
      </c>
    </row>
    <row r="63" spans="1:8" ht="24.9" customHeight="1">
      <c r="A63" s="51"/>
      <c r="B63" s="57"/>
      <c r="C63" s="39"/>
      <c r="D63" s="24" t="s">
        <v>18</v>
      </c>
      <c r="E63" s="25" t="n">
        <v>266.0</v>
      </c>
      <c r="F63" s="26" t="n">
        <f>9</f>
        <v>9.0</v>
      </c>
      <c r="G63" s="25" t="n">
        <v>1.408322E9</v>
      </c>
      <c r="H63" s="26" t="n">
        <f>47596600</f>
        <v>4.75966E7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7.0</v>
      </c>
      <c r="F77" s="22" t="n">
        <f>0</f>
        <v>0.0</v>
      </c>
      <c r="G77" s="21" t="n">
        <v>2805500.0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7.0</v>
      </c>
      <c r="F78" s="22" t="n">
        <f>0</f>
        <v>0.0</v>
      </c>
      <c r="G78" s="21" t="n">
        <v>2656000.0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14.0</v>
      </c>
      <c r="F79" s="26" t="n">
        <f>0</f>
        <v>0.0</v>
      </c>
      <c r="G79" s="25" t="n">
        <v>5461500.0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125.0</v>
      </c>
      <c r="F92" s="18" t="n">
        <f>0</f>
        <v>0.0</v>
      </c>
      <c r="G92" s="17" t="n">
        <v>2.002509E8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2.0</v>
      </c>
      <c r="F93" s="22" t="n">
        <f>0</f>
        <v>0.0</v>
      </c>
      <c r="G93" s="21" t="n">
        <v>3206800.0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16.0</v>
      </c>
      <c r="F94" s="22" t="n">
        <f>0</f>
        <v>0.0</v>
      </c>
      <c r="G94" s="21" t="n">
        <v>2.55432E7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143.0</v>
      </c>
      <c r="F95" s="26" t="n">
        <f>0</f>
        <v>0.0</v>
      </c>
      <c r="G95" s="25" t="n">
        <v>2.290009E8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488.0</v>
      </c>
      <c r="F96" s="18" t="n">
        <f>0</f>
        <v>0.0</v>
      </c>
      <c r="G96" s="17" t="n">
        <v>1.1566005E9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40.0</v>
      </c>
      <c r="F97" s="22" t="n">
        <f>0</f>
        <v>0.0</v>
      </c>
      <c r="G97" s="21" t="n">
        <v>9.4976E7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190.0</v>
      </c>
      <c r="F98" s="22" t="n">
        <f>0</f>
        <v>0.0</v>
      </c>
      <c r="G98" s="21" t="n">
        <v>4.50087E8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718.0</v>
      </c>
      <c r="F99" s="26" t="n">
        <f>0</f>
        <v>0.0</v>
      </c>
      <c r="G99" s="25" t="n">
        <v>1.7016635E9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15319.0</v>
      </c>
      <c r="F108" s="18" t="n">
        <f>148</f>
        <v>148.0</v>
      </c>
      <c r="G108" s="17" t="n">
        <v>1.94637779E12</v>
      </c>
      <c r="H108" s="18" t="n">
        <f>18820590000</f>
        <v>1.882059E10</v>
      </c>
    </row>
    <row r="109" spans="1:8" ht="24.9" customHeight="1">
      <c r="A109" s="51"/>
      <c r="B109" s="57"/>
      <c r="C109" s="39"/>
      <c r="D109" s="20" t="s">
        <v>16</v>
      </c>
      <c r="E109" s="21" t="n">
        <v>15455.0</v>
      </c>
      <c r="F109" s="22" t="n">
        <f>894</f>
        <v>894.0</v>
      </c>
      <c r="G109" s="21" t="n">
        <v>1.966001705E12</v>
      </c>
      <c r="H109" s="22" t="n">
        <f>113712805000</f>
        <v>1.13712805E11</v>
      </c>
    </row>
    <row r="110" spans="1:8" ht="24.9" customHeight="1">
      <c r="A110" s="51"/>
      <c r="B110" s="57"/>
      <c r="C110" s="39"/>
      <c r="D110" s="20" t="s">
        <v>17</v>
      </c>
      <c r="E110" s="21" t="n">
        <v>11877.0</v>
      </c>
      <c r="F110" s="22" t="n">
        <f>1884</f>
        <v>1884.0</v>
      </c>
      <c r="G110" s="21" t="n">
        <v>1.51178516E12</v>
      </c>
      <c r="H110" s="22" t="n">
        <f>239779290000</f>
        <v>2.3977929E11</v>
      </c>
    </row>
    <row r="111" spans="1:8" ht="24.9" customHeight="1">
      <c r="A111" s="51"/>
      <c r="B111" s="57"/>
      <c r="C111" s="39"/>
      <c r="D111" s="24" t="s">
        <v>18</v>
      </c>
      <c r="E111" s="25" t="n">
        <v>42651.0</v>
      </c>
      <c r="F111" s="26" t="n">
        <f>2926</f>
        <v>2926.0</v>
      </c>
      <c r="G111" s="25" t="n">
        <v>5.424164655E12</v>
      </c>
      <c r="H111" s="26" t="n">
        <f>372312685000</f>
        <v>3.72312685E11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1.0</v>
      </c>
      <c r="F113" s="22" t="n">
        <f>0</f>
        <v>0.0</v>
      </c>
      <c r="G113" s="21" t="n">
        <v>1.2725E7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0.0</v>
      </c>
      <c r="F114" s="22" t="n">
        <f>0</f>
        <v>0.0</v>
      </c>
      <c r="G114" s="21" t="n">
        <v>0.0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1.0</v>
      </c>
      <c r="F115" s="26" t="n">
        <f>0</f>
        <v>0.0</v>
      </c>
      <c r="G115" s="25" t="n">
        <v>1.2725E7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1851.0</v>
      </c>
      <c r="F118" s="22" t="n">
        <f>0</f>
        <v>0.0</v>
      </c>
      <c r="G118" s="21" t="n">
        <v>1.669807E10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1851.0</v>
      </c>
      <c r="F119" s="26" t="n">
        <f>0</f>
        <v>0.0</v>
      </c>
      <c r="G119" s="25" t="n">
        <v>1.669807E10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10790.0</v>
      </c>
      <c r="F120" s="18" t="n">
        <f>0</f>
        <v>0.0</v>
      </c>
      <c r="G120" s="17" t="n">
        <v>2.670168475E11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941.0</v>
      </c>
      <c r="F121" s="22" t="n">
        <f>0</f>
        <v>0.0</v>
      </c>
      <c r="G121" s="21" t="n">
        <v>2.32371025E10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228.0</v>
      </c>
      <c r="F122" s="22" t="n">
        <f>0</f>
        <v>0.0</v>
      </c>
      <c r="G122" s="21" t="n">
        <v>5.625598125E9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11959.0</v>
      </c>
      <c r="F123" s="26" t="n">
        <f>0</f>
        <v>0.0</v>
      </c>
      <c r="G123" s="25" t="n">
        <v>2.95879548125E11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7766.0</v>
      </c>
      <c r="F124" s="18" t="n">
        <f>0</f>
        <v>0.0</v>
      </c>
      <c r="G124" s="17" t="n">
        <v>1.68887509E11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5187.0</v>
      </c>
      <c r="F125" s="22" t="n">
        <f>0</f>
        <v>0.0</v>
      </c>
      <c r="G125" s="21" t="n">
        <v>1.14037749E11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2732.0</v>
      </c>
      <c r="F126" s="22" t="n">
        <f>1</f>
        <v>1.0</v>
      </c>
      <c r="G126" s="21" t="n">
        <v>6.0380181E10</v>
      </c>
      <c r="H126" s="22" t="n">
        <f>22120000</f>
        <v>2.212E7</v>
      </c>
    </row>
    <row r="127" spans="1:8" ht="24.9" customHeight="1">
      <c r="A127" s="51"/>
      <c r="B127" s="57"/>
      <c r="C127" s="39"/>
      <c r="D127" s="24" t="s">
        <v>18</v>
      </c>
      <c r="E127" s="25" t="n">
        <v>15685.0</v>
      </c>
      <c r="F127" s="26" t="n">
        <f>1</f>
        <v>1.0</v>
      </c>
      <c r="G127" s="25" t="n">
        <v>3.43305439E11</v>
      </c>
      <c r="H127" s="26" t="n">
        <f>22120000</f>
        <v>2.212E7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36.0</v>
      </c>
      <c r="F128" s="18" t="n">
        <f>0</f>
        <v>0.0</v>
      </c>
      <c r="G128" s="17" t="n">
        <v>7.76901E7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90.0</v>
      </c>
      <c r="F129" s="22" t="n">
        <f>0</f>
        <v>0.0</v>
      </c>
      <c r="G129" s="21" t="n">
        <v>1.976232E8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55.0</v>
      </c>
      <c r="F130" s="22" t="n">
        <f>0</f>
        <v>0.0</v>
      </c>
      <c r="G130" s="21" t="n">
        <v>1.210838E8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181.0</v>
      </c>
      <c r="F131" s="26" t="n">
        <f>0</f>
        <v>0.0</v>
      </c>
      <c r="G131" s="25" t="n">
        <v>3.963971E8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8332.0</v>
      </c>
      <c r="F132" s="18" t="n">
        <f>0</f>
        <v>0.0</v>
      </c>
      <c r="G132" s="17" t="n">
        <v>1.811825865E10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3480.0</v>
      </c>
      <c r="F133" s="22" t="n">
        <f>0</f>
        <v>0.0</v>
      </c>
      <c r="G133" s="21" t="n">
        <v>7.66516775E9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1736.0</v>
      </c>
      <c r="F134" s="22" t="n">
        <f>0</f>
        <v>0.0</v>
      </c>
      <c r="G134" s="21" t="n">
        <v>3.8399288E9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13548.0</v>
      </c>
      <c r="F135" s="26" t="n">
        <f>0</f>
        <v>0.0</v>
      </c>
      <c r="G135" s="25" t="n">
        <v>2.96233552E10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75.0</v>
      </c>
      <c r="F136" s="18" t="n">
        <f>0</f>
        <v>0.0</v>
      </c>
      <c r="G136" s="17" t="n">
        <v>1.61297E8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40.0</v>
      </c>
      <c r="F137" s="22" t="n">
        <f>0</f>
        <v>0.0</v>
      </c>
      <c r="G137" s="21" t="n">
        <v>8.75265E7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22.0</v>
      </c>
      <c r="F138" s="22" t="n">
        <f>0</f>
        <v>0.0</v>
      </c>
      <c r="G138" s="21" t="n">
        <v>4.80954E7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137.0</v>
      </c>
      <c r="F139" s="26" t="n">
        <f>0</f>
        <v>0.0</v>
      </c>
      <c r="G139" s="25" t="n">
        <v>2.969189E8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978.0</v>
      </c>
      <c r="F144" s="18" t="n">
        <f>0</f>
        <v>0.0</v>
      </c>
      <c r="G144" s="17" t="n">
        <v>3.9846375E9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1658.0</v>
      </c>
      <c r="F145" s="22" t="n">
        <f>0</f>
        <v>0.0</v>
      </c>
      <c r="G145" s="21" t="n">
        <v>6.8716185E9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1168.0</v>
      </c>
      <c r="F146" s="22" t="n">
        <f>0</f>
        <v>0.0</v>
      </c>
      <c r="G146" s="21" t="n">
        <v>4.891463E9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3804.0</v>
      </c>
      <c r="F147" s="26" t="n">
        <f>0</f>
        <v>0.0</v>
      </c>
      <c r="G147" s="25" t="n">
        <v>1.5747719E10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14.0</v>
      </c>
      <c r="F148" s="18" t="n">
        <f>0</f>
        <v>0.0</v>
      </c>
      <c r="G148" s="17" t="n">
        <v>1.16832E7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126.0</v>
      </c>
      <c r="F149" s="22" t="n">
        <f>0</f>
        <v>0.0</v>
      </c>
      <c r="G149" s="21" t="n">
        <v>1.079964E8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80.0</v>
      </c>
      <c r="F150" s="22" t="n">
        <f>0</f>
        <v>0.0</v>
      </c>
      <c r="G150" s="21" t="n">
        <v>6.82999E7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220.0</v>
      </c>
      <c r="F151" s="26" t="n">
        <f>0</f>
        <v>0.0</v>
      </c>
      <c r="G151" s="25" t="n">
        <v>1.879795E8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287.0</v>
      </c>
      <c r="F152" s="18" t="n">
        <f>0</f>
        <v>0.0</v>
      </c>
      <c r="G152" s="17" t="n">
        <v>2.3278885E8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301.0</v>
      </c>
      <c r="F153" s="22" t="n">
        <f>0</f>
        <v>0.0</v>
      </c>
      <c r="G153" s="21" t="n">
        <v>2.4968985E8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262.0</v>
      </c>
      <c r="F154" s="22" t="n">
        <f>0</f>
        <v>0.0</v>
      </c>
      <c r="G154" s="21" t="n">
        <v>2.1813255E8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850.0</v>
      </c>
      <c r="F155" s="26" t="n">
        <f>0</f>
        <v>0.0</v>
      </c>
      <c r="G155" s="25" t="n">
        <v>7.0061125E8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64.0</v>
      </c>
      <c r="F156" s="18" t="n">
        <f>0</f>
        <v>0.0</v>
      </c>
      <c r="G156" s="17" t="n">
        <v>5.20517E7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466.0</v>
      </c>
      <c r="F157" s="22" t="n">
        <f>0</f>
        <v>0.0</v>
      </c>
      <c r="G157" s="21" t="n">
        <v>3.92478E8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822.0</v>
      </c>
      <c r="F158" s="22" t="n">
        <f>0</f>
        <v>0.0</v>
      </c>
      <c r="G158" s="21" t="n">
        <v>6.918456E8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1352.0</v>
      </c>
      <c r="F159" s="26" t="n">
        <f>0</f>
        <v>0.0</v>
      </c>
      <c r="G159" s="25" t="n">
        <v>1.1363753E9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256.0</v>
      </c>
      <c r="F168" s="18" t="n">
        <f>0</f>
        <v>0.0</v>
      </c>
      <c r="G168" s="17" t="n">
        <v>5.14403E8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450.0</v>
      </c>
      <c r="F169" s="22" t="n">
        <f>0</f>
        <v>0.0</v>
      </c>
      <c r="G169" s="21" t="n">
        <v>9.063865E8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398.0</v>
      </c>
      <c r="F170" s="22" t="n">
        <f>0</f>
        <v>0.0</v>
      </c>
      <c r="G170" s="21" t="n">
        <v>8.106695E8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1104.0</v>
      </c>
      <c r="F171" s="26" t="n">
        <f>0</f>
        <v>0.0</v>
      </c>
      <c r="G171" s="25" t="n">
        <v>2.231459E9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4.0</v>
      </c>
      <c r="F176" s="18" t="n">
        <f>0</f>
        <v>0.0</v>
      </c>
      <c r="G176" s="17" t="n">
        <v>6636000.0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44.0</v>
      </c>
      <c r="F177" s="22" t="n">
        <f>0</f>
        <v>0.0</v>
      </c>
      <c r="G177" s="21" t="n">
        <v>7.398E7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3.0</v>
      </c>
      <c r="F178" s="22" t="n">
        <f>0</f>
        <v>0.0</v>
      </c>
      <c r="G178" s="21" t="n">
        <v>5040000.0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51.0</v>
      </c>
      <c r="F179" s="26" t="n">
        <f>0</f>
        <v>0.0</v>
      </c>
      <c r="G179" s="25" t="n">
        <v>8.5656E7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280.0</v>
      </c>
      <c r="F204" s="18" t="n">
        <f>0</f>
        <v>0.0</v>
      </c>
      <c r="G204" s="17" t="n">
        <v>9.49E8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90.0</v>
      </c>
      <c r="F205" s="22" t="n">
        <f>0</f>
        <v>0.0</v>
      </c>
      <c r="G205" s="21" t="n">
        <v>3.09229E8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1101.0</v>
      </c>
      <c r="F206" s="22" t="n">
        <f>0</f>
        <v>0.0</v>
      </c>
      <c r="G206" s="21" t="n">
        <v>3.799403E9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1471.0</v>
      </c>
      <c r="F207" s="26" t="n">
        <f>0</f>
        <v>0.0</v>
      </c>
      <c r="G207" s="25" t="n">
        <v>5.057632E9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40.0</v>
      </c>
      <c r="F210" s="22" t="n">
        <f>40</f>
        <v>40.0</v>
      </c>
      <c r="G210" s="21" t="n">
        <v>4.96344E7</v>
      </c>
      <c r="H210" s="22" t="n">
        <f>49634400</f>
        <v>4.96344E7</v>
      </c>
    </row>
    <row r="211" spans="1:8" ht="24.9" customHeight="1">
      <c r="A211" s="57"/>
      <c r="B211" s="59"/>
      <c r="C211" s="39"/>
      <c r="D211" s="24" t="s">
        <v>18</v>
      </c>
      <c r="E211" s="25" t="n">
        <v>40.0</v>
      </c>
      <c r="F211" s="26" t="n">
        <f>40</f>
        <v>40.0</v>
      </c>
      <c r="G211" s="25" t="n">
        <v>4.96344E7</v>
      </c>
      <c r="H211" s="26" t="n">
        <f>49634400</f>
        <v>4.96344E7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10.0</v>
      </c>
      <c r="F250" s="22" t="n">
        <f>10</f>
        <v>10.0</v>
      </c>
      <c r="G250" s="21" t="n">
        <v>1.348344E8</v>
      </c>
      <c r="H250" s="22" t="n">
        <f>134834400</f>
        <v>1.348344E8</v>
      </c>
    </row>
    <row r="251" spans="1:8" ht="24.9" customHeight="1">
      <c r="A251" s="57"/>
      <c r="B251" s="59"/>
      <c r="C251" s="39"/>
      <c r="D251" s="24" t="s">
        <v>18</v>
      </c>
      <c r="E251" s="25" t="n">
        <v>10.0</v>
      </c>
      <c r="F251" s="26" t="n">
        <f>10</f>
        <v>10.0</v>
      </c>
      <c r="G251" s="25" t="n">
        <v>1.348344E8</v>
      </c>
      <c r="H251" s="26" t="n">
        <f>134834400</f>
        <v>1.348344E8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46206.0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46206.0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5533</f>
        <v>5533.0</v>
      </c>
      <c r="E12" s="35" t="n">
        <f>1948</f>
        <v>1948.0</v>
      </c>
      <c r="F12" s="17" t="n">
        <f>4857</f>
        <v>4857.0</v>
      </c>
      <c r="G12" s="35" t="n">
        <f>2129</f>
        <v>2129.0</v>
      </c>
      <c r="H12" s="17" t="n">
        <f>10390</f>
        <v>10390.0</v>
      </c>
      <c r="I12" s="35" t="n">
        <f>4077</f>
        <v>4077.0</v>
      </c>
      <c r="J12" s="17" t="n">
        <f>4616987670</f>
        <v>4.61698767E9</v>
      </c>
      <c r="K12" s="35" t="n">
        <f>3598848670</f>
        <v>3.59884867E9</v>
      </c>
      <c r="L12" s="17" t="n">
        <f>2687641760</f>
        <v>2.68764176E9</v>
      </c>
      <c r="M12" s="35" t="n">
        <f>2046278760</f>
        <v>2.04627876E9</v>
      </c>
      <c r="N12" s="17" t="n">
        <f>7304629430</f>
        <v>7.30462943E9</v>
      </c>
      <c r="O12" s="35" t="n">
        <f>5645127430</f>
        <v>5.64512743E9</v>
      </c>
    </row>
    <row r="13" spans="1:15" ht="24.9" customHeight="1">
      <c r="A13" s="38"/>
      <c r="B13" s="62"/>
      <c r="C13" s="20" t="s">
        <v>16</v>
      </c>
      <c r="D13" s="21" t="n">
        <f>6225</f>
        <v>6225.0</v>
      </c>
      <c r="E13" s="36" t="n">
        <f>1654</f>
        <v>1654.0</v>
      </c>
      <c r="F13" s="21" t="n">
        <f>4739</f>
        <v>4739.0</v>
      </c>
      <c r="G13" s="36" t="n">
        <f>1053</f>
        <v>1053.0</v>
      </c>
      <c r="H13" s="21" t="n">
        <f>10964</f>
        <v>10964.0</v>
      </c>
      <c r="I13" s="36" t="n">
        <f>2707</f>
        <v>2707.0</v>
      </c>
      <c r="J13" s="21" t="n">
        <f>3980539860</f>
        <v>3.98053986E9</v>
      </c>
      <c r="K13" s="36" t="n">
        <f>1800024860</f>
        <v>1.80002486E9</v>
      </c>
      <c r="L13" s="21" t="n">
        <f>2642991290</f>
        <v>2.64299129E9</v>
      </c>
      <c r="M13" s="36" t="n">
        <f>1646266290</f>
        <v>1.64626629E9</v>
      </c>
      <c r="N13" s="21" t="n">
        <f>6623531150</f>
        <v>6.62353115E9</v>
      </c>
      <c r="O13" s="36" t="n">
        <f>3446291150</f>
        <v>3.44629115E9</v>
      </c>
    </row>
    <row r="14" spans="1:15" ht="24.9" customHeight="1">
      <c r="A14" s="38"/>
      <c r="B14" s="62"/>
      <c r="C14" s="20" t="s">
        <v>17</v>
      </c>
      <c r="D14" s="21" t="n">
        <f>20008</f>
        <v>20008.0</v>
      </c>
      <c r="E14" s="36" t="n">
        <f>14026</f>
        <v>14026.0</v>
      </c>
      <c r="F14" s="21" t="n">
        <f>11586</f>
        <v>11586.0</v>
      </c>
      <c r="G14" s="36" t="n">
        <f>8263</f>
        <v>8263.0</v>
      </c>
      <c r="H14" s="21" t="n">
        <f>31594</f>
        <v>31594.0</v>
      </c>
      <c r="I14" s="36" t="n">
        <f>22289</f>
        <v>22289.0</v>
      </c>
      <c r="J14" s="21" t="n">
        <f>16003629437</f>
        <v>1.6003629437E10</v>
      </c>
      <c r="K14" s="36" t="n">
        <f>13738828437</f>
        <v>1.3738828437E10</v>
      </c>
      <c r="L14" s="21" t="n">
        <f>13868771700</f>
        <v>1.38687717E10</v>
      </c>
      <c r="M14" s="36" t="n">
        <f>12844799700</f>
        <v>1.28447997E10</v>
      </c>
      <c r="N14" s="21" t="n">
        <f>29872401137</f>
        <v>2.9872401137E10</v>
      </c>
      <c r="O14" s="36" t="n">
        <f>26583628137</f>
        <v>2.6583628137E10</v>
      </c>
    </row>
    <row r="15" spans="1:15" ht="24.9" customHeight="1">
      <c r="A15" s="38"/>
      <c r="B15" s="62"/>
      <c r="C15" s="24" t="s">
        <v>18</v>
      </c>
      <c r="D15" s="25" t="n">
        <f>31766</f>
        <v>31766.0</v>
      </c>
      <c r="E15" s="37" t="n">
        <f>17628</f>
        <v>17628.0</v>
      </c>
      <c r="F15" s="25" t="n">
        <f>21182</f>
        <v>21182.0</v>
      </c>
      <c r="G15" s="37" t="n">
        <f>11445</f>
        <v>11445.0</v>
      </c>
      <c r="H15" s="25" t="n">
        <f>52948</f>
        <v>52948.0</v>
      </c>
      <c r="I15" s="37" t="n">
        <f>29073</f>
        <v>29073.0</v>
      </c>
      <c r="J15" s="25" t="n">
        <f>24601156967</f>
        <v>2.4601156967E10</v>
      </c>
      <c r="K15" s="37" t="n">
        <f>19137701967</f>
        <v>1.9137701967E10</v>
      </c>
      <c r="L15" s="25" t="n">
        <f>19199404750</f>
        <v>1.919940475E10</v>
      </c>
      <c r="M15" s="37" t="n">
        <f>16537344750</f>
        <v>1.653734475E10</v>
      </c>
      <c r="N15" s="25" t="n">
        <f>43800561717</f>
        <v>4.3800561717E10</v>
      </c>
      <c r="O15" s="37" t="n">
        <f>35675046717</f>
        <v>3.5675046717E10</v>
      </c>
    </row>
    <row r="16" spans="1:15" ht="24.9" customHeight="1">
      <c r="A16" s="38"/>
      <c r="B16" s="61" t="s">
        <v>105</v>
      </c>
      <c r="C16" s="16" t="s">
        <v>15</v>
      </c>
      <c r="D16" s="17" t="n">
        <f>7562</f>
        <v>7562.0</v>
      </c>
      <c r="E16" s="35" t="n">
        <f>470</f>
        <v>470.0</v>
      </c>
      <c r="F16" s="17" t="n">
        <f>5997</f>
        <v>5997.0</v>
      </c>
      <c r="G16" s="35" t="n">
        <f>430</f>
        <v>430.0</v>
      </c>
      <c r="H16" s="17" t="n">
        <f>13559</f>
        <v>13559.0</v>
      </c>
      <c r="I16" s="35" t="n">
        <f>900</f>
        <v>900.0</v>
      </c>
      <c r="J16" s="17" t="n">
        <f>511328780</f>
        <v>5.1132878E8</v>
      </c>
      <c r="K16" s="35" t="n">
        <f>33948080</f>
        <v>3.394808E7</v>
      </c>
      <c r="L16" s="17" t="n">
        <f>545092250</f>
        <v>5.4509225E8</v>
      </c>
      <c r="M16" s="35" t="n">
        <f>21145650</f>
        <v>2.114565E7</v>
      </c>
      <c r="N16" s="17" t="n">
        <f>1056421030</f>
        <v>1.05642103E9</v>
      </c>
      <c r="O16" s="35" t="n">
        <f>55093730</f>
        <v>5.509373E7</v>
      </c>
    </row>
    <row r="17" spans="1:15" ht="24.9" customHeight="1">
      <c r="A17" s="38"/>
      <c r="B17" s="62"/>
      <c r="C17" s="20" t="s">
        <v>16</v>
      </c>
      <c r="D17" s="21" t="n">
        <f>5461</f>
        <v>5461.0</v>
      </c>
      <c r="E17" s="36" t="n">
        <f>170</f>
        <v>170.0</v>
      </c>
      <c r="F17" s="21" t="n">
        <f>4034</f>
        <v>4034.0</v>
      </c>
      <c r="G17" s="36" t="n">
        <f>80</f>
        <v>80.0</v>
      </c>
      <c r="H17" s="21" t="n">
        <f>9495</f>
        <v>9495.0</v>
      </c>
      <c r="I17" s="36" t="n">
        <f>250</f>
        <v>250.0</v>
      </c>
      <c r="J17" s="21" t="n">
        <f>317535610</f>
        <v>3.1753561E8</v>
      </c>
      <c r="K17" s="36" t="n">
        <f>5440210</f>
        <v>5440210.0</v>
      </c>
      <c r="L17" s="21" t="n">
        <f>241020490</f>
        <v>2.4102049E8</v>
      </c>
      <c r="M17" s="36" t="n">
        <f>2744690</f>
        <v>2744690.0</v>
      </c>
      <c r="N17" s="21" t="n">
        <f>558556100</f>
        <v>5.585561E8</v>
      </c>
      <c r="O17" s="36" t="n">
        <f>8184900</f>
        <v>8184900.0</v>
      </c>
    </row>
    <row r="18" spans="1:15" ht="24.9" customHeight="1">
      <c r="A18" s="38"/>
      <c r="B18" s="62"/>
      <c r="C18" s="20" t="s">
        <v>17</v>
      </c>
      <c r="D18" s="21" t="n">
        <f>6513</f>
        <v>6513.0</v>
      </c>
      <c r="E18" s="36" t="n">
        <f>280</f>
        <v>280.0</v>
      </c>
      <c r="F18" s="21" t="n">
        <f>4154</f>
        <v>4154.0</v>
      </c>
      <c r="G18" s="36" t="n">
        <f>100</f>
        <v>100.0</v>
      </c>
      <c r="H18" s="21" t="n">
        <f>10667</f>
        <v>10667.0</v>
      </c>
      <c r="I18" s="36" t="n">
        <f>380</f>
        <v>380.0</v>
      </c>
      <c r="J18" s="21" t="n">
        <f>244553740</f>
        <v>2.4455374E8</v>
      </c>
      <c r="K18" s="36" t="n">
        <f>9279840</f>
        <v>9279840.0</v>
      </c>
      <c r="L18" s="21" t="n">
        <f>238101650</f>
        <v>2.3810165E8</v>
      </c>
      <c r="M18" s="36" t="n">
        <f>4389350</f>
        <v>4389350.0</v>
      </c>
      <c r="N18" s="21" t="n">
        <f>482655390</f>
        <v>4.8265539E8</v>
      </c>
      <c r="O18" s="36" t="n">
        <f>13669190</f>
        <v>1.366919E7</v>
      </c>
    </row>
    <row r="19" spans="1:15" ht="24.9" customHeight="1">
      <c r="A19" s="38"/>
      <c r="B19" s="62"/>
      <c r="C19" s="24" t="s">
        <v>18</v>
      </c>
      <c r="D19" s="25" t="n">
        <f>19536</f>
        <v>19536.0</v>
      </c>
      <c r="E19" s="37" t="n">
        <f>920</f>
        <v>920.0</v>
      </c>
      <c r="F19" s="25" t="n">
        <f>14185</f>
        <v>14185.0</v>
      </c>
      <c r="G19" s="37" t="n">
        <f>610</f>
        <v>610.0</v>
      </c>
      <c r="H19" s="25" t="n">
        <f>33721</f>
        <v>33721.0</v>
      </c>
      <c r="I19" s="37" t="n">
        <f>1530</f>
        <v>1530.0</v>
      </c>
      <c r="J19" s="25" t="n">
        <f>1073418130</f>
        <v>1.07341813E9</v>
      </c>
      <c r="K19" s="37" t="n">
        <f>48668130</f>
        <v>4.866813E7</v>
      </c>
      <c r="L19" s="25" t="n">
        <f>1024214390</f>
        <v>1.02421439E9</v>
      </c>
      <c r="M19" s="37" t="n">
        <f>28279690</f>
        <v>2.827969E7</v>
      </c>
      <c r="N19" s="25" t="n">
        <f>2097632520</f>
        <v>2.09763252E9</v>
      </c>
      <c r="O19" s="37" t="n">
        <f>76947820</f>
        <v>7.694782E7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50</f>
        <v>50.0</v>
      </c>
      <c r="E22" s="36" t="n">
        <f>0</f>
        <v>0.0</v>
      </c>
      <c r="F22" s="21" t="n">
        <f>0</f>
        <v>0.0</v>
      </c>
      <c r="G22" s="36" t="n">
        <f>0</f>
        <v>0.0</v>
      </c>
      <c r="H22" s="21" t="n">
        <f>50</f>
        <v>50.0</v>
      </c>
      <c r="I22" s="36" t="n">
        <f>0</f>
        <v>0.0</v>
      </c>
      <c r="J22" s="21" t="n">
        <f>23870000</f>
        <v>2.387E7</v>
      </c>
      <c r="K22" s="36" t="n">
        <f>0</f>
        <v>0.0</v>
      </c>
      <c r="L22" s="21" t="n">
        <f>0</f>
        <v>0.0</v>
      </c>
      <c r="M22" s="36" t="n">
        <f>0</f>
        <v>0.0</v>
      </c>
      <c r="N22" s="21" t="n">
        <f>23870000</f>
        <v>2.387E7</v>
      </c>
      <c r="O22" s="36" t="n">
        <f>0</f>
        <v>0.0</v>
      </c>
    </row>
    <row r="23" spans="1:15" ht="24.9" customHeight="1">
      <c r="A23" s="38"/>
      <c r="B23" s="62"/>
      <c r="C23" s="24" t="s">
        <v>18</v>
      </c>
      <c r="D23" s="25" t="n">
        <f>50</f>
        <v>50.0</v>
      </c>
      <c r="E23" s="37" t="n">
        <f>0</f>
        <v>0.0</v>
      </c>
      <c r="F23" s="25" t="n">
        <f>0</f>
        <v>0.0</v>
      </c>
      <c r="G23" s="37" t="n">
        <f>0</f>
        <v>0.0</v>
      </c>
      <c r="H23" s="25" t="n">
        <f>50</f>
        <v>50.0</v>
      </c>
      <c r="I23" s="37" t="n">
        <f>0</f>
        <v>0.0</v>
      </c>
      <c r="J23" s="25" t="n">
        <f>23870000</f>
        <v>2.387E7</v>
      </c>
      <c r="K23" s="37" t="n">
        <f>0</f>
        <v>0.0</v>
      </c>
      <c r="L23" s="25" t="n">
        <f>0</f>
        <v>0.0</v>
      </c>
      <c r="M23" s="37" t="n">
        <f>0</f>
        <v>0.0</v>
      </c>
      <c r="N23" s="25" t="n">
        <f>23870000</f>
        <v>2.387E7</v>
      </c>
      <c r="O23" s="37" t="n">
        <f>0</f>
        <v>0.0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25</f>
        <v>25.0</v>
      </c>
      <c r="G36" s="18" t="n">
        <f>0</f>
        <v>0.0</v>
      </c>
      <c r="H36" s="17" t="n">
        <f>25</f>
        <v>25.0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3250000</f>
        <v>3250000.0</v>
      </c>
      <c r="M36" s="18" t="n">
        <f>0</f>
        <v>0.0</v>
      </c>
      <c r="N36" s="17" t="n">
        <f>3250000</f>
        <v>3250000.0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40</f>
        <v>40.0</v>
      </c>
      <c r="E37" s="22" t="n">
        <f>0</f>
        <v>0.0</v>
      </c>
      <c r="F37" s="21" t="n">
        <f>45</f>
        <v>45.0</v>
      </c>
      <c r="G37" s="22" t="n">
        <f>10</f>
        <v>10.0</v>
      </c>
      <c r="H37" s="21" t="n">
        <f>85</f>
        <v>85.0</v>
      </c>
      <c r="I37" s="22" t="n">
        <f>10</f>
        <v>10.0</v>
      </c>
      <c r="J37" s="21" t="n">
        <f>7900000</f>
        <v>7900000.0</v>
      </c>
      <c r="K37" s="22" t="n">
        <f>0</f>
        <v>0.0</v>
      </c>
      <c r="L37" s="21" t="n">
        <f>9450000</f>
        <v>9450000.0</v>
      </c>
      <c r="M37" s="22" t="n">
        <f>700000</f>
        <v>700000.0</v>
      </c>
      <c r="N37" s="21" t="n">
        <f>17350000</f>
        <v>1.735E7</v>
      </c>
      <c r="O37" s="22" t="n">
        <f>700000</f>
        <v>700000.0</v>
      </c>
    </row>
    <row r="38" spans="1:15" ht="24.9" customHeight="1">
      <c r="A38" s="38"/>
      <c r="B38" s="62"/>
      <c r="C38" s="20" t="s">
        <v>17</v>
      </c>
      <c r="D38" s="21" t="n">
        <f>25</f>
        <v>25.0</v>
      </c>
      <c r="E38" s="36" t="n">
        <f>0</f>
        <v>0.0</v>
      </c>
      <c r="F38" s="21" t="n">
        <f>4</f>
        <v>4.0</v>
      </c>
      <c r="G38" s="36" t="n">
        <f>0</f>
        <v>0.0</v>
      </c>
      <c r="H38" s="21" t="n">
        <f>29</f>
        <v>29.0</v>
      </c>
      <c r="I38" s="36" t="n">
        <f>0</f>
        <v>0.0</v>
      </c>
      <c r="J38" s="21" t="n">
        <f>8400000</f>
        <v>8400000.0</v>
      </c>
      <c r="K38" s="36" t="n">
        <f>0</f>
        <v>0.0</v>
      </c>
      <c r="L38" s="21" t="n">
        <f>600000</f>
        <v>600000.0</v>
      </c>
      <c r="M38" s="36" t="n">
        <f>0</f>
        <v>0.0</v>
      </c>
      <c r="N38" s="21" t="n">
        <f>9000000</f>
        <v>9000000.0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65</f>
        <v>65.0</v>
      </c>
      <c r="E39" s="37" t="n">
        <f>0</f>
        <v>0.0</v>
      </c>
      <c r="F39" s="25" t="n">
        <f>74</f>
        <v>74.0</v>
      </c>
      <c r="G39" s="37" t="n">
        <f>10</f>
        <v>10.0</v>
      </c>
      <c r="H39" s="25" t="n">
        <f>139</f>
        <v>139.0</v>
      </c>
      <c r="I39" s="37" t="n">
        <f>10</f>
        <v>10.0</v>
      </c>
      <c r="J39" s="25" t="n">
        <f>16300000</f>
        <v>1.63E7</v>
      </c>
      <c r="K39" s="37" t="n">
        <f>0</f>
        <v>0.0</v>
      </c>
      <c r="L39" s="25" t="n">
        <f>13300000</f>
        <v>1.33E7</v>
      </c>
      <c r="M39" s="37" t="n">
        <f>700000</f>
        <v>700000.0</v>
      </c>
      <c r="N39" s="25" t="n">
        <f>29600000</f>
        <v>2.96E7</v>
      </c>
      <c r="O39" s="37" t="n">
        <f>700000</f>
        <v>700000.0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19079</f>
        <v>19079.0</v>
      </c>
      <c r="E41" s="36" t="n">
        <f>0</f>
        <v>0.0</v>
      </c>
      <c r="F41" s="21" t="n">
        <f>14677</f>
        <v>14677.0</v>
      </c>
      <c r="G41" s="36" t="n">
        <f>0</f>
        <v>0.0</v>
      </c>
      <c r="H41" s="21" t="n">
        <f>33756</f>
        <v>33756.0</v>
      </c>
      <c r="I41" s="36" t="n">
        <f>0</f>
        <v>0.0</v>
      </c>
      <c r="J41" s="21" t="n">
        <f>53518370</f>
        <v>5.351837E7</v>
      </c>
      <c r="K41" s="36" t="n">
        <f>0</f>
        <v>0.0</v>
      </c>
      <c r="L41" s="21" t="n">
        <f>14266780</f>
        <v>1.426678E7</v>
      </c>
      <c r="M41" s="36" t="n">
        <f>0</f>
        <v>0.0</v>
      </c>
      <c r="N41" s="21" t="n">
        <f>67785150</f>
        <v>6.778515E7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11747</f>
        <v>11747.0</v>
      </c>
      <c r="E42" s="36" t="n">
        <f>1650</f>
        <v>1650.0</v>
      </c>
      <c r="F42" s="21" t="n">
        <f>6452</f>
        <v>6452.0</v>
      </c>
      <c r="G42" s="36" t="n">
        <f>700</f>
        <v>700.0</v>
      </c>
      <c r="H42" s="21" t="n">
        <f>18199</f>
        <v>18199.0</v>
      </c>
      <c r="I42" s="36" t="n">
        <f>2350</f>
        <v>2350.0</v>
      </c>
      <c r="J42" s="21" t="n">
        <f>87163140</f>
        <v>8.716314E7</v>
      </c>
      <c r="K42" s="36" t="n">
        <f>85165000</f>
        <v>8.5165E7</v>
      </c>
      <c r="L42" s="21" t="n">
        <f>35713440</f>
        <v>3.571344E7</v>
      </c>
      <c r="M42" s="36" t="n">
        <f>32725000</f>
        <v>3.2725E7</v>
      </c>
      <c r="N42" s="21" t="n">
        <f>122876580</f>
        <v>1.2287658E8</v>
      </c>
      <c r="O42" s="36" t="n">
        <f>117890000</f>
        <v>1.1789E8</v>
      </c>
    </row>
    <row r="43" spans="1:15" ht="24.9" customHeight="1">
      <c r="A43" s="38"/>
      <c r="B43" s="62"/>
      <c r="C43" s="24" t="s">
        <v>18</v>
      </c>
      <c r="D43" s="25" t="n">
        <f>30826</f>
        <v>30826.0</v>
      </c>
      <c r="E43" s="37" t="n">
        <f>1650</f>
        <v>1650.0</v>
      </c>
      <c r="F43" s="25" t="n">
        <f>21129</f>
        <v>21129.0</v>
      </c>
      <c r="G43" s="37" t="n">
        <f>700</f>
        <v>700.0</v>
      </c>
      <c r="H43" s="25" t="n">
        <f>51955</f>
        <v>51955.0</v>
      </c>
      <c r="I43" s="37" t="n">
        <f>2350</f>
        <v>2350.0</v>
      </c>
      <c r="J43" s="25" t="n">
        <f>140681510</f>
        <v>1.4068151E8</v>
      </c>
      <c r="K43" s="37" t="n">
        <f>85165000</f>
        <v>8.5165E7</v>
      </c>
      <c r="L43" s="25" t="n">
        <f>49980220</f>
        <v>4.998022E7</v>
      </c>
      <c r="M43" s="37" t="n">
        <f>32725000</f>
        <v>3.2725E7</v>
      </c>
      <c r="N43" s="25" t="n">
        <f>190661730</f>
        <v>1.9066173E8</v>
      </c>
      <c r="O43" s="37" t="n">
        <f>117890000</f>
        <v>1.1789E8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