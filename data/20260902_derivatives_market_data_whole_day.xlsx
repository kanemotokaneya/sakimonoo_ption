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<sst xmlns="http://schemas.openxmlformats.org/spreadsheetml/2006/main" count="528" uniqueCount="129">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</sst>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DATE(2026,09,02)</f>
        <v>46267.0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DATE(2026,09,02)</f>
        <v>46267.0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873121.0</f>
        <v>873121.0</v>
      </c>
      <c r="E12" s="18" t="n">
        <f>63123.0</f>
        <v>63123.0</v>
      </c>
      <c r="F12" s="19" t="n">
        <f>1.0</f>
        <v>1.0</v>
      </c>
      <c r="G12" s="17" t="n">
        <f>8757498796400.0</f>
        <v>8.7574987964E12</v>
      </c>
      <c r="H12" s="18" t="n">
        <f>2563340228650.0</f>
        <v>2.56334022865E12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526228.0</f>
        <v>526228.0</v>
      </c>
      <c r="E13" s="22" t="n">
        <f>59674.0</f>
        <v>59674.0</v>
      </c>
      <c r="F13" s="23" t="n">
        <f>1.0</f>
        <v>1.0</v>
      </c>
      <c r="G13" s="21" t="n">
        <f>8756663099515.0</f>
        <v>8.756663099515E12</v>
      </c>
      <c r="H13" s="22" t="n">
        <f>668501885390.0</f>
        <v>6.6850188539E11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456215.0</f>
        <v>456215.0</v>
      </c>
      <c r="E14" s="22" t="n">
        <f>63445.0</f>
        <v>63445.0</v>
      </c>
      <c r="F14" s="23" t="n">
        <f>1.0</f>
        <v>1.0</v>
      </c>
      <c r="G14" s="21" t="n">
        <f>6733643804227.0</f>
        <v>6.733643804227E12</v>
      </c>
      <c r="H14" s="22" t="n">
        <f>1461986777877.0</f>
        <v>1.461986777877E12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1855564.0</f>
        <v>1855564.0</v>
      </c>
      <c r="E15" s="26" t="n">
        <f>186242.0</f>
        <v>186242.0</v>
      </c>
      <c r="F15" s="27" t="n">
        <f>1.0</f>
        <v>1.0</v>
      </c>
      <c r="G15" s="25" t="n">
        <f>24247805700142.0</f>
        <v>2.4247805700142E13</v>
      </c>
      <c r="H15" s="26" t="n">
        <f>4693828891917.0</f>
        <v>4.693828891917E12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37795.0</f>
        <v>37795.0</v>
      </c>
      <c r="E16" s="18" t="n">
        <f>17488.0</f>
        <v>17488.0</v>
      </c>
      <c r="F16" s="19" t="n">
        <f>0.043</f>
        <v>0.043</v>
      </c>
      <c r="G16" s="17" t="n">
        <f>4284663541750.0</f>
        <v>4.28466354175E12</v>
      </c>
      <c r="H16" s="18" t="n">
        <f>2189977265000.0</f>
        <v>2.189977265E12</v>
      </c>
      <c r="I16" s="19" t="n">
        <f>0.489</f>
        <v>0.489</v>
      </c>
    </row>
    <row r="17" spans="1:9" ht="24.9" customHeight="1">
      <c r="A17" s="41"/>
      <c r="B17" s="39"/>
      <c r="C17" s="20" t="s">
        <v>16</v>
      </c>
      <c r="D17" s="21" t="n">
        <f>82160.0</f>
        <v>82160.0</v>
      </c>
      <c r="E17" s="22" t="n">
        <f>39941.0</f>
        <v>39941.0</v>
      </c>
      <c r="F17" s="23" t="n">
        <f>0.156</f>
        <v>0.156</v>
      </c>
      <c r="G17" s="21" t="n">
        <f>5554745933375.0</f>
        <v>5.554745933375E12</v>
      </c>
      <c r="H17" s="22" t="n">
        <f>462074600000.0</f>
        <v>4.620746E11</v>
      </c>
      <c r="I17" s="23" t="n">
        <f>0.634</f>
        <v>0.634</v>
      </c>
    </row>
    <row r="18" spans="1:9" ht="24.9" customHeight="1">
      <c r="A18" s="41"/>
      <c r="B18" s="39"/>
      <c r="C18" s="20" t="s">
        <v>17</v>
      </c>
      <c r="D18" s="21" t="n">
        <f>35229.0</f>
        <v>35229.0</v>
      </c>
      <c r="E18" s="22" t="n">
        <f>16415.0</f>
        <v>16415.0</v>
      </c>
      <c r="F18" s="23" t="n">
        <f>0.077</f>
        <v>0.077</v>
      </c>
      <c r="G18" s="21" t="n">
        <f>2429453551250.0</f>
        <v>2.42945355125E12</v>
      </c>
      <c r="H18" s="22" t="n">
        <f>404533550000.0</f>
        <v>4.0453355E11</v>
      </c>
      <c r="I18" s="23" t="n">
        <f>0.361</f>
        <v>0.361</v>
      </c>
    </row>
    <row r="19" spans="1:9" ht="24.9" customHeight="1">
      <c r="A19" s="41"/>
      <c r="B19" s="39"/>
      <c r="C19" s="24" t="s">
        <v>18</v>
      </c>
      <c r="D19" s="25" t="n">
        <f>155184.0</f>
        <v>155184.0</v>
      </c>
      <c r="E19" s="26" t="n">
        <f>73844.0</f>
        <v>73844.0</v>
      </c>
      <c r="F19" s="27" t="n">
        <f>0.084</f>
        <v>0.084</v>
      </c>
      <c r="G19" s="25" t="n">
        <f>12268863026375.0</f>
        <v>1.2268863026375E13</v>
      </c>
      <c r="H19" s="26" t="n">
        <f>3056585415000.0</f>
        <v>3.056585415E12</v>
      </c>
      <c r="I19" s="27" t="n">
        <f>0.506</f>
        <v>0.506</v>
      </c>
    </row>
    <row r="20" spans="1:9" ht="24.9" customHeight="1">
      <c r="A20" s="41"/>
      <c r="B20" s="39" t="s">
        <v>21</v>
      </c>
      <c r="C20" s="16" t="s">
        <v>15</v>
      </c>
      <c r="D20" s="17" t="n">
        <f>805346.0</f>
        <v>805346.0</v>
      </c>
      <c r="E20" s="18" t="n">
        <f>45500.0</f>
        <v>45500.0</v>
      </c>
      <c r="F20" s="19" t="n">
        <f>0.922</f>
        <v>0.922</v>
      </c>
      <c r="G20" s="17" t="n">
        <f>4187262795800.0</f>
        <v>4.1872627958E12</v>
      </c>
      <c r="H20" s="18" t="n">
        <f>372840721650.0</f>
        <v>3.7284072165E11</v>
      </c>
      <c r="I20" s="19" t="n">
        <f>0.478</f>
        <v>0.478</v>
      </c>
    </row>
    <row r="21" spans="1:9" ht="24.9" customHeight="1">
      <c r="A21" s="41"/>
      <c r="B21" s="39"/>
      <c r="C21" s="20" t="s">
        <v>16</v>
      </c>
      <c r="D21" s="21" t="n">
        <f>427855.0</f>
        <v>427855.0</v>
      </c>
      <c r="E21" s="22" t="n">
        <f>19633.0</f>
        <v>19633.0</v>
      </c>
      <c r="F21" s="23" t="n">
        <f>0.813</f>
        <v>0.813</v>
      </c>
      <c r="G21" s="21" t="n">
        <f>3029517630040.0</f>
        <v>3.02951763004E12</v>
      </c>
      <c r="H21" s="22" t="n">
        <f>206290407390.0</f>
        <v>2.0629040739E11</v>
      </c>
      <c r="I21" s="23" t="n">
        <f>0.346</f>
        <v>0.346</v>
      </c>
    </row>
    <row r="22" spans="1:9" ht="24.9" customHeight="1">
      <c r="A22" s="41"/>
      <c r="B22" s="39"/>
      <c r="C22" s="20" t="s">
        <v>17</v>
      </c>
      <c r="D22" s="21" t="n">
        <f>404259.0</f>
        <v>404259.0</v>
      </c>
      <c r="E22" s="22" t="n">
        <f>46726.0</f>
        <v>46726.0</v>
      </c>
      <c r="F22" s="23" t="n">
        <f>0.886</f>
        <v>0.886</v>
      </c>
      <c r="G22" s="21" t="n">
        <f>4155371877377.0</f>
        <v>4.155371877377E12</v>
      </c>
      <c r="H22" s="22" t="n">
        <f>1057012139877.0</f>
        <v>1.057012139877E12</v>
      </c>
      <c r="I22" s="23" t="n">
        <f>0.617</f>
        <v>0.617</v>
      </c>
    </row>
    <row r="23" spans="1:9" ht="24.9" customHeight="1">
      <c r="A23" s="41"/>
      <c r="B23" s="39"/>
      <c r="C23" s="24" t="s">
        <v>18</v>
      </c>
      <c r="D23" s="25" t="n">
        <f>1637460.0</f>
        <v>1637460.0</v>
      </c>
      <c r="E23" s="26" t="n">
        <f>111859.0</f>
        <v>111859.0</v>
      </c>
      <c r="F23" s="27" t="n">
        <f>0.882</f>
        <v>0.882</v>
      </c>
      <c r="G23" s="25" t="n">
        <f>11372152303217.0</f>
        <v>1.1372152303217E13</v>
      </c>
      <c r="H23" s="26" t="n">
        <f>1636143268917.0</f>
        <v>1.636143268917E12</v>
      </c>
      <c r="I23" s="27" t="n">
        <f>0.469</f>
        <v>0.469</v>
      </c>
    </row>
    <row r="24" spans="1:9" ht="24.9" customHeight="1">
      <c r="A24" s="41"/>
      <c r="B24" s="39" t="s">
        <v>22</v>
      </c>
      <c r="C24" s="16" t="s">
        <v>15</v>
      </c>
      <c r="D24" s="17" t="n">
        <f>29101.0</f>
        <v>29101.0</v>
      </c>
      <c r="E24" s="18" t="n">
        <f>0.0</f>
        <v>0.0</v>
      </c>
      <c r="F24" s="19" t="n">
        <f>0.033</f>
        <v>0.033</v>
      </c>
      <c r="G24" s="17" t="n">
        <f>282052634350.0</f>
        <v>2.8205263435E11</v>
      </c>
      <c r="H24" s="18" t="n">
        <f>0.0</f>
        <v>0.0</v>
      </c>
      <c r="I24" s="19" t="n">
        <f>0.032</f>
        <v>0.032</v>
      </c>
    </row>
    <row r="25" spans="1:9" ht="24.9" customHeight="1">
      <c r="A25" s="41"/>
      <c r="B25" s="39"/>
      <c r="C25" s="20" t="s">
        <v>16</v>
      </c>
      <c r="D25" s="21" t="n">
        <f>15811.0</f>
        <v>15811.0</v>
      </c>
      <c r="E25" s="22" t="n">
        <f>0.0</f>
        <v>0.0</v>
      </c>
      <c r="F25" s="23" t="n">
        <f>0.03</f>
        <v>0.03</v>
      </c>
      <c r="G25" s="21" t="n">
        <f>171026700600.0</f>
        <v>1.710267006E11</v>
      </c>
      <c r="H25" s="22" t="n">
        <f>0.0</f>
        <v>0.0</v>
      </c>
      <c r="I25" s="23" t="n">
        <f>0.02</f>
        <v>0.02</v>
      </c>
    </row>
    <row r="26" spans="1:9" ht="24.9" customHeight="1">
      <c r="A26" s="41"/>
      <c r="B26" s="39"/>
      <c r="C26" s="20" t="s">
        <v>17</v>
      </c>
      <c r="D26" s="21" t="n">
        <f>14900.0</f>
        <v>14900.0</v>
      </c>
      <c r="E26" s="22" t="n">
        <f>4.0</f>
        <v>4.0</v>
      </c>
      <c r="F26" s="23" t="n">
        <f>0.033</f>
        <v>0.033</v>
      </c>
      <c r="G26" s="21" t="n">
        <f>142279183600.0</f>
        <v>1.422791836E11</v>
      </c>
      <c r="H26" s="22" t="n">
        <f>17680000.0</f>
        <v>1.768E7</v>
      </c>
      <c r="I26" s="23" t="n">
        <f>0.021</f>
        <v>0.021</v>
      </c>
    </row>
    <row r="27" spans="1:9" ht="24.9" customHeight="1">
      <c r="A27" s="42"/>
      <c r="B27" s="39"/>
      <c r="C27" s="24" t="s">
        <v>18</v>
      </c>
      <c r="D27" s="25" t="n">
        <f>59812.0</f>
        <v>59812.0</v>
      </c>
      <c r="E27" s="26" t="n">
        <f>4.0</f>
        <v>4.0</v>
      </c>
      <c r="F27" s="27" t="n">
        <f>0.032</f>
        <v>0.032</v>
      </c>
      <c r="G27" s="25" t="n">
        <f>595358518550.0</f>
        <v>5.9535851855E11</v>
      </c>
      <c r="H27" s="26" t="n">
        <f>17680000.0</f>
        <v>1.768E7</v>
      </c>
      <c r="I27" s="27" t="n">
        <f>0.025</f>
        <v>0.025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879.0</f>
        <v>879.0</v>
      </c>
      <c r="E28" s="18" t="n">
        <f>135.0</f>
        <v>135.0</v>
      </c>
      <c r="F28" s="19" t="n">
        <f>0.001</f>
        <v>0.001</v>
      </c>
      <c r="G28" s="17" t="n">
        <f>3519824500.0</f>
        <v>3.5198245E9</v>
      </c>
      <c r="H28" s="18" t="n">
        <f>522242000.0</f>
        <v>5.22242E8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402.0</f>
        <v>402.0</v>
      </c>
      <c r="E29" s="22" t="n">
        <f>100.0</f>
        <v>100.0</v>
      </c>
      <c r="F29" s="23" t="n">
        <f>0.001</f>
        <v>0.001</v>
      </c>
      <c r="G29" s="21" t="n">
        <f>1372835500.0</f>
        <v>1.3728355E9</v>
      </c>
      <c r="H29" s="22" t="n">
        <f>136878000.0</f>
        <v>1.36878E8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1827.0</f>
        <v>1827.0</v>
      </c>
      <c r="E30" s="22" t="n">
        <f>300.0</f>
        <v>300.0</v>
      </c>
      <c r="F30" s="23" t="n">
        <f>0.004</f>
        <v>0.004</v>
      </c>
      <c r="G30" s="21" t="n">
        <f>6539192000.0</f>
        <v>6.539192E9</v>
      </c>
      <c r="H30" s="22" t="n">
        <f>423408000.0</f>
        <v>4.23408E8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3108.0</f>
        <v>3108.0</v>
      </c>
      <c r="E31" s="26" t="n">
        <f>535.0</f>
        <v>535.0</v>
      </c>
      <c r="F31" s="27" t="n">
        <f>0.002</f>
        <v>0.002</v>
      </c>
      <c r="G31" s="25" t="n">
        <f>11431852000.0</f>
        <v>1.1431852E10</v>
      </c>
      <c r="H31" s="26" t="n">
        <f>1082528000.0</f>
        <v>1.082528E9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46267.0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46267.0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34689</f>
        <v>34689.0</v>
      </c>
      <c r="E11" s="18" t="n">
        <f>7522</f>
        <v>7522.0</v>
      </c>
      <c r="F11" s="19" t="n">
        <f>1</f>
        <v>1.0</v>
      </c>
      <c r="G11" s="17" t="n">
        <f>3190463430</f>
        <v>3.19046343E9</v>
      </c>
      <c r="H11" s="18" t="n">
        <f>1619591230</f>
        <v>1.61959123E9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52847</f>
        <v>52847.0</v>
      </c>
      <c r="E12" s="22" t="n">
        <f>5378</f>
        <v>5378.0</v>
      </c>
      <c r="F12" s="23" t="n">
        <f>1</f>
        <v>1.0</v>
      </c>
      <c r="G12" s="21" t="n">
        <f>5717541209</f>
        <v>5.717541209E9</v>
      </c>
      <c r="H12" s="22" t="n">
        <f>3142255940</f>
        <v>3.14225594E9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50529</f>
        <v>50529.0</v>
      </c>
      <c r="E13" s="22" t="n">
        <f>22866</f>
        <v>22866.0</v>
      </c>
      <c r="F13" s="23" t="n">
        <f>1</f>
        <v>1.0</v>
      </c>
      <c r="G13" s="21" t="n">
        <f>22216046610</f>
        <v>2.221604661E10</v>
      </c>
      <c r="H13" s="22" t="n">
        <f>18674004766</f>
        <v>1.8674004766E10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138065</f>
        <v>138065.0</v>
      </c>
      <c r="E14" s="26" t="n">
        <f>35766</f>
        <v>35766.0</v>
      </c>
      <c r="F14" s="27" t="n">
        <f>1</f>
        <v>1.0</v>
      </c>
      <c r="G14" s="25" t="n">
        <f>31124051249</f>
        <v>3.1124051249E10</v>
      </c>
      <c r="H14" s="26" t="n">
        <f>23435851936</f>
        <v>2.3435851936E10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183</f>
        <v>183.0</v>
      </c>
      <c r="E16" s="22" t="n">
        <f>75</f>
        <v>75.0</v>
      </c>
      <c r="F16" s="23" t="n">
        <f>0.003</f>
        <v>0.003</v>
      </c>
      <c r="G16" s="21" t="n">
        <f>38130000</f>
        <v>3.813E7</v>
      </c>
      <c r="H16" s="22" t="n">
        <f>10500000</f>
        <v>1.05E7</v>
      </c>
      <c r="I16" s="23" t="n">
        <f>0.007</f>
        <v>0.007</v>
      </c>
    </row>
    <row r="17" spans="1:9" ht="24.9" customHeight="1">
      <c r="A17" s="41"/>
      <c r="B17" s="39"/>
      <c r="C17" s="20" t="s">
        <v>17</v>
      </c>
      <c r="D17" s="21" t="n">
        <f>30</f>
        <v>30.0</v>
      </c>
      <c r="E17" s="22" t="n">
        <f>0</f>
        <v>0.0</v>
      </c>
      <c r="F17" s="23" t="n">
        <f>0.001</f>
        <v>0.001</v>
      </c>
      <c r="G17" s="21" t="n">
        <f>1500000</f>
        <v>1500000.0</v>
      </c>
      <c r="H17" s="22" t="n">
        <f>0</f>
        <v>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213</f>
        <v>213.0</v>
      </c>
      <c r="E18" s="26" t="n">
        <f>75</f>
        <v>75.0</v>
      </c>
      <c r="F18" s="27" t="n">
        <f>0.002</f>
        <v>0.002</v>
      </c>
      <c r="G18" s="25" t="n">
        <f>39630000</f>
        <v>3.963E7</v>
      </c>
      <c r="H18" s="26" t="n">
        <f>10500000</f>
        <v>1.05E7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34689</f>
        <v>34689.0</v>
      </c>
      <c r="E19" s="18" t="n">
        <f>7522</f>
        <v>7522.0</v>
      </c>
      <c r="F19" s="19" t="n">
        <f>1</f>
        <v>1.0</v>
      </c>
      <c r="G19" s="17" t="n">
        <f>3190463430</f>
        <v>3.19046343E9</v>
      </c>
      <c r="H19" s="18" t="n">
        <f>1619591230</f>
        <v>1.61959123E9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29747</f>
        <v>29747.0</v>
      </c>
      <c r="E20" s="22" t="n">
        <f>5303</f>
        <v>5303.0</v>
      </c>
      <c r="F20" s="23" t="n">
        <f>0.563</f>
        <v>0.563</v>
      </c>
      <c r="G20" s="21" t="n">
        <f>5657998440</f>
        <v>5.65799844E9</v>
      </c>
      <c r="H20" s="22" t="n">
        <f>3131755940</f>
        <v>3.13175594E9</v>
      </c>
      <c r="I20" s="23" t="n">
        <f>0.99</f>
        <v>0.99</v>
      </c>
    </row>
    <row r="21" spans="1:9" ht="24.9" customHeight="1">
      <c r="A21" s="41"/>
      <c r="B21" s="39"/>
      <c r="C21" s="20" t="s">
        <v>17</v>
      </c>
      <c r="D21" s="21" t="n">
        <f>46269</f>
        <v>46269.0</v>
      </c>
      <c r="E21" s="22" t="n">
        <f>22866</f>
        <v>22866.0</v>
      </c>
      <c r="F21" s="23" t="n">
        <f>0.916</f>
        <v>0.916</v>
      </c>
      <c r="G21" s="21" t="n">
        <f>22206526366</f>
        <v>2.2206526366E10</v>
      </c>
      <c r="H21" s="22" t="n">
        <f>18674004766</f>
        <v>1.8674004766E10</v>
      </c>
      <c r="I21" s="23" t="n">
        <f>1</f>
        <v>1.0</v>
      </c>
    </row>
    <row r="22" spans="1:9" ht="24.9" customHeight="1">
      <c r="A22" s="41"/>
      <c r="B22" s="39"/>
      <c r="C22" s="24" t="s">
        <v>18</v>
      </c>
      <c r="D22" s="25" t="n">
        <f>110705</f>
        <v>110705.0</v>
      </c>
      <c r="E22" s="26" t="n">
        <f>35691</f>
        <v>35691.0</v>
      </c>
      <c r="F22" s="27" t="n">
        <f>0.802</f>
        <v>0.802</v>
      </c>
      <c r="G22" s="25" t="n">
        <f>31054988236</f>
        <v>3.1054988236E10</v>
      </c>
      <c r="H22" s="26" t="n">
        <f>23425351936</f>
        <v>2.3425351936E10</v>
      </c>
      <c r="I22" s="27" t="n">
        <f>0.998</f>
        <v>0.998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22917</f>
        <v>22917.0</v>
      </c>
      <c r="E24" s="22" t="n">
        <f>0</f>
        <v>0.0</v>
      </c>
      <c r="F24" s="23" t="n">
        <f>0.434</f>
        <v>0.434</v>
      </c>
      <c r="G24" s="21" t="n">
        <f>21412769</f>
        <v>2.1412769E7</v>
      </c>
      <c r="H24" s="22" t="n">
        <f>0</f>
        <v>0.0</v>
      </c>
      <c r="I24" s="23" t="n">
        <f>0.004</f>
        <v>0.004</v>
      </c>
    </row>
    <row r="25" spans="1:9" ht="24.9" customHeight="1">
      <c r="A25" s="41"/>
      <c r="B25" s="39"/>
      <c r="C25" s="20" t="s">
        <v>17</v>
      </c>
      <c r="D25" s="21" t="n">
        <f>4230</f>
        <v>4230.0</v>
      </c>
      <c r="E25" s="22" t="n">
        <f>0</f>
        <v>0.0</v>
      </c>
      <c r="F25" s="23" t="n">
        <f>0.084</f>
        <v>0.084</v>
      </c>
      <c r="G25" s="21" t="n">
        <f>8020244</f>
        <v>8020244.0</v>
      </c>
      <c r="H25" s="22" t="n">
        <f>0</f>
        <v>0.0</v>
      </c>
      <c r="I25" s="23" t="n">
        <f>0</f>
        <v>0.0</v>
      </c>
    </row>
    <row r="26" spans="1:9" ht="24.9" customHeight="1">
      <c r="A26" s="41"/>
      <c r="B26" s="39"/>
      <c r="C26" s="24" t="s">
        <v>18</v>
      </c>
      <c r="D26" s="25" t="n">
        <f>27147</f>
        <v>27147.0</v>
      </c>
      <c r="E26" s="26" t="n">
        <f>0</f>
        <v>0.0</v>
      </c>
      <c r="F26" s="27" t="n">
        <f>0.197</f>
        <v>0.197</v>
      </c>
      <c r="G26" s="25" t="n">
        <f>29433013</f>
        <v>2.9433013E7</v>
      </c>
      <c r="H26" s="26" t="n">
        <f>0</f>
        <v>0.0</v>
      </c>
      <c r="I26" s="27" t="n">
        <f>0.001</f>
        <v>0.001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46267.0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46267.0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13485.0</v>
      </c>
      <c r="F12" s="18" t="n">
        <f>1320</f>
        <v>1320.0</v>
      </c>
      <c r="G12" s="17" t="n">
        <v>8.7885400202E11</v>
      </c>
      <c r="H12" s="18" t="n">
        <f>86155464020</f>
        <v>8.615546402E10</v>
      </c>
    </row>
    <row r="13" spans="1:8" ht="24.9" customHeight="1">
      <c r="A13" s="51"/>
      <c r="B13" s="57"/>
      <c r="C13" s="39"/>
      <c r="D13" s="20" t="s">
        <v>16</v>
      </c>
      <c r="E13" s="21" t="n">
        <v>12254.0</v>
      </c>
      <c r="F13" s="22" t="n">
        <f>1216</f>
        <v>1216.0</v>
      </c>
      <c r="G13" s="21" t="n">
        <v>7.91859183E11</v>
      </c>
      <c r="H13" s="22" t="n">
        <f>78704151000</f>
        <v>7.8704151E10</v>
      </c>
    </row>
    <row r="14" spans="1:8" ht="24.9" customHeight="1">
      <c r="A14" s="51"/>
      <c r="B14" s="57"/>
      <c r="C14" s="39"/>
      <c r="D14" s="20" t="s">
        <v>17</v>
      </c>
      <c r="E14" s="21" t="n">
        <v>21489.0</v>
      </c>
      <c r="F14" s="22" t="n">
        <f>5946</f>
        <v>5946.0</v>
      </c>
      <c r="G14" s="21" t="n">
        <v>1.38281844485E12</v>
      </c>
      <c r="H14" s="22" t="n">
        <f>382708858850</f>
        <v>3.8270885885E11</v>
      </c>
    </row>
    <row r="15" spans="1:8" ht="24.9" customHeight="1">
      <c r="A15" s="51"/>
      <c r="B15" s="57"/>
      <c r="C15" s="39"/>
      <c r="D15" s="24" t="s">
        <v>18</v>
      </c>
      <c r="E15" s="25" t="n">
        <v>47228.0</v>
      </c>
      <c r="F15" s="26" t="n">
        <f>8482</f>
        <v>8482.0</v>
      </c>
      <c r="G15" s="25" t="n">
        <v>3.05353162987E12</v>
      </c>
      <c r="H15" s="26" t="n">
        <f>547568473870</f>
        <v>5.4756847387E11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327863.0</v>
      </c>
      <c r="F16" s="18" t="n">
        <f>43094</f>
        <v>43094.0</v>
      </c>
      <c r="G16" s="17" t="n">
        <v>2.13640865985E12</v>
      </c>
      <c r="H16" s="18" t="n">
        <f>280790066650</f>
        <v>2.8079006665E11</v>
      </c>
    </row>
    <row r="17" spans="1:8" ht="24.9" customHeight="1">
      <c r="A17" s="51"/>
      <c r="B17" s="57"/>
      <c r="C17" s="39"/>
      <c r="D17" s="20" t="s">
        <v>16</v>
      </c>
      <c r="E17" s="21" t="n">
        <v>184769.0</v>
      </c>
      <c r="F17" s="22" t="n">
        <f>17763</f>
        <v>17763.0</v>
      </c>
      <c r="G17" s="21" t="n">
        <v>1.19383045194E12</v>
      </c>
      <c r="H17" s="22" t="n">
        <f>114723035940</f>
        <v>1.1472303594E11</v>
      </c>
    </row>
    <row r="18" spans="1:8" ht="24.9" customHeight="1">
      <c r="A18" s="51"/>
      <c r="B18" s="57"/>
      <c r="C18" s="39"/>
      <c r="D18" s="20" t="s">
        <v>17</v>
      </c>
      <c r="E18" s="21" t="n">
        <v>163215.0</v>
      </c>
      <c r="F18" s="22" t="n">
        <f>15026</f>
        <v>15026.0</v>
      </c>
      <c r="G18" s="21" t="n">
        <v>1.050451839622E12</v>
      </c>
      <c r="H18" s="22" t="n">
        <f>96722151922</f>
        <v>9.6722151922E10</v>
      </c>
    </row>
    <row r="19" spans="1:8" ht="24.9" customHeight="1">
      <c r="A19" s="51"/>
      <c r="B19" s="57"/>
      <c r="C19" s="39"/>
      <c r="D19" s="24" t="s">
        <v>18</v>
      </c>
      <c r="E19" s="25" t="n">
        <v>675847.0</v>
      </c>
      <c r="F19" s="26" t="n">
        <f>75883</f>
        <v>75883.0</v>
      </c>
      <c r="G19" s="25" t="n">
        <v>4.380690951412E12</v>
      </c>
      <c r="H19" s="26" t="n">
        <f>492235254512</f>
        <v>4.92235254512E11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433163.0</v>
      </c>
      <c r="F20" s="18" t="str">
        <f>"－"</f>
        <v>－</v>
      </c>
      <c r="G20" s="17" t="n">
        <v>2.822385958E11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199057.0</v>
      </c>
      <c r="F21" s="22" t="str">
        <f>"－"</f>
        <v>－</v>
      </c>
      <c r="G21" s="21" t="n">
        <v>1.2858468015E11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157933.0</v>
      </c>
      <c r="F22" s="22" t="str">
        <f>"－"</f>
        <v>－</v>
      </c>
      <c r="G22" s="21" t="n">
        <v>1.016298335E11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790153.0</v>
      </c>
      <c r="F23" s="26" t="str">
        <f>"－"</f>
        <v>－</v>
      </c>
      <c r="G23" s="25" t="n">
        <v>5.1245310945E11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20668.0</v>
      </c>
      <c r="F24" s="18" t="n">
        <f>61</f>
        <v>61.0</v>
      </c>
      <c r="G24" s="17" t="n">
        <v>8.53594847E11</v>
      </c>
      <c r="H24" s="18" t="n">
        <f>2531697000</f>
        <v>2.531697E9</v>
      </c>
    </row>
    <row r="25" spans="1:8" ht="24.9" customHeight="1">
      <c r="A25" s="51"/>
      <c r="B25" s="57"/>
      <c r="C25" s="39"/>
      <c r="D25" s="20" t="s">
        <v>16</v>
      </c>
      <c r="E25" s="21" t="n">
        <v>21375.0</v>
      </c>
      <c r="F25" s="22" t="n">
        <f>277</f>
        <v>277.0</v>
      </c>
      <c r="G25" s="21" t="n">
        <v>8.7711871E11</v>
      </c>
      <c r="H25" s="22" t="n">
        <f>11388374000</f>
        <v>1.1388374E10</v>
      </c>
    </row>
    <row r="26" spans="1:8" ht="24.9" customHeight="1">
      <c r="A26" s="51"/>
      <c r="B26" s="57"/>
      <c r="C26" s="39"/>
      <c r="D26" s="20" t="s">
        <v>17</v>
      </c>
      <c r="E26" s="21" t="n">
        <v>38000.0</v>
      </c>
      <c r="F26" s="22" t="n">
        <f>13444</f>
        <v>13444.0</v>
      </c>
      <c r="G26" s="21" t="n">
        <v>1.551980203E12</v>
      </c>
      <c r="H26" s="22" t="n">
        <f>549164643000</f>
        <v>5.49164643E11</v>
      </c>
    </row>
    <row r="27" spans="1:8" ht="24.9" customHeight="1">
      <c r="A27" s="51"/>
      <c r="B27" s="57"/>
      <c r="C27" s="39"/>
      <c r="D27" s="24" t="s">
        <v>18</v>
      </c>
      <c r="E27" s="25" t="n">
        <v>80043.0</v>
      </c>
      <c r="F27" s="26" t="n">
        <f>13782</f>
        <v>13782.0</v>
      </c>
      <c r="G27" s="25" t="n">
        <v>3.28269376E12</v>
      </c>
      <c r="H27" s="26" t="n">
        <f>563084714000</f>
        <v>5.63084714E11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7592.0</v>
      </c>
      <c r="F28" s="18" t="n">
        <f>668</f>
        <v>668.0</v>
      </c>
      <c r="G28" s="17" t="n">
        <v>3.136571625E10</v>
      </c>
      <c r="H28" s="18" t="n">
        <f>2761770900</f>
        <v>2.7617709E9</v>
      </c>
    </row>
    <row r="29" spans="1:8" ht="24.9" customHeight="1">
      <c r="A29" s="51"/>
      <c r="B29" s="57"/>
      <c r="C29" s="39"/>
      <c r="D29" s="20" t="s">
        <v>16</v>
      </c>
      <c r="E29" s="21" t="n">
        <v>8138.0</v>
      </c>
      <c r="F29" s="22" t="n">
        <f>352</f>
        <v>352.0</v>
      </c>
      <c r="G29" s="21" t="n">
        <v>3.344084305E10</v>
      </c>
      <c r="H29" s="22" t="n">
        <f>1445113050</f>
        <v>1.44511305E9</v>
      </c>
    </row>
    <row r="30" spans="1:8" ht="24.9" customHeight="1">
      <c r="A30" s="51"/>
      <c r="B30" s="57"/>
      <c r="C30" s="39"/>
      <c r="D30" s="20" t="s">
        <v>17</v>
      </c>
      <c r="E30" s="21" t="n">
        <v>7836.0</v>
      </c>
      <c r="F30" s="22" t="n">
        <f>170</f>
        <v>170.0</v>
      </c>
      <c r="G30" s="21" t="n">
        <v>3.1993939075E10</v>
      </c>
      <c r="H30" s="22" t="n">
        <f>694414575</f>
        <v>6.94414575E8</v>
      </c>
    </row>
    <row r="31" spans="1:8" ht="24.9" customHeight="1">
      <c r="A31" s="51"/>
      <c r="B31" s="57"/>
      <c r="C31" s="39"/>
      <c r="D31" s="24" t="s">
        <v>18</v>
      </c>
      <c r="E31" s="25" t="n">
        <v>23566.0</v>
      </c>
      <c r="F31" s="26" t="n">
        <f>1190</f>
        <v>1190.0</v>
      </c>
      <c r="G31" s="25" t="n">
        <v>9.6800498375E10</v>
      </c>
      <c r="H31" s="26" t="n">
        <f>4901298525</f>
        <v>4.901298525E9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352.0</v>
      </c>
      <c r="F36" s="18" t="n">
        <f>0</f>
        <v>0.0</v>
      </c>
      <c r="G36" s="17" t="n">
        <v>1.3105115E9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941.0</v>
      </c>
      <c r="F37" s="22" t="n">
        <f>2</f>
        <v>2.0</v>
      </c>
      <c r="G37" s="21" t="n">
        <v>3.47879899E9</v>
      </c>
      <c r="H37" s="22" t="n">
        <f>7379490</f>
        <v>7379490.0</v>
      </c>
    </row>
    <row r="38" spans="1:8" ht="24.9" customHeight="1">
      <c r="A38" s="51"/>
      <c r="B38" s="57"/>
      <c r="C38" s="39"/>
      <c r="D38" s="20" t="s">
        <v>17</v>
      </c>
      <c r="E38" s="21" t="n">
        <v>1800.0</v>
      </c>
      <c r="F38" s="22" t="n">
        <f>4</f>
        <v>4.0</v>
      </c>
      <c r="G38" s="21" t="n">
        <v>6.622302E9</v>
      </c>
      <c r="H38" s="22" t="n">
        <f>14728000</f>
        <v>1.4728E7</v>
      </c>
    </row>
    <row r="39" spans="1:8" ht="24.9" customHeight="1">
      <c r="A39" s="51"/>
      <c r="B39" s="57"/>
      <c r="C39" s="39"/>
      <c r="D39" s="24" t="s">
        <v>18</v>
      </c>
      <c r="E39" s="25" t="n">
        <v>3093.0</v>
      </c>
      <c r="F39" s="26" t="n">
        <f>6</f>
        <v>6.0</v>
      </c>
      <c r="G39" s="25" t="n">
        <v>1.141161249E10</v>
      </c>
      <c r="H39" s="26" t="n">
        <f>22107490</f>
        <v>2.210749E7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1031.0</v>
      </c>
      <c r="F46" s="22" t="n">
        <f>1031</f>
        <v>1031.0</v>
      </c>
      <c r="G46" s="21" t="n">
        <v>7.93581327E9</v>
      </c>
      <c r="H46" s="22" t="n">
        <f>7935813270</f>
        <v>7.93581327E9</v>
      </c>
    </row>
    <row r="47" spans="1:8" ht="24.9" customHeight="1">
      <c r="A47" s="51"/>
      <c r="B47" s="57"/>
      <c r="C47" s="39"/>
      <c r="D47" s="24" t="s">
        <v>18</v>
      </c>
      <c r="E47" s="25" t="n">
        <v>1031.0</v>
      </c>
      <c r="F47" s="26" t="n">
        <f>1031</f>
        <v>1031.0</v>
      </c>
      <c r="G47" s="25" t="n">
        <v>7.93581327E9</v>
      </c>
      <c r="H47" s="26" t="n">
        <f>7935813270</f>
        <v>7.93581327E9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302.0</v>
      </c>
      <c r="F48" s="18" t="n">
        <f>300</f>
        <v>300.0</v>
      </c>
      <c r="G48" s="17" t="n">
        <v>5.424048E8</v>
      </c>
      <c r="H48" s="18" t="n">
        <f>538831800</f>
        <v>5.388318E8</v>
      </c>
    </row>
    <row r="49" spans="1:8" ht="24.9" customHeight="1">
      <c r="A49" s="51"/>
      <c r="B49" s="57"/>
      <c r="C49" s="39"/>
      <c r="D49" s="20" t="s">
        <v>16</v>
      </c>
      <c r="E49" s="21" t="n">
        <v>105.0</v>
      </c>
      <c r="F49" s="22" t="n">
        <f>0</f>
        <v>0.0</v>
      </c>
      <c r="G49" s="21" t="n">
        <v>1.870825E8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11140.0</v>
      </c>
      <c r="F50" s="22" t="n">
        <f>11041</f>
        <v>11041.0</v>
      </c>
      <c r="G50" s="21" t="n">
        <v>1.985389575E10</v>
      </c>
      <c r="H50" s="22" t="n">
        <f>19676915750</f>
        <v>1.967691575E10</v>
      </c>
    </row>
    <row r="51" spans="1:8" ht="24.9" customHeight="1">
      <c r="A51" s="51"/>
      <c r="B51" s="57"/>
      <c r="C51" s="39"/>
      <c r="D51" s="24" t="s">
        <v>18</v>
      </c>
      <c r="E51" s="25" t="n">
        <v>11547.0</v>
      </c>
      <c r="F51" s="26" t="n">
        <f>11341</f>
        <v>11341.0</v>
      </c>
      <c r="G51" s="25" t="n">
        <v>2.058338305E10</v>
      </c>
      <c r="H51" s="26" t="n">
        <f>20215747550</f>
        <v>2.021574755E10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1125.0</v>
      </c>
      <c r="F56" s="18" t="n">
        <f>53</f>
        <v>53.0</v>
      </c>
      <c r="G56" s="17" t="n">
        <v>8.830834E8</v>
      </c>
      <c r="H56" s="18" t="n">
        <f>41679400</f>
        <v>4.16794E7</v>
      </c>
    </row>
    <row r="57" spans="1:8" ht="24.9" customHeight="1">
      <c r="A57" s="51"/>
      <c r="B57" s="57"/>
      <c r="C57" s="39"/>
      <c r="D57" s="20" t="s">
        <v>16</v>
      </c>
      <c r="E57" s="21" t="n">
        <v>1182.0</v>
      </c>
      <c r="F57" s="22" t="n">
        <f>22</f>
        <v>22.0</v>
      </c>
      <c r="G57" s="21" t="n">
        <v>9.181642E8</v>
      </c>
      <c r="H57" s="22" t="n">
        <f>17042200</f>
        <v>1.70422E7</v>
      </c>
    </row>
    <row r="58" spans="1:8" ht="24.9" customHeight="1">
      <c r="A58" s="51"/>
      <c r="B58" s="57"/>
      <c r="C58" s="39"/>
      <c r="D58" s="20" t="s">
        <v>17</v>
      </c>
      <c r="E58" s="21" t="n">
        <v>1212.0</v>
      </c>
      <c r="F58" s="22" t="n">
        <f>54</f>
        <v>54.0</v>
      </c>
      <c r="G58" s="21" t="n">
        <v>9.3565502E8</v>
      </c>
      <c r="H58" s="22" t="n">
        <f>41781020</f>
        <v>4.178102E7</v>
      </c>
    </row>
    <row r="59" spans="1:8" ht="24.9" customHeight="1">
      <c r="A59" s="51"/>
      <c r="B59" s="57"/>
      <c r="C59" s="39"/>
      <c r="D59" s="24" t="s">
        <v>18</v>
      </c>
      <c r="E59" s="25" t="n">
        <v>3519.0</v>
      </c>
      <c r="F59" s="26" t="n">
        <f>129</f>
        <v>129.0</v>
      </c>
      <c r="G59" s="25" t="n">
        <v>2.73690262E9</v>
      </c>
      <c r="H59" s="26" t="n">
        <f>100502620</f>
        <v>1.0050262E8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214.0</v>
      </c>
      <c r="F60" s="18" t="n">
        <f>4</f>
        <v>4.0</v>
      </c>
      <c r="G60" s="17" t="n">
        <v>1.13400218E9</v>
      </c>
      <c r="H60" s="18" t="n">
        <f>21211880</f>
        <v>2.121188E7</v>
      </c>
    </row>
    <row r="61" spans="1:8" ht="24.9" customHeight="1">
      <c r="A61" s="51"/>
      <c r="B61" s="57"/>
      <c r="C61" s="39"/>
      <c r="D61" s="20" t="s">
        <v>16</v>
      </c>
      <c r="E61" s="21" t="n">
        <v>18.0</v>
      </c>
      <c r="F61" s="22" t="n">
        <f>1</f>
        <v>1.0</v>
      </c>
      <c r="G61" s="21" t="n">
        <v>9.515471E7</v>
      </c>
      <c r="H61" s="22" t="n">
        <f>5311710</f>
        <v>5311710.0</v>
      </c>
    </row>
    <row r="62" spans="1:8" ht="24.9" customHeight="1">
      <c r="A62" s="51"/>
      <c r="B62" s="57"/>
      <c r="C62" s="39"/>
      <c r="D62" s="20" t="s">
        <v>17</v>
      </c>
      <c r="E62" s="21" t="n">
        <v>56.0</v>
      </c>
      <c r="F62" s="22" t="n">
        <f>10</f>
        <v>10.0</v>
      </c>
      <c r="G62" s="21" t="n">
        <v>2.9591629E8</v>
      </c>
      <c r="H62" s="22" t="n">
        <f>52833490</f>
        <v>5.283349E7</v>
      </c>
    </row>
    <row r="63" spans="1:8" ht="24.9" customHeight="1">
      <c r="A63" s="51"/>
      <c r="B63" s="57"/>
      <c r="C63" s="39"/>
      <c r="D63" s="24" t="s">
        <v>18</v>
      </c>
      <c r="E63" s="25" t="n">
        <v>288.0</v>
      </c>
      <c r="F63" s="26" t="n">
        <f>15</f>
        <v>15.0</v>
      </c>
      <c r="G63" s="25" t="n">
        <v>1.52507318E9</v>
      </c>
      <c r="H63" s="26" t="n">
        <f>79357080</f>
        <v>7.935708E7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16.0</v>
      </c>
      <c r="F77" s="22" t="n">
        <f>0</f>
        <v>0.0</v>
      </c>
      <c r="G77" s="21" t="n">
        <v>4561500.0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15.0</v>
      </c>
      <c r="F78" s="22" t="n">
        <f>0</f>
        <v>0.0</v>
      </c>
      <c r="G78" s="21" t="n">
        <v>4338500.0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31.0</v>
      </c>
      <c r="F79" s="26" t="n">
        <f>0</f>
        <v>0.0</v>
      </c>
      <c r="G79" s="25" t="n">
        <v>8900000.0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582.0</v>
      </c>
      <c r="F92" s="18" t="n">
        <f>0</f>
        <v>0.0</v>
      </c>
      <c r="G92" s="17" t="n">
        <v>9.30973E8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0.0</v>
      </c>
      <c r="F93" s="22" t="n">
        <f>0</f>
        <v>0.0</v>
      </c>
      <c r="G93" s="21" t="n">
        <v>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532.0</v>
      </c>
      <c r="F94" s="22" t="n">
        <f>0</f>
        <v>0.0</v>
      </c>
      <c r="G94" s="21" t="n">
        <v>8.496965E8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1114.0</v>
      </c>
      <c r="F95" s="26" t="n">
        <f>0</f>
        <v>0.0</v>
      </c>
      <c r="G95" s="25" t="n">
        <v>1.7806695E9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0.0</v>
      </c>
      <c r="F96" s="18" t="n">
        <f>0</f>
        <v>0.0</v>
      </c>
      <c r="G96" s="17" t="n">
        <v>0.0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0.0</v>
      </c>
      <c r="F99" s="26" t="n">
        <f>0</f>
        <v>0.0</v>
      </c>
      <c r="G99" s="25" t="n">
        <v>0.0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0.0</v>
      </c>
      <c r="F103" s="26" t="n">
        <f>0</f>
        <v>0.0</v>
      </c>
      <c r="G103" s="25" t="n">
        <v>0.0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33305.0</v>
      </c>
      <c r="F108" s="18" t="n">
        <f>17488</f>
        <v>17488.0</v>
      </c>
      <c r="G108" s="17" t="n">
        <v>4.174189345E12</v>
      </c>
      <c r="H108" s="18" t="n">
        <f>2189977265000</f>
        <v>2.189977265E12</v>
      </c>
    </row>
    <row r="109" spans="1:8" ht="24.9" customHeight="1">
      <c r="A109" s="51"/>
      <c r="B109" s="57"/>
      <c r="C109" s="39"/>
      <c r="D109" s="20" t="s">
        <v>16</v>
      </c>
      <c r="E109" s="21" t="n">
        <v>41445.0</v>
      </c>
      <c r="F109" s="22" t="n">
        <f>941</f>
        <v>941.0</v>
      </c>
      <c r="G109" s="21" t="n">
        <v>5.18668899E12</v>
      </c>
      <c r="H109" s="22" t="n">
        <f>117997100000</f>
        <v>1.179971E11</v>
      </c>
    </row>
    <row r="110" spans="1:8" ht="24.9" customHeight="1">
      <c r="A110" s="51"/>
      <c r="B110" s="57"/>
      <c r="C110" s="39"/>
      <c r="D110" s="20" t="s">
        <v>17</v>
      </c>
      <c r="E110" s="21" t="n">
        <v>17940.0</v>
      </c>
      <c r="F110" s="22" t="n">
        <f>2229</f>
        <v>2229.0</v>
      </c>
      <c r="G110" s="21" t="n">
        <v>2.247931045E12</v>
      </c>
      <c r="H110" s="22" t="n">
        <f>279378565000</f>
        <v>2.79378565E11</v>
      </c>
    </row>
    <row r="111" spans="1:8" ht="24.9" customHeight="1">
      <c r="A111" s="51"/>
      <c r="B111" s="57"/>
      <c r="C111" s="39"/>
      <c r="D111" s="24" t="s">
        <v>18</v>
      </c>
      <c r="E111" s="25" t="n">
        <v>92690.0</v>
      </c>
      <c r="F111" s="26" t="n">
        <f>20658</f>
        <v>20658.0</v>
      </c>
      <c r="G111" s="25" t="n">
        <v>1.160880938E13</v>
      </c>
      <c r="H111" s="26" t="n">
        <f>2587352930000</f>
        <v>2.58735293E12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1.0</v>
      </c>
      <c r="F112" s="18" t="n">
        <f>0</f>
        <v>0.0</v>
      </c>
      <c r="G112" s="17" t="n">
        <v>1.2543E7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1511.0</v>
      </c>
      <c r="F113" s="22" t="n">
        <f>0</f>
        <v>0.0</v>
      </c>
      <c r="G113" s="21" t="n">
        <v>1.8946689E10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60.0</v>
      </c>
      <c r="F114" s="22" t="n">
        <f>0</f>
        <v>0.0</v>
      </c>
      <c r="G114" s="21" t="n">
        <v>7.5156E8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1572.0</v>
      </c>
      <c r="F115" s="26" t="n">
        <f>0</f>
        <v>0.0</v>
      </c>
      <c r="G115" s="25" t="n">
        <v>1.9710792E10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39000.0</v>
      </c>
      <c r="F117" s="22" t="n">
        <f>39000</f>
        <v>39000.0</v>
      </c>
      <c r="G117" s="21" t="n">
        <v>3.440775E11</v>
      </c>
      <c r="H117" s="22" t="n">
        <f>344077500000</f>
        <v>3.440775E11</v>
      </c>
    </row>
    <row r="118" spans="1:8" ht="24.9" customHeight="1">
      <c r="A118" s="51"/>
      <c r="B118" s="57"/>
      <c r="C118" s="39"/>
      <c r="D118" s="20" t="s">
        <v>17</v>
      </c>
      <c r="E118" s="21" t="n">
        <v>15411.0</v>
      </c>
      <c r="F118" s="22" t="n">
        <f>14186</f>
        <v>14186.0</v>
      </c>
      <c r="G118" s="21" t="n">
        <v>1.35972905E11</v>
      </c>
      <c r="H118" s="22" t="n">
        <f>125154985000</f>
        <v>1.25154985E11</v>
      </c>
    </row>
    <row r="119" spans="1:8" ht="24.9" customHeight="1">
      <c r="A119" s="51"/>
      <c r="B119" s="58"/>
      <c r="C119" s="39"/>
      <c r="D119" s="24" t="s">
        <v>18</v>
      </c>
      <c r="E119" s="25" t="n">
        <v>54411.0</v>
      </c>
      <c r="F119" s="26" t="n">
        <f>53186</f>
        <v>53186.0</v>
      </c>
      <c r="G119" s="25" t="n">
        <v>4.80050405E11</v>
      </c>
      <c r="H119" s="26" t="n">
        <f>469232485000</f>
        <v>4.69232485E11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4489.0</v>
      </c>
      <c r="F120" s="18" t="n">
        <f>0</f>
        <v>0.0</v>
      </c>
      <c r="G120" s="17" t="n">
        <v>1.1046165375E11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204.0</v>
      </c>
      <c r="F121" s="22" t="n">
        <f>0</f>
        <v>0.0</v>
      </c>
      <c r="G121" s="21" t="n">
        <v>5.032754375E9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1818.0</v>
      </c>
      <c r="F122" s="22" t="n">
        <f>0</f>
        <v>0.0</v>
      </c>
      <c r="G122" s="21" t="n">
        <v>4.479804125E10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6511.0</v>
      </c>
      <c r="F123" s="26" t="n">
        <f>0</f>
        <v>0.0</v>
      </c>
      <c r="G123" s="25" t="n">
        <v>1.60292449375E11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10120.0</v>
      </c>
      <c r="F124" s="18" t="n">
        <f>0</f>
        <v>0.0</v>
      </c>
      <c r="G124" s="17" t="n">
        <v>2.34176289E11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6353.0</v>
      </c>
      <c r="F125" s="22" t="n">
        <f>0</f>
        <v>0.0</v>
      </c>
      <c r="G125" s="21" t="n">
        <v>1.45384457E11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5247.0</v>
      </c>
      <c r="F126" s="22" t="n">
        <f>0</f>
        <v>0.0</v>
      </c>
      <c r="G126" s="21" t="n">
        <v>1.19617685E11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21720.0</v>
      </c>
      <c r="F127" s="26" t="n">
        <f>0</f>
        <v>0.0</v>
      </c>
      <c r="G127" s="25" t="n">
        <v>4.99178431E11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297.0</v>
      </c>
      <c r="F128" s="18" t="n">
        <f>0</f>
        <v>0.0</v>
      </c>
      <c r="G128" s="17" t="n">
        <v>6.788197E8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200.0</v>
      </c>
      <c r="F129" s="22" t="n">
        <f>0</f>
        <v>0.0</v>
      </c>
      <c r="G129" s="21" t="n">
        <v>4.520741E8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534.0</v>
      </c>
      <c r="F130" s="22" t="n">
        <f>0</f>
        <v>0.0</v>
      </c>
      <c r="G130" s="21" t="n">
        <v>1.2012653E9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1031.0</v>
      </c>
      <c r="F131" s="26" t="n">
        <f>0</f>
        <v>0.0</v>
      </c>
      <c r="G131" s="25" t="n">
        <v>2.3321591E9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15849.0</v>
      </c>
      <c r="F132" s="18" t="n">
        <f>0</f>
        <v>0.0</v>
      </c>
      <c r="G132" s="17" t="n">
        <v>3.67995226E10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5418.0</v>
      </c>
      <c r="F133" s="22" t="n">
        <f>0</f>
        <v>0.0</v>
      </c>
      <c r="G133" s="21" t="n">
        <v>1.24450139E10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5739.0</v>
      </c>
      <c r="F134" s="22" t="n">
        <f>0</f>
        <v>0.0</v>
      </c>
      <c r="G134" s="21" t="n">
        <v>1.3126372E10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27006.0</v>
      </c>
      <c r="F135" s="26" t="n">
        <f>0</f>
        <v>0.0</v>
      </c>
      <c r="G135" s="25" t="n">
        <v>6.23709085E10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198.0</v>
      </c>
      <c r="F136" s="18" t="n">
        <f>0</f>
        <v>0.0</v>
      </c>
      <c r="G136" s="17" t="n">
        <v>4.473689E8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113.0</v>
      </c>
      <c r="F137" s="22" t="n">
        <f>0</f>
        <v>0.0</v>
      </c>
      <c r="G137" s="21" t="n">
        <v>2.530572E8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66.0</v>
      </c>
      <c r="F138" s="22" t="n">
        <f>0</f>
        <v>0.0</v>
      </c>
      <c r="G138" s="21" t="n">
        <v>1.47101E8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377.0</v>
      </c>
      <c r="F139" s="26" t="n">
        <f>0</f>
        <v>0.0</v>
      </c>
      <c r="G139" s="25" t="n">
        <v>8.475271E8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2079.0</v>
      </c>
      <c r="F144" s="18" t="n">
        <f>0</f>
        <v>0.0</v>
      </c>
      <c r="G144" s="17" t="n">
        <v>9.3099925E9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2299.0</v>
      </c>
      <c r="F145" s="22" t="n">
        <f>0</f>
        <v>0.0</v>
      </c>
      <c r="G145" s="21" t="n">
        <v>1.00861845E10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1323.0</v>
      </c>
      <c r="F146" s="22" t="n">
        <f>4</f>
        <v>4.0</v>
      </c>
      <c r="G146" s="21" t="n">
        <v>5.7837265E9</v>
      </c>
      <c r="H146" s="22" t="n">
        <f>17680000</f>
        <v>1.768E7</v>
      </c>
    </row>
    <row r="147" spans="1:8" ht="24.9" customHeight="1">
      <c r="A147" s="51"/>
      <c r="B147" s="57"/>
      <c r="C147" s="39"/>
      <c r="D147" s="24" t="s">
        <v>18</v>
      </c>
      <c r="E147" s="25" t="n">
        <v>5701.0</v>
      </c>
      <c r="F147" s="26" t="n">
        <f>4</f>
        <v>4.0</v>
      </c>
      <c r="G147" s="25" t="n">
        <v>2.51799035E10</v>
      </c>
      <c r="H147" s="26" t="n">
        <f>17680000</f>
        <v>1.768E7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12.0</v>
      </c>
      <c r="F148" s="18" t="n">
        <f>0</f>
        <v>0.0</v>
      </c>
      <c r="G148" s="17" t="n">
        <v>1.09341E7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249.0</v>
      </c>
      <c r="F149" s="22" t="n">
        <f>0</f>
        <v>0.0</v>
      </c>
      <c r="G149" s="21" t="n">
        <v>2.233286E8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449.0</v>
      </c>
      <c r="F150" s="22" t="n">
        <f>0</f>
        <v>0.0</v>
      </c>
      <c r="G150" s="21" t="n">
        <v>4.011394E8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710.0</v>
      </c>
      <c r="F151" s="26" t="n">
        <f>0</f>
        <v>0.0</v>
      </c>
      <c r="G151" s="25" t="n">
        <v>6.354021E8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374.0</v>
      </c>
      <c r="F152" s="18" t="n">
        <f>0</f>
        <v>0.0</v>
      </c>
      <c r="G152" s="17" t="n">
        <v>3.3585615E8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243.0</v>
      </c>
      <c r="F153" s="22" t="n">
        <f>0</f>
        <v>0.0</v>
      </c>
      <c r="G153" s="21" t="n">
        <v>2.137654E8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354.0</v>
      </c>
      <c r="F154" s="22" t="n">
        <f>0</f>
        <v>0.0</v>
      </c>
      <c r="G154" s="21" t="n">
        <v>3.101275E8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971.0</v>
      </c>
      <c r="F155" s="26" t="n">
        <f>0</f>
        <v>0.0</v>
      </c>
      <c r="G155" s="25" t="n">
        <v>8.5974905E8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65.0</v>
      </c>
      <c r="F156" s="18" t="n">
        <f>0</f>
        <v>0.0</v>
      </c>
      <c r="G156" s="17" t="n">
        <v>5.93399E7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58.0</v>
      </c>
      <c r="F157" s="22" t="n">
        <f>0</f>
        <v>0.0</v>
      </c>
      <c r="G157" s="21" t="n">
        <v>5.06549E7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669.0</v>
      </c>
      <c r="F158" s="22" t="n">
        <f>0</f>
        <v>0.0</v>
      </c>
      <c r="G158" s="21" t="n">
        <v>5.877294E8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792.0</v>
      </c>
      <c r="F159" s="26" t="n">
        <f>0</f>
        <v>0.0</v>
      </c>
      <c r="G159" s="25" t="n">
        <v>6.977242E8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107.0</v>
      </c>
      <c r="F168" s="18" t="n">
        <f>0</f>
        <v>0.0</v>
      </c>
      <c r="G168" s="17" t="n">
        <v>2.345115E8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878.0</v>
      </c>
      <c r="F169" s="22" t="n">
        <f>0</f>
        <v>0.0</v>
      </c>
      <c r="G169" s="21" t="n">
        <v>1.918165E9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463.0</v>
      </c>
      <c r="F170" s="22" t="n">
        <f>0</f>
        <v>0.0</v>
      </c>
      <c r="G170" s="21" t="n">
        <v>9.999345E8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1448.0</v>
      </c>
      <c r="F171" s="26" t="n">
        <f>0</f>
        <v>0.0</v>
      </c>
      <c r="G171" s="25" t="n">
        <v>3.152611E9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56.0</v>
      </c>
      <c r="F178" s="22" t="n">
        <f>0</f>
        <v>0.0</v>
      </c>
      <c r="G178" s="21" t="n">
        <v>1.04103E8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56.0</v>
      </c>
      <c r="F179" s="26" t="n">
        <f>0</f>
        <v>0.0</v>
      </c>
      <c r="G179" s="25" t="n">
        <v>1.04103E8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879.0</v>
      </c>
      <c r="F204" s="18" t="n">
        <f>135</f>
        <v>135.0</v>
      </c>
      <c r="G204" s="17" t="n">
        <v>3.5198245E9</v>
      </c>
      <c r="H204" s="18" t="n">
        <f>522242000</f>
        <v>5.22242E8</v>
      </c>
    </row>
    <row r="205" spans="1:8" ht="24.9" customHeight="1">
      <c r="A205" s="57"/>
      <c r="B205" s="59"/>
      <c r="C205" s="39"/>
      <c r="D205" s="20" t="s">
        <v>16</v>
      </c>
      <c r="E205" s="21" t="n">
        <v>302.0</v>
      </c>
      <c r="F205" s="22" t="n">
        <f>0</f>
        <v>0.0</v>
      </c>
      <c r="G205" s="21" t="n">
        <v>1.2359575E9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1527.0</v>
      </c>
      <c r="F206" s="22" t="n">
        <f>0</f>
        <v>0.0</v>
      </c>
      <c r="G206" s="21" t="n">
        <v>6.115784E9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2708.0</v>
      </c>
      <c r="F207" s="26" t="n">
        <f>135</f>
        <v>135.0</v>
      </c>
      <c r="G207" s="25" t="n">
        <v>1.0871566E10</v>
      </c>
      <c r="H207" s="26" t="n">
        <f>522242000</f>
        <v>5.22242E8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100.0</v>
      </c>
      <c r="F213" s="22" t="n">
        <f>100</f>
        <v>100.0</v>
      </c>
      <c r="G213" s="21" t="n">
        <v>1.36878E8</v>
      </c>
      <c r="H213" s="22" t="n">
        <f>136878000</f>
        <v>1.36878E8</v>
      </c>
    </row>
    <row r="214" spans="1:8" ht="24.9" customHeight="1">
      <c r="A214" s="57"/>
      <c r="B214" s="59"/>
      <c r="C214" s="39"/>
      <c r="D214" s="20" t="s">
        <v>17</v>
      </c>
      <c r="E214" s="21" t="n">
        <v>300.0</v>
      </c>
      <c r="F214" s="22" t="n">
        <f>300</f>
        <v>300.0</v>
      </c>
      <c r="G214" s="21" t="n">
        <v>4.23408E8</v>
      </c>
      <c r="H214" s="22" t="n">
        <f>423408000</f>
        <v>4.23408E8</v>
      </c>
    </row>
    <row r="215" spans="1:8" ht="24.9" customHeight="1">
      <c r="A215" s="57"/>
      <c r="B215" s="59"/>
      <c r="C215" s="39"/>
      <c r="D215" s="24" t="s">
        <v>18</v>
      </c>
      <c r="E215" s="25" t="n">
        <v>400.0</v>
      </c>
      <c r="F215" s="26" t="n">
        <f>400</f>
        <v>400.0</v>
      </c>
      <c r="G215" s="25" t="n">
        <v>5.60286E8</v>
      </c>
      <c r="H215" s="26" t="n">
        <f>560286000</f>
        <v>5.60286E8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46267.0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46267.0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6629</f>
        <v>6629.0</v>
      </c>
      <c r="E12" s="35" t="n">
        <f>3153</f>
        <v>3153.0</v>
      </c>
      <c r="F12" s="17" t="n">
        <f>3566</f>
        <v>3566.0</v>
      </c>
      <c r="G12" s="35" t="n">
        <f>800</f>
        <v>800.0</v>
      </c>
      <c r="H12" s="17" t="n">
        <f>10195</f>
        <v>10195.0</v>
      </c>
      <c r="I12" s="35" t="n">
        <f>3953</f>
        <v>3953.0</v>
      </c>
      <c r="J12" s="17" t="n">
        <f>1860290180</f>
        <v>1.86029018E9</v>
      </c>
      <c r="K12" s="35" t="n">
        <f>1291768180</f>
        <v>1.29176818E9</v>
      </c>
      <c r="L12" s="17" t="n">
        <f>534472660</f>
        <v>5.3447266E8</v>
      </c>
      <c r="M12" s="35" t="n">
        <f>85110660</f>
        <v>8.511066E7</v>
      </c>
      <c r="N12" s="17" t="n">
        <f>2394762840</f>
        <v>2.39476284E9</v>
      </c>
      <c r="O12" s="35" t="n">
        <f>1376878840</f>
        <v>1.37687884E9</v>
      </c>
    </row>
    <row r="13" spans="1:15" ht="24.9" customHeight="1">
      <c r="A13" s="38"/>
      <c r="B13" s="62"/>
      <c r="C13" s="20" t="s">
        <v>16</v>
      </c>
      <c r="D13" s="21" t="n">
        <f>7788</f>
        <v>7788.0</v>
      </c>
      <c r="E13" s="36" t="n">
        <f>2340</f>
        <v>2340.0</v>
      </c>
      <c r="F13" s="21" t="n">
        <f>4368</f>
        <v>4368.0</v>
      </c>
      <c r="G13" s="36" t="n">
        <f>1115</f>
        <v>1115.0</v>
      </c>
      <c r="H13" s="21" t="n">
        <f>12156</f>
        <v>12156.0</v>
      </c>
      <c r="I13" s="36" t="n">
        <f>3455</f>
        <v>3455.0</v>
      </c>
      <c r="J13" s="21" t="n">
        <f>3087310980</f>
        <v>3.08731098E9</v>
      </c>
      <c r="K13" s="36" t="n">
        <f>1472962980</f>
        <v>1.47296298E9</v>
      </c>
      <c r="L13" s="21" t="n">
        <f>1292374810</f>
        <v>1.29237481E9</v>
      </c>
      <c r="M13" s="36" t="n">
        <f>742860810</f>
        <v>7.4286081E8</v>
      </c>
      <c r="N13" s="21" t="n">
        <f>4379685790</f>
        <v>4.37968579E9</v>
      </c>
      <c r="O13" s="36" t="n">
        <f>2215823790</f>
        <v>2.21582379E9</v>
      </c>
    </row>
    <row r="14" spans="1:15" ht="24.9" customHeight="1">
      <c r="A14" s="38"/>
      <c r="B14" s="62"/>
      <c r="C14" s="20" t="s">
        <v>17</v>
      </c>
      <c r="D14" s="21" t="n">
        <f>23092</f>
        <v>23092.0</v>
      </c>
      <c r="E14" s="36" t="n">
        <f>16341</f>
        <v>16341.0</v>
      </c>
      <c r="F14" s="21" t="n">
        <f>8043</f>
        <v>8043.0</v>
      </c>
      <c r="G14" s="36" t="n">
        <f>4644</f>
        <v>4644.0</v>
      </c>
      <c r="H14" s="21" t="n">
        <f>31135</f>
        <v>31135.0</v>
      </c>
      <c r="I14" s="36" t="n">
        <f>20985</f>
        <v>20985.0</v>
      </c>
      <c r="J14" s="21" t="n">
        <f>15688494106</f>
        <v>1.5688494106E10</v>
      </c>
      <c r="K14" s="36" t="n">
        <f>13316071106</f>
        <v>1.3316071106E10</v>
      </c>
      <c r="L14" s="21" t="n">
        <f>5377603030</f>
        <v>5.37760303E9</v>
      </c>
      <c r="M14" s="36" t="n">
        <f>4598846030</f>
        <v>4.59884603E9</v>
      </c>
      <c r="N14" s="21" t="n">
        <f>21066097136</f>
        <v>2.1066097136E10</v>
      </c>
      <c r="O14" s="36" t="n">
        <f>17914917136</f>
        <v>1.7914917136E10</v>
      </c>
    </row>
    <row r="15" spans="1:15" ht="24.9" customHeight="1">
      <c r="A15" s="38"/>
      <c r="B15" s="62"/>
      <c r="C15" s="24" t="s">
        <v>18</v>
      </c>
      <c r="D15" s="25" t="n">
        <f>37509</f>
        <v>37509.0</v>
      </c>
      <c r="E15" s="37" t="n">
        <f>21834</f>
        <v>21834.0</v>
      </c>
      <c r="F15" s="25" t="n">
        <f>15977</f>
        <v>15977.0</v>
      </c>
      <c r="G15" s="37" t="n">
        <f>6559</f>
        <v>6559.0</v>
      </c>
      <c r="H15" s="25" t="n">
        <f>53486</f>
        <v>53486.0</v>
      </c>
      <c r="I15" s="37" t="n">
        <f>28393</f>
        <v>28393.0</v>
      </c>
      <c r="J15" s="25" t="n">
        <f>20636095266</f>
        <v>2.0636095266E10</v>
      </c>
      <c r="K15" s="37" t="n">
        <f>16080802266</f>
        <v>1.6080802266E10</v>
      </c>
      <c r="L15" s="25" t="n">
        <f>7204450500</f>
        <v>7.2044505E9</v>
      </c>
      <c r="M15" s="37" t="n">
        <f>5426817500</f>
        <v>5.4268175E9</v>
      </c>
      <c r="N15" s="25" t="n">
        <f>27840545766</f>
        <v>2.7840545766E10</v>
      </c>
      <c r="O15" s="37" t="n">
        <f>21507619766</f>
        <v>2.1507619766E10</v>
      </c>
    </row>
    <row r="16" spans="1:15" ht="24.9" customHeight="1">
      <c r="A16" s="38"/>
      <c r="B16" s="61" t="s">
        <v>105</v>
      </c>
      <c r="C16" s="16" t="s">
        <v>15</v>
      </c>
      <c r="D16" s="17" t="n">
        <f>14306</f>
        <v>14306.0</v>
      </c>
      <c r="E16" s="35" t="n">
        <f>2840</f>
        <v>2840.0</v>
      </c>
      <c r="F16" s="17" t="n">
        <f>10049</f>
        <v>10049.0</v>
      </c>
      <c r="G16" s="35" t="n">
        <f>590</f>
        <v>590.0</v>
      </c>
      <c r="H16" s="17" t="n">
        <f>24355</f>
        <v>24355.0</v>
      </c>
      <c r="I16" s="35" t="n">
        <f>3430</f>
        <v>3430.0</v>
      </c>
      <c r="J16" s="17" t="n">
        <f>333546950</f>
        <v>3.3354695E8</v>
      </c>
      <c r="K16" s="35" t="n">
        <f>38539450</f>
        <v>3.853945E7</v>
      </c>
      <c r="L16" s="17" t="n">
        <f>261345140</f>
        <v>2.6134514E8</v>
      </c>
      <c r="M16" s="35" t="n">
        <f>3364440</f>
        <v>3364440.0</v>
      </c>
      <c r="N16" s="17" t="n">
        <f>594892090</f>
        <v>5.9489209E8</v>
      </c>
      <c r="O16" s="35" t="n">
        <f>41903890</f>
        <v>4.190389E7</v>
      </c>
    </row>
    <row r="17" spans="1:15" ht="24.9" customHeight="1">
      <c r="A17" s="38"/>
      <c r="B17" s="62"/>
      <c r="C17" s="20" t="s">
        <v>16</v>
      </c>
      <c r="D17" s="21" t="n">
        <f>8524</f>
        <v>8524.0</v>
      </c>
      <c r="E17" s="36" t="n">
        <f>650</f>
        <v>650.0</v>
      </c>
      <c r="F17" s="21" t="n">
        <f>8224</f>
        <v>8224.0</v>
      </c>
      <c r="G17" s="36" t="n">
        <f>370</f>
        <v>370.0</v>
      </c>
      <c r="H17" s="21" t="n">
        <f>16748</f>
        <v>16748.0</v>
      </c>
      <c r="I17" s="36" t="n">
        <f>1020</f>
        <v>1020.0</v>
      </c>
      <c r="J17" s="21" t="n">
        <f>213825670</f>
        <v>2.1382567E8</v>
      </c>
      <c r="K17" s="36" t="n">
        <f>8400370</f>
        <v>8400370.0</v>
      </c>
      <c r="L17" s="21" t="n">
        <f>152124400</f>
        <v>1.521244E8</v>
      </c>
      <c r="M17" s="36" t="n">
        <f>1019200</f>
        <v>1019200.0</v>
      </c>
      <c r="N17" s="21" t="n">
        <f>365950070</f>
        <v>3.6595007E8</v>
      </c>
      <c r="O17" s="36" t="n">
        <f>9419570</f>
        <v>9419570.0</v>
      </c>
    </row>
    <row r="18" spans="1:15" ht="24.9" customHeight="1">
      <c r="A18" s="38"/>
      <c r="B18" s="62"/>
      <c r="C18" s="20" t="s">
        <v>17</v>
      </c>
      <c r="D18" s="21" t="n">
        <f>7346</f>
        <v>7346.0</v>
      </c>
      <c r="E18" s="36" t="n">
        <f>370</f>
        <v>370.0</v>
      </c>
      <c r="F18" s="21" t="n">
        <f>6635</f>
        <v>6635.0</v>
      </c>
      <c r="G18" s="36" t="n">
        <f>410</f>
        <v>410.0</v>
      </c>
      <c r="H18" s="21" t="n">
        <f>13981</f>
        <v>13981.0</v>
      </c>
      <c r="I18" s="36" t="n">
        <f>780</f>
        <v>780.0</v>
      </c>
      <c r="J18" s="21" t="n">
        <f>246034860</f>
        <v>2.4603486E8</v>
      </c>
      <c r="K18" s="36" t="n">
        <f>2034360</f>
        <v>2034360.0</v>
      </c>
      <c r="L18" s="21" t="n">
        <f>123917150</f>
        <v>1.2391715E8</v>
      </c>
      <c r="M18" s="36" t="n">
        <f>1990050</f>
        <v>1990050.0</v>
      </c>
      <c r="N18" s="21" t="n">
        <f>369952010</f>
        <v>3.6995201E8</v>
      </c>
      <c r="O18" s="36" t="n">
        <f>4024410</f>
        <v>4024410.0</v>
      </c>
    </row>
    <row r="19" spans="1:15" ht="24.9" customHeight="1">
      <c r="A19" s="38"/>
      <c r="B19" s="62"/>
      <c r="C19" s="24" t="s">
        <v>18</v>
      </c>
      <c r="D19" s="25" t="n">
        <f>30176</f>
        <v>30176.0</v>
      </c>
      <c r="E19" s="37" t="n">
        <f>3860</f>
        <v>3860.0</v>
      </c>
      <c r="F19" s="25" t="n">
        <f>24908</f>
        <v>24908.0</v>
      </c>
      <c r="G19" s="37" t="n">
        <f>1370</f>
        <v>1370.0</v>
      </c>
      <c r="H19" s="25" t="n">
        <f>55084</f>
        <v>55084.0</v>
      </c>
      <c r="I19" s="37" t="n">
        <f>5230</f>
        <v>5230.0</v>
      </c>
      <c r="J19" s="25" t="n">
        <f>793407480</f>
        <v>7.9340748E8</v>
      </c>
      <c r="K19" s="37" t="n">
        <f>48974180</f>
        <v>4.897418E7</v>
      </c>
      <c r="L19" s="25" t="n">
        <f>537386690</f>
        <v>5.3738669E8</v>
      </c>
      <c r="M19" s="37" t="n">
        <f>6373690</f>
        <v>6373690.0</v>
      </c>
      <c r="N19" s="25" t="n">
        <f>1330794170</f>
        <v>1.33079417E9</v>
      </c>
      <c r="O19" s="37" t="n">
        <f>55347870</f>
        <v>5.534787E7</v>
      </c>
    </row>
    <row r="20" spans="1:15" ht="24.9" customHeight="1">
      <c r="A20" s="38"/>
      <c r="B20" s="61" t="s">
        <v>106</v>
      </c>
      <c r="C20" s="16" t="s">
        <v>15</v>
      </c>
      <c r="D20" s="17" t="n">
        <f>139</f>
        <v>139.0</v>
      </c>
      <c r="E20" s="35" t="n">
        <f>139</f>
        <v>139.0</v>
      </c>
      <c r="F20" s="17" t="n">
        <f>0</f>
        <v>0.0</v>
      </c>
      <c r="G20" s="35" t="n">
        <f>0</f>
        <v>0.0</v>
      </c>
      <c r="H20" s="17" t="n">
        <f>139</f>
        <v>139.0</v>
      </c>
      <c r="I20" s="35" t="n">
        <f>139</f>
        <v>139.0</v>
      </c>
      <c r="J20" s="17" t="n">
        <f>200808500</f>
        <v>2.008085E8</v>
      </c>
      <c r="K20" s="35" t="n">
        <f>200808500</f>
        <v>2.008085E8</v>
      </c>
      <c r="L20" s="17" t="n">
        <f>0</f>
        <v>0.0</v>
      </c>
      <c r="M20" s="35" t="n">
        <f>0</f>
        <v>0.0</v>
      </c>
      <c r="N20" s="17" t="n">
        <f>200808500</f>
        <v>2.008085E8</v>
      </c>
      <c r="O20" s="35" t="n">
        <f>200808500</f>
        <v>2.008085E8</v>
      </c>
    </row>
    <row r="21" spans="1:15" ht="24.9" customHeight="1">
      <c r="A21" s="38"/>
      <c r="B21" s="62"/>
      <c r="C21" s="20" t="s">
        <v>16</v>
      </c>
      <c r="D21" s="21" t="n">
        <f>728</f>
        <v>728.0</v>
      </c>
      <c r="E21" s="36" t="n">
        <f>728</f>
        <v>728.0</v>
      </c>
      <c r="F21" s="21" t="n">
        <f>115</f>
        <v>115.0</v>
      </c>
      <c r="G21" s="36" t="n">
        <f>100</f>
        <v>100.0</v>
      </c>
      <c r="H21" s="21" t="n">
        <f>843</f>
        <v>843.0</v>
      </c>
      <c r="I21" s="36" t="n">
        <f>828</f>
        <v>828.0</v>
      </c>
      <c r="J21" s="21" t="n">
        <f>669532580</f>
        <v>6.6953258E8</v>
      </c>
      <c r="K21" s="36" t="n">
        <f>669532580</f>
        <v>6.6953258E8</v>
      </c>
      <c r="L21" s="21" t="n">
        <f>242830000</f>
        <v>2.4283E8</v>
      </c>
      <c r="M21" s="36" t="n">
        <f>236980000</f>
        <v>2.3698E8</v>
      </c>
      <c r="N21" s="21" t="n">
        <f>912362580</f>
        <v>9.1236258E8</v>
      </c>
      <c r="O21" s="36" t="n">
        <f>906512580</f>
        <v>9.0651258E8</v>
      </c>
    </row>
    <row r="22" spans="1:15" ht="24.9" customHeight="1">
      <c r="A22" s="38"/>
      <c r="B22" s="62"/>
      <c r="C22" s="20" t="s">
        <v>17</v>
      </c>
      <c r="D22" s="21" t="n">
        <f>722</f>
        <v>722.0</v>
      </c>
      <c r="E22" s="36" t="n">
        <f>700</f>
        <v>700.0</v>
      </c>
      <c r="F22" s="21" t="n">
        <f>431</f>
        <v>431.0</v>
      </c>
      <c r="G22" s="36" t="n">
        <f>401</f>
        <v>401.0</v>
      </c>
      <c r="H22" s="21" t="n">
        <f>1153</f>
        <v>1153.0</v>
      </c>
      <c r="I22" s="36" t="n">
        <f>1101</f>
        <v>1101.0</v>
      </c>
      <c r="J22" s="21" t="n">
        <f>723889000</f>
        <v>7.23889E8</v>
      </c>
      <c r="K22" s="36" t="n">
        <f>721150000</f>
        <v>7.2115E8</v>
      </c>
      <c r="L22" s="21" t="n">
        <f>46588220</f>
        <v>4.658822E7</v>
      </c>
      <c r="M22" s="36" t="n">
        <f>33913220</f>
        <v>3.391322E7</v>
      </c>
      <c r="N22" s="21" t="n">
        <f>770477220</f>
        <v>7.7047722E8</v>
      </c>
      <c r="O22" s="36" t="n">
        <f>755063220</f>
        <v>7.5506322E8</v>
      </c>
    </row>
    <row r="23" spans="1:15" ht="24.9" customHeight="1">
      <c r="A23" s="38"/>
      <c r="B23" s="62"/>
      <c r="C23" s="24" t="s">
        <v>18</v>
      </c>
      <c r="D23" s="25" t="n">
        <f>1589</f>
        <v>1589.0</v>
      </c>
      <c r="E23" s="37" t="n">
        <f>1567</f>
        <v>1567.0</v>
      </c>
      <c r="F23" s="25" t="n">
        <f>546</f>
        <v>546.0</v>
      </c>
      <c r="G23" s="37" t="n">
        <f>501</f>
        <v>501.0</v>
      </c>
      <c r="H23" s="25" t="n">
        <f>2135</f>
        <v>2135.0</v>
      </c>
      <c r="I23" s="37" t="n">
        <f>2068</f>
        <v>2068.0</v>
      </c>
      <c r="J23" s="25" t="n">
        <f>1594230080</f>
        <v>1.59423008E9</v>
      </c>
      <c r="K23" s="37" t="n">
        <f>1591491080</f>
        <v>1.59149108E9</v>
      </c>
      <c r="L23" s="25" t="n">
        <f>289418220</f>
        <v>2.8941822E8</v>
      </c>
      <c r="M23" s="37" t="n">
        <f>270893220</f>
        <v>2.7089322E8</v>
      </c>
      <c r="N23" s="25" t="n">
        <f>1883648300</f>
        <v>1.8836483E9</v>
      </c>
      <c r="O23" s="37" t="n">
        <f>1862384300</f>
        <v>1.8623843E9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5</f>
        <v>5.0</v>
      </c>
      <c r="E37" s="22" t="n">
        <f>0</f>
        <v>0.0</v>
      </c>
      <c r="F37" s="21" t="n">
        <f>178</f>
        <v>178.0</v>
      </c>
      <c r="G37" s="22" t="n">
        <f>75</f>
        <v>75.0</v>
      </c>
      <c r="H37" s="21" t="n">
        <f>183</f>
        <v>183.0</v>
      </c>
      <c r="I37" s="22" t="n">
        <f>75</f>
        <v>75.0</v>
      </c>
      <c r="J37" s="21" t="n">
        <f>2400000</f>
        <v>2400000.0</v>
      </c>
      <c r="K37" s="22" t="n">
        <f>0</f>
        <v>0.0</v>
      </c>
      <c r="L37" s="21" t="n">
        <f>35730000</f>
        <v>3.573E7</v>
      </c>
      <c r="M37" s="22" t="n">
        <f>10500000</f>
        <v>1.05E7</v>
      </c>
      <c r="N37" s="21" t="n">
        <f>38130000</f>
        <v>3.813E7</v>
      </c>
      <c r="O37" s="22" t="n">
        <f>10500000</f>
        <v>1.05E7</v>
      </c>
    </row>
    <row r="38" spans="1:15" ht="24.9" customHeight="1">
      <c r="A38" s="38"/>
      <c r="B38" s="62"/>
      <c r="C38" s="20" t="s">
        <v>17</v>
      </c>
      <c r="D38" s="21" t="n">
        <f>0</f>
        <v>0.0</v>
      </c>
      <c r="E38" s="36" t="n">
        <f>0</f>
        <v>0.0</v>
      </c>
      <c r="F38" s="21" t="n">
        <f>30</f>
        <v>30.0</v>
      </c>
      <c r="G38" s="36" t="n">
        <f>0</f>
        <v>0.0</v>
      </c>
      <c r="H38" s="21" t="n">
        <f>30</f>
        <v>30.0</v>
      </c>
      <c r="I38" s="36" t="n">
        <f>0</f>
        <v>0.0</v>
      </c>
      <c r="J38" s="21" t="n">
        <f>0</f>
        <v>0.0</v>
      </c>
      <c r="K38" s="36" t="n">
        <f>0</f>
        <v>0.0</v>
      </c>
      <c r="L38" s="21" t="n">
        <f>1500000</f>
        <v>1500000.0</v>
      </c>
      <c r="M38" s="36" t="n">
        <f>0</f>
        <v>0.0</v>
      </c>
      <c r="N38" s="21" t="n">
        <f>1500000</f>
        <v>1500000.0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5</f>
        <v>5.0</v>
      </c>
      <c r="E39" s="37" t="n">
        <f>0</f>
        <v>0.0</v>
      </c>
      <c r="F39" s="25" t="n">
        <f>208</f>
        <v>208.0</v>
      </c>
      <c r="G39" s="37" t="n">
        <f>75</f>
        <v>75.0</v>
      </c>
      <c r="H39" s="25" t="n">
        <f>213</f>
        <v>213.0</v>
      </c>
      <c r="I39" s="37" t="n">
        <f>75</f>
        <v>75.0</v>
      </c>
      <c r="J39" s="25" t="n">
        <f>2400000</f>
        <v>2400000.0</v>
      </c>
      <c r="K39" s="37" t="n">
        <f>0</f>
        <v>0.0</v>
      </c>
      <c r="L39" s="25" t="n">
        <f>37230000</f>
        <v>3.723E7</v>
      </c>
      <c r="M39" s="37" t="n">
        <f>10500000</f>
        <v>1.05E7</v>
      </c>
      <c r="N39" s="25" t="n">
        <f>39630000</f>
        <v>3.963E7</v>
      </c>
      <c r="O39" s="37" t="n">
        <f>10500000</f>
        <v>1.05E7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5147</f>
        <v>5147.0</v>
      </c>
      <c r="E41" s="36" t="n">
        <f>0</f>
        <v>0.0</v>
      </c>
      <c r="F41" s="21" t="n">
        <f>17770</f>
        <v>17770.0</v>
      </c>
      <c r="G41" s="36" t="n">
        <f>0</f>
        <v>0.0</v>
      </c>
      <c r="H41" s="21" t="n">
        <f>22917</f>
        <v>22917.0</v>
      </c>
      <c r="I41" s="36" t="n">
        <f>0</f>
        <v>0.0</v>
      </c>
      <c r="J41" s="21" t="n">
        <f>9912449</f>
        <v>9912449.0</v>
      </c>
      <c r="K41" s="36" t="n">
        <f>0</f>
        <v>0.0</v>
      </c>
      <c r="L41" s="21" t="n">
        <f>11500320</f>
        <v>1.150032E7</v>
      </c>
      <c r="M41" s="36" t="n">
        <f>0</f>
        <v>0.0</v>
      </c>
      <c r="N41" s="21" t="n">
        <f>21412769</f>
        <v>2.1412769E7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701</f>
        <v>701.0</v>
      </c>
      <c r="E42" s="36" t="n">
        <f>0</f>
        <v>0.0</v>
      </c>
      <c r="F42" s="21" t="n">
        <f>3529</f>
        <v>3529.0</v>
      </c>
      <c r="G42" s="36" t="n">
        <f>0</f>
        <v>0.0</v>
      </c>
      <c r="H42" s="21" t="n">
        <f>4230</f>
        <v>4230.0</v>
      </c>
      <c r="I42" s="36" t="n">
        <f>0</f>
        <v>0.0</v>
      </c>
      <c r="J42" s="21" t="n">
        <f>4475390</f>
        <v>4475390.0</v>
      </c>
      <c r="K42" s="36" t="n">
        <f>0</f>
        <v>0.0</v>
      </c>
      <c r="L42" s="21" t="n">
        <f>3544854</f>
        <v>3544854.0</v>
      </c>
      <c r="M42" s="36" t="n">
        <f>0</f>
        <v>0.0</v>
      </c>
      <c r="N42" s="21" t="n">
        <f>8020244</f>
        <v>8020244.0</v>
      </c>
      <c r="O42" s="36" t="n">
        <f>0</f>
        <v>0.0</v>
      </c>
    </row>
    <row r="43" spans="1:15" ht="24.9" customHeight="1">
      <c r="A43" s="38"/>
      <c r="B43" s="62"/>
      <c r="C43" s="24" t="s">
        <v>18</v>
      </c>
      <c r="D43" s="25" t="n">
        <f>5848</f>
        <v>5848.0</v>
      </c>
      <c r="E43" s="37" t="n">
        <f>0</f>
        <v>0.0</v>
      </c>
      <c r="F43" s="25" t="n">
        <f>21299</f>
        <v>21299.0</v>
      </c>
      <c r="G43" s="37" t="n">
        <f>0</f>
        <v>0.0</v>
      </c>
      <c r="H43" s="25" t="n">
        <f>27147</f>
        <v>27147.0</v>
      </c>
      <c r="I43" s="37" t="n">
        <f>0</f>
        <v>0.0</v>
      </c>
      <c r="J43" s="25" t="n">
        <f>14387839</f>
        <v>1.4387839E7</v>
      </c>
      <c r="K43" s="37" t="n">
        <f>0</f>
        <v>0.0</v>
      </c>
      <c r="L43" s="25" t="n">
        <f>15045174</f>
        <v>1.5045174E7</v>
      </c>
      <c r="M43" s="37" t="n">
        <f>0</f>
        <v>0.0</v>
      </c>
      <c r="N43" s="25" t="n">
        <f>29433013</f>
        <v>2.9433013E7</v>
      </c>
      <c r="O43" s="37" t="n">
        <f>0</f>
        <v>0.0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