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<sst xmlns="http://schemas.openxmlformats.org/spreadsheetml/2006/main" count="528" uniqueCount="129">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</sst>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DATE(2026,08,13)</f>
        <v>46247.0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DATE(2026,08,13)</f>
        <v>46247.0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686230.0</f>
        <v>686230.0</v>
      </c>
      <c r="E12" s="18" t="n">
        <f>40267.0</f>
        <v>40267.0</v>
      </c>
      <c r="F12" s="19" t="n">
        <f>1.0</f>
        <v>1.0</v>
      </c>
      <c r="G12" s="17" t="n">
        <f>4986275268935.0</f>
        <v>4.986275268935E12</v>
      </c>
      <c r="H12" s="18" t="n">
        <f>450145018760.0</f>
        <v>4.5014501876E11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379917.0</f>
        <v>379917.0</v>
      </c>
      <c r="E13" s="22" t="n">
        <f>22928.0</f>
        <v>22928.0</v>
      </c>
      <c r="F13" s="23" t="n">
        <f>1.0</f>
        <v>1.0</v>
      </c>
      <c r="G13" s="21" t="n">
        <f>4124495254190.0</f>
        <v>4.12449525419E12</v>
      </c>
      <c r="H13" s="22" t="n">
        <f>354898997290.0</f>
        <v>3.5489899729E11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454808.0</f>
        <v>454808.0</v>
      </c>
      <c r="E14" s="22" t="n">
        <f>54721.0</f>
        <v>54721.0</v>
      </c>
      <c r="F14" s="23" t="n">
        <f>1.0</f>
        <v>1.0</v>
      </c>
      <c r="G14" s="21" t="n">
        <f>6476245529335.0</f>
        <v>6.476245529335E12</v>
      </c>
      <c r="H14" s="22" t="n">
        <f>1480396979000.0</f>
        <v>1.480396979E12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1520955.0</f>
        <v>1520955.0</v>
      </c>
      <c r="E15" s="26" t="n">
        <f>117916.0</f>
        <v>117916.0</v>
      </c>
      <c r="F15" s="27" t="n">
        <f>1.0</f>
        <v>1.0</v>
      </c>
      <c r="G15" s="25" t="n">
        <f>15587016052460.0</f>
        <v>1.558701605246E13</v>
      </c>
      <c r="H15" s="26" t="n">
        <f>2285440995050.0</f>
        <v>2.28544099505E12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11624.0</f>
        <v>11624.0</v>
      </c>
      <c r="E16" s="18" t="n">
        <f>481.0</f>
        <v>481.0</v>
      </c>
      <c r="F16" s="19" t="n">
        <f>0.017</f>
        <v>0.017</v>
      </c>
      <c r="G16" s="17" t="n">
        <f>1377572415625.0</f>
        <v>1.377572415625E12</v>
      </c>
      <c r="H16" s="18" t="n">
        <f>60899710000.0</f>
        <v>6.089971E10</v>
      </c>
      <c r="I16" s="19" t="n">
        <f>0.276</f>
        <v>0.276</v>
      </c>
    </row>
    <row r="17" spans="1:9" ht="24.9" customHeight="1">
      <c r="A17" s="41"/>
      <c r="B17" s="39"/>
      <c r="C17" s="20" t="s">
        <v>16</v>
      </c>
      <c r="D17" s="21" t="n">
        <f>14207.0</f>
        <v>14207.0</v>
      </c>
      <c r="E17" s="22" t="n">
        <f>820.0</f>
        <v>820.0</v>
      </c>
      <c r="F17" s="23" t="n">
        <f>0.037</f>
        <v>0.037</v>
      </c>
      <c r="G17" s="21" t="n">
        <f>1667517705000.0</f>
        <v>1.667517705E12</v>
      </c>
      <c r="H17" s="22" t="n">
        <f>103886445000.0</f>
        <v>1.03886445E11</v>
      </c>
      <c r="I17" s="23" t="n">
        <f>0.404</f>
        <v>0.404</v>
      </c>
    </row>
    <row r="18" spans="1:9" ht="24.9" customHeight="1">
      <c r="A18" s="41"/>
      <c r="B18" s="39"/>
      <c r="C18" s="20" t="s">
        <v>17</v>
      </c>
      <c r="D18" s="21" t="n">
        <f>16218.0</f>
        <v>16218.0</v>
      </c>
      <c r="E18" s="22" t="n">
        <f>1024.0</f>
        <v>1024.0</v>
      </c>
      <c r="F18" s="23" t="n">
        <f>0.036</f>
        <v>0.036</v>
      </c>
      <c r="G18" s="21" t="n">
        <f>1881660006625.0</f>
        <v>1.881660006625E12</v>
      </c>
      <c r="H18" s="22" t="n">
        <f>129597285000.0</f>
        <v>1.29597285E11</v>
      </c>
      <c r="I18" s="23" t="n">
        <f>0.291</f>
        <v>0.291</v>
      </c>
    </row>
    <row r="19" spans="1:9" ht="24.9" customHeight="1">
      <c r="A19" s="41"/>
      <c r="B19" s="39"/>
      <c r="C19" s="24" t="s">
        <v>18</v>
      </c>
      <c r="D19" s="25" t="n">
        <f>42049.0</f>
        <v>42049.0</v>
      </c>
      <c r="E19" s="26" t="n">
        <f>2325.0</f>
        <v>2325.0</v>
      </c>
      <c r="F19" s="27" t="n">
        <f>0.028</f>
        <v>0.028</v>
      </c>
      <c r="G19" s="25" t="n">
        <f>4926750127250.0</f>
        <v>4.92675012725E12</v>
      </c>
      <c r="H19" s="26" t="n">
        <f>294383440000.0</f>
        <v>2.9438344E11</v>
      </c>
      <c r="I19" s="27" t="n">
        <f>0.316</f>
        <v>0.316</v>
      </c>
    </row>
    <row r="20" spans="1:9" ht="24.9" customHeight="1">
      <c r="A20" s="41"/>
      <c r="B20" s="39" t="s">
        <v>21</v>
      </c>
      <c r="C20" s="16" t="s">
        <v>15</v>
      </c>
      <c r="D20" s="17" t="n">
        <f>659248.0</f>
        <v>659248.0</v>
      </c>
      <c r="E20" s="18" t="n">
        <f>39786.0</f>
        <v>39786.0</v>
      </c>
      <c r="F20" s="19" t="n">
        <f>0.961</f>
        <v>0.961</v>
      </c>
      <c r="G20" s="17" t="n">
        <f>3423948263060.0</f>
        <v>3.42394826306E12</v>
      </c>
      <c r="H20" s="18" t="n">
        <f>389245308760.0</f>
        <v>3.8924530876E11</v>
      </c>
      <c r="I20" s="19" t="n">
        <f>0.687</f>
        <v>0.687</v>
      </c>
    </row>
    <row r="21" spans="1:9" ht="24.9" customHeight="1">
      <c r="A21" s="41"/>
      <c r="B21" s="39"/>
      <c r="C21" s="20" t="s">
        <v>16</v>
      </c>
      <c r="D21" s="21" t="n">
        <f>357061.0</f>
        <v>357061.0</v>
      </c>
      <c r="E21" s="22" t="n">
        <f>22108.0</f>
        <v>22108.0</v>
      </c>
      <c r="F21" s="23" t="n">
        <f>0.94</f>
        <v>0.94</v>
      </c>
      <c r="G21" s="21" t="n">
        <f>2358114273890.0</f>
        <v>2.35811427389E12</v>
      </c>
      <c r="H21" s="22" t="n">
        <f>251012552290.0</f>
        <v>2.5101255229E11</v>
      </c>
      <c r="I21" s="23" t="n">
        <f>0.572</f>
        <v>0.572</v>
      </c>
    </row>
    <row r="22" spans="1:9" ht="24.9" customHeight="1">
      <c r="A22" s="41"/>
      <c r="B22" s="39"/>
      <c r="C22" s="20" t="s">
        <v>17</v>
      </c>
      <c r="D22" s="21" t="n">
        <f>425469.0</f>
        <v>425469.0</v>
      </c>
      <c r="E22" s="22" t="n">
        <f>53697.0</f>
        <v>53697.0</v>
      </c>
      <c r="F22" s="23" t="n">
        <f>0.935</f>
        <v>0.935</v>
      </c>
      <c r="G22" s="21" t="n">
        <f>4485439749950.0</f>
        <v>4.48543974995E12</v>
      </c>
      <c r="H22" s="22" t="n">
        <f>1350799694000.0</f>
        <v>1.350799694E12</v>
      </c>
      <c r="I22" s="23" t="n">
        <f>0.693</f>
        <v>0.693</v>
      </c>
    </row>
    <row r="23" spans="1:9" ht="24.9" customHeight="1">
      <c r="A23" s="41"/>
      <c r="B23" s="39"/>
      <c r="C23" s="24" t="s">
        <v>18</v>
      </c>
      <c r="D23" s="25" t="n">
        <f>1441778.0</f>
        <v>1441778.0</v>
      </c>
      <c r="E23" s="26" t="n">
        <f>115591.0</f>
        <v>115591.0</v>
      </c>
      <c r="F23" s="27" t="n">
        <f>0.948</f>
        <v>0.948</v>
      </c>
      <c r="G23" s="25" t="n">
        <f>10267502286900.0</f>
        <v>1.02675022869E13</v>
      </c>
      <c r="H23" s="26" t="n">
        <f>1991057555050.0</f>
        <v>1.99105755505E12</v>
      </c>
      <c r="I23" s="27" t="n">
        <f>0.659</f>
        <v>0.659</v>
      </c>
    </row>
    <row r="24" spans="1:9" ht="24.9" customHeight="1">
      <c r="A24" s="41"/>
      <c r="B24" s="39" t="s">
        <v>22</v>
      </c>
      <c r="C24" s="16" t="s">
        <v>15</v>
      </c>
      <c r="D24" s="17" t="n">
        <f>15097.0</f>
        <v>15097.0</v>
      </c>
      <c r="E24" s="18" t="n">
        <f>0.0</f>
        <v>0.0</v>
      </c>
      <c r="F24" s="19" t="n">
        <f>0.022</f>
        <v>0.022</v>
      </c>
      <c r="G24" s="17" t="n">
        <f>183768478750.0</f>
        <v>1.8376847875E11</v>
      </c>
      <c r="H24" s="18" t="n">
        <f>0.0</f>
        <v>0.0</v>
      </c>
      <c r="I24" s="19" t="n">
        <f>0.037</f>
        <v>0.037</v>
      </c>
    </row>
    <row r="25" spans="1:9" ht="24.9" customHeight="1">
      <c r="A25" s="41"/>
      <c r="B25" s="39"/>
      <c r="C25" s="20" t="s">
        <v>16</v>
      </c>
      <c r="D25" s="21" t="n">
        <f>8431.0</f>
        <v>8431.0</v>
      </c>
      <c r="E25" s="22" t="n">
        <f>0.0</f>
        <v>0.0</v>
      </c>
      <c r="F25" s="23" t="n">
        <f>0.022</f>
        <v>0.022</v>
      </c>
      <c r="G25" s="21" t="n">
        <f>98045176800.0</f>
        <v>9.80451768E10</v>
      </c>
      <c r="H25" s="22" t="n">
        <f>0.0</f>
        <v>0.0</v>
      </c>
      <c r="I25" s="23" t="n">
        <f>0.024</f>
        <v>0.024</v>
      </c>
    </row>
    <row r="26" spans="1:9" ht="24.9" customHeight="1">
      <c r="A26" s="41"/>
      <c r="B26" s="39"/>
      <c r="C26" s="20" t="s">
        <v>17</v>
      </c>
      <c r="D26" s="21" t="n">
        <f>9720.0</f>
        <v>9720.0</v>
      </c>
      <c r="E26" s="22" t="n">
        <f>0.0</f>
        <v>0.0</v>
      </c>
      <c r="F26" s="23" t="n">
        <f>0.021</f>
        <v>0.021</v>
      </c>
      <c r="G26" s="21" t="n">
        <f>96667683800.0</f>
        <v>9.66676838E10</v>
      </c>
      <c r="H26" s="22" t="n">
        <f>0.0</f>
        <v>0.0</v>
      </c>
      <c r="I26" s="23" t="n">
        <f>0.015</f>
        <v>0.015</v>
      </c>
    </row>
    <row r="27" spans="1:9" ht="24.9" customHeight="1">
      <c r="A27" s="42"/>
      <c r="B27" s="39"/>
      <c r="C27" s="24" t="s">
        <v>18</v>
      </c>
      <c r="D27" s="25" t="n">
        <f>33248.0</f>
        <v>33248.0</v>
      </c>
      <c r="E27" s="26" t="n">
        <f>0.0</f>
        <v>0.0</v>
      </c>
      <c r="F27" s="27" t="n">
        <f>0.022</f>
        <v>0.022</v>
      </c>
      <c r="G27" s="25" t="n">
        <f>378481339350.0</f>
        <v>3.7848133935E11</v>
      </c>
      <c r="H27" s="26" t="n">
        <f>0.0</f>
        <v>0.0</v>
      </c>
      <c r="I27" s="27" t="n">
        <f>0.024</f>
        <v>0.024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261.0</f>
        <v>261.0</v>
      </c>
      <c r="E28" s="18" t="n">
        <f>0.0</f>
        <v>0.0</v>
      </c>
      <c r="F28" s="19" t="n">
        <f>0.0</f>
        <v>0.0</v>
      </c>
      <c r="G28" s="17" t="n">
        <f>986111500.0</f>
        <v>9.861115E8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218.0</f>
        <v>218.0</v>
      </c>
      <c r="E29" s="22" t="n">
        <f>0.0</f>
        <v>0.0</v>
      </c>
      <c r="F29" s="23" t="n">
        <f>0.001</f>
        <v>0.001</v>
      </c>
      <c r="G29" s="21" t="n">
        <f>818098500.0</f>
        <v>8.180985E8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3401.0</f>
        <v>3401.0</v>
      </c>
      <c r="E30" s="22" t="n">
        <f>0.0</f>
        <v>0.0</v>
      </c>
      <c r="F30" s="23" t="n">
        <f>0.007</f>
        <v>0.007</v>
      </c>
      <c r="G30" s="21" t="n">
        <f>12478088960.0</f>
        <v>1.247808896E10</v>
      </c>
      <c r="H30" s="22" t="n">
        <f>0.0</f>
        <v>0.0</v>
      </c>
      <c r="I30" s="23" t="n">
        <f>0.002</f>
        <v>0.002</v>
      </c>
    </row>
    <row r="31" spans="1:9" ht="24.9" customHeight="1">
      <c r="A31" s="38"/>
      <c r="B31" s="39"/>
      <c r="C31" s="24" t="s">
        <v>18</v>
      </c>
      <c r="D31" s="25" t="n">
        <f>3880.0</f>
        <v>3880.0</v>
      </c>
      <c r="E31" s="26" t="n">
        <f>0.0</f>
        <v>0.0</v>
      </c>
      <c r="F31" s="27" t="n">
        <f>0.003</f>
        <v>0.003</v>
      </c>
      <c r="G31" s="25" t="n">
        <f>14282298960.0</f>
        <v>1.428229896E10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46247.0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46247.0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33264</f>
        <v>33264.0</v>
      </c>
      <c r="E11" s="18" t="n">
        <f>5225</f>
        <v>5225.0</v>
      </c>
      <c r="F11" s="19" t="n">
        <f>1</f>
        <v>1.0</v>
      </c>
      <c r="G11" s="17" t="n">
        <f>4555452426</f>
        <v>4.555452426E9</v>
      </c>
      <c r="H11" s="18" t="n">
        <f>1706423626</f>
        <v>1.706423626E9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31357</f>
        <v>31357.0</v>
      </c>
      <c r="E12" s="22" t="n">
        <f>8284</f>
        <v>8284.0</v>
      </c>
      <c r="F12" s="23" t="n">
        <f>1</f>
        <v>1.0</v>
      </c>
      <c r="G12" s="21" t="n">
        <f>10928523366</f>
        <v>1.0928523366E10</v>
      </c>
      <c r="H12" s="22" t="n">
        <f>7626473290</f>
        <v>7.62647329E9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82102</f>
        <v>82102.0</v>
      </c>
      <c r="E13" s="22" t="n">
        <f>25402</f>
        <v>25402.0</v>
      </c>
      <c r="F13" s="23" t="n">
        <f>1</f>
        <v>1.0</v>
      </c>
      <c r="G13" s="21" t="n">
        <f>38664933648</f>
        <v>3.8664933648E10</v>
      </c>
      <c r="H13" s="22" t="n">
        <f>29415555180</f>
        <v>2.941555518E10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146723</f>
        <v>146723.0</v>
      </c>
      <c r="E14" s="26" t="n">
        <f>38911</f>
        <v>38911.0</v>
      </c>
      <c r="F14" s="27" t="n">
        <f>1</f>
        <v>1.0</v>
      </c>
      <c r="G14" s="25" t="n">
        <f>54148909440</f>
        <v>5.414890944E10</v>
      </c>
      <c r="H14" s="26" t="n">
        <f>38748452096</f>
        <v>3.8748452096E10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36</f>
        <v>36.0</v>
      </c>
      <c r="E16" s="22" t="n">
        <f>0</f>
        <v>0.0</v>
      </c>
      <c r="F16" s="23" t="n">
        <f>0.001</f>
        <v>0.001</v>
      </c>
      <c r="G16" s="21" t="n">
        <f>16440000</f>
        <v>1.644E7</v>
      </c>
      <c r="H16" s="22" t="n">
        <f>0</f>
        <v>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38</f>
        <v>38.0</v>
      </c>
      <c r="E17" s="22" t="n">
        <f>20</f>
        <v>20.0</v>
      </c>
      <c r="F17" s="23" t="n">
        <f>0</f>
        <v>0.0</v>
      </c>
      <c r="G17" s="21" t="n">
        <f>5770000</f>
        <v>5770000.0</v>
      </c>
      <c r="H17" s="22" t="n">
        <f>2200000</f>
        <v>2200000.0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74</f>
        <v>74.0</v>
      </c>
      <c r="E18" s="26" t="n">
        <f>20</f>
        <v>20.0</v>
      </c>
      <c r="F18" s="27" t="n">
        <f>0.001</f>
        <v>0.001</v>
      </c>
      <c r="G18" s="25" t="n">
        <f>22210000</f>
        <v>2.221E7</v>
      </c>
      <c r="H18" s="26" t="n">
        <f>2200000</f>
        <v>2200000.0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33264</f>
        <v>33264.0</v>
      </c>
      <c r="E19" s="18" t="n">
        <f>5225</f>
        <v>5225.0</v>
      </c>
      <c r="F19" s="19" t="n">
        <f>1</f>
        <v>1.0</v>
      </c>
      <c r="G19" s="17" t="n">
        <f>4555452426</f>
        <v>4.555452426E9</v>
      </c>
      <c r="H19" s="18" t="n">
        <f>1706423626</f>
        <v>1.706423626E9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29688</f>
        <v>29688.0</v>
      </c>
      <c r="E20" s="22" t="n">
        <f>7584</f>
        <v>7584.0</v>
      </c>
      <c r="F20" s="23" t="n">
        <f>0.947</f>
        <v>0.947</v>
      </c>
      <c r="G20" s="21" t="n">
        <f>10874696890</f>
        <v>1.087469689E10</v>
      </c>
      <c r="H20" s="22" t="n">
        <f>7601693290</f>
        <v>7.60169329E9</v>
      </c>
      <c r="I20" s="23" t="n">
        <f>0.995</f>
        <v>0.995</v>
      </c>
    </row>
    <row r="21" spans="1:9" ht="24.9" customHeight="1">
      <c r="A21" s="41"/>
      <c r="B21" s="39"/>
      <c r="C21" s="20" t="s">
        <v>17</v>
      </c>
      <c r="D21" s="21" t="n">
        <f>69618</f>
        <v>69618.0</v>
      </c>
      <c r="E21" s="22" t="n">
        <f>24682</f>
        <v>24682.0</v>
      </c>
      <c r="F21" s="23" t="n">
        <f>0.848</f>
        <v>0.848</v>
      </c>
      <c r="G21" s="21" t="n">
        <f>38493812580</f>
        <v>3.849381258E10</v>
      </c>
      <c r="H21" s="22" t="n">
        <f>29388575180</f>
        <v>2.938857518E10</v>
      </c>
      <c r="I21" s="23" t="n">
        <f>0.996</f>
        <v>0.996</v>
      </c>
    </row>
    <row r="22" spans="1:9" ht="24.9" customHeight="1">
      <c r="A22" s="41"/>
      <c r="B22" s="39"/>
      <c r="C22" s="24" t="s">
        <v>18</v>
      </c>
      <c r="D22" s="25" t="n">
        <f>132570</f>
        <v>132570.0</v>
      </c>
      <c r="E22" s="26" t="n">
        <f>37491</f>
        <v>37491.0</v>
      </c>
      <c r="F22" s="27" t="n">
        <f>0.904</f>
        <v>0.904</v>
      </c>
      <c r="G22" s="25" t="n">
        <f>53923961896</f>
        <v>5.3923961896E10</v>
      </c>
      <c r="H22" s="26" t="n">
        <f>38696692096</f>
        <v>3.8696692096E10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1633</f>
        <v>1633.0</v>
      </c>
      <c r="E24" s="22" t="n">
        <f>700</f>
        <v>700.0</v>
      </c>
      <c r="F24" s="23" t="n">
        <f>0.052</f>
        <v>0.052</v>
      </c>
      <c r="G24" s="21" t="n">
        <f>37386476</f>
        <v>3.7386476E7</v>
      </c>
      <c r="H24" s="22" t="n">
        <f>24780000</f>
        <v>2.478E7</v>
      </c>
      <c r="I24" s="23" t="n">
        <f>0.003</f>
        <v>0.003</v>
      </c>
    </row>
    <row r="25" spans="1:9" ht="24.9" customHeight="1">
      <c r="A25" s="41"/>
      <c r="B25" s="39"/>
      <c r="C25" s="20" t="s">
        <v>17</v>
      </c>
      <c r="D25" s="21" t="n">
        <f>12446</f>
        <v>12446.0</v>
      </c>
      <c r="E25" s="22" t="n">
        <f>700</f>
        <v>700.0</v>
      </c>
      <c r="F25" s="23" t="n">
        <f>0.152</f>
        <v>0.152</v>
      </c>
      <c r="G25" s="21" t="n">
        <f>165351068</f>
        <v>1.65351068E8</v>
      </c>
      <c r="H25" s="22" t="n">
        <f>24780000</f>
        <v>2.478E7</v>
      </c>
      <c r="I25" s="23" t="n">
        <f>0.004</f>
        <v>0.004</v>
      </c>
    </row>
    <row r="26" spans="1:9" ht="24.9" customHeight="1">
      <c r="A26" s="41"/>
      <c r="B26" s="39"/>
      <c r="C26" s="24" t="s">
        <v>18</v>
      </c>
      <c r="D26" s="25" t="n">
        <f>14079</f>
        <v>14079.0</v>
      </c>
      <c r="E26" s="26" t="n">
        <f>1400</f>
        <v>1400.0</v>
      </c>
      <c r="F26" s="27" t="n">
        <f>0.096</f>
        <v>0.096</v>
      </c>
      <c r="G26" s="25" t="n">
        <f>202737544</f>
        <v>2.02737544E8</v>
      </c>
      <c r="H26" s="26" t="n">
        <f>49560000</f>
        <v>4.956E7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46247.0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46247.0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12332.0</v>
      </c>
      <c r="F12" s="18" t="n">
        <f>1681</f>
        <v>1681.0</v>
      </c>
      <c r="G12" s="17" t="n">
        <v>8.4238726391E11</v>
      </c>
      <c r="H12" s="18" t="n">
        <f>114195397910</f>
        <v>1.1419539791E11</v>
      </c>
    </row>
    <row r="13" spans="1:8" ht="24.9" customHeight="1">
      <c r="A13" s="51"/>
      <c r="B13" s="57"/>
      <c r="C13" s="39"/>
      <c r="D13" s="20" t="s">
        <v>16</v>
      </c>
      <c r="E13" s="21" t="n">
        <v>9053.0</v>
      </c>
      <c r="F13" s="22" t="n">
        <f>1492</f>
        <v>1492.0</v>
      </c>
      <c r="G13" s="21" t="n">
        <v>6.203071955E11</v>
      </c>
      <c r="H13" s="22" t="n">
        <f>102230225500</f>
        <v>1.022302255E11</v>
      </c>
    </row>
    <row r="14" spans="1:8" ht="24.9" customHeight="1">
      <c r="A14" s="51"/>
      <c r="B14" s="57"/>
      <c r="C14" s="39"/>
      <c r="D14" s="20" t="s">
        <v>17</v>
      </c>
      <c r="E14" s="21" t="n">
        <v>27435.0</v>
      </c>
      <c r="F14" s="22" t="n">
        <f>13271</f>
        <v>13271.0</v>
      </c>
      <c r="G14" s="21" t="n">
        <v>1.87803063224E12</v>
      </c>
      <c r="H14" s="22" t="n">
        <f>907791541240</f>
        <v>9.0779154124E11</v>
      </c>
    </row>
    <row r="15" spans="1:8" ht="24.9" customHeight="1">
      <c r="A15" s="51"/>
      <c r="B15" s="57"/>
      <c r="C15" s="39"/>
      <c r="D15" s="24" t="s">
        <v>18</v>
      </c>
      <c r="E15" s="25" t="n">
        <v>48820.0</v>
      </c>
      <c r="F15" s="26" t="n">
        <f>16444</f>
        <v>16444.0</v>
      </c>
      <c r="G15" s="25" t="n">
        <v>3.34072509165E12</v>
      </c>
      <c r="H15" s="26" t="n">
        <f>1124217164650</f>
        <v>1.12421716465E12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252645.0</v>
      </c>
      <c r="F16" s="18" t="n">
        <f>37246</f>
        <v>37246.0</v>
      </c>
      <c r="G16" s="17" t="n">
        <v>1.72784818526E12</v>
      </c>
      <c r="H16" s="18" t="n">
        <f>254279621760</f>
        <v>2.5427962176E11</v>
      </c>
    </row>
    <row r="17" spans="1:8" ht="24.9" customHeight="1">
      <c r="A17" s="51"/>
      <c r="B17" s="57"/>
      <c r="C17" s="39"/>
      <c r="D17" s="20" t="s">
        <v>16</v>
      </c>
      <c r="E17" s="21" t="n">
        <v>147726.0</v>
      </c>
      <c r="F17" s="22" t="n">
        <f>20104</f>
        <v>20104.0</v>
      </c>
      <c r="G17" s="21" t="n">
        <v>1.01236119536E12</v>
      </c>
      <c r="H17" s="22" t="n">
        <f>137825408060</f>
        <v>1.3782540806E11</v>
      </c>
    </row>
    <row r="18" spans="1:8" ht="24.9" customHeight="1">
      <c r="A18" s="51"/>
      <c r="B18" s="57"/>
      <c r="C18" s="39"/>
      <c r="D18" s="20" t="s">
        <v>17</v>
      </c>
      <c r="E18" s="21" t="n">
        <v>191024.0</v>
      </c>
      <c r="F18" s="22" t="n">
        <f>34494</f>
        <v>34494.0</v>
      </c>
      <c r="G18" s="21" t="n">
        <v>1.31020437209E12</v>
      </c>
      <c r="H18" s="22" t="n">
        <f>236550721590</f>
        <v>2.3655072159E11</v>
      </c>
    </row>
    <row r="19" spans="1:8" ht="24.9" customHeight="1">
      <c r="A19" s="51"/>
      <c r="B19" s="57"/>
      <c r="C19" s="39"/>
      <c r="D19" s="24" t="s">
        <v>18</v>
      </c>
      <c r="E19" s="25" t="n">
        <v>591395.0</v>
      </c>
      <c r="F19" s="26" t="n">
        <f>91844</f>
        <v>91844.0</v>
      </c>
      <c r="G19" s="25" t="n">
        <v>4.05041375271E12</v>
      </c>
      <c r="H19" s="26" t="n">
        <f>628655751410</f>
        <v>6.2865575141E11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373377.0</v>
      </c>
      <c r="F20" s="18" t="str">
        <f>"－"</f>
        <v>－</v>
      </c>
      <c r="G20" s="17" t="n">
        <v>2.5537033805E11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179381.0</v>
      </c>
      <c r="F21" s="22" t="str">
        <f>"－"</f>
        <v>－</v>
      </c>
      <c r="G21" s="21" t="n">
        <v>1.2291169805E11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171285.0</v>
      </c>
      <c r="F22" s="22" t="str">
        <f>"－"</f>
        <v>－</v>
      </c>
      <c r="G22" s="21" t="n">
        <v>1.174995845E11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724043.0</v>
      </c>
      <c r="F23" s="26" t="str">
        <f>"－"</f>
        <v>－</v>
      </c>
      <c r="G23" s="25" t="n">
        <v>4.957816206E11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13655.0</v>
      </c>
      <c r="F24" s="18" t="n">
        <f>465</f>
        <v>465.0</v>
      </c>
      <c r="G24" s="17" t="n">
        <v>5.6999135E11</v>
      </c>
      <c r="H24" s="18" t="n">
        <f>19174125000</f>
        <v>1.9174125E10</v>
      </c>
    </row>
    <row r="25" spans="1:8" ht="24.9" customHeight="1">
      <c r="A25" s="51"/>
      <c r="B25" s="57"/>
      <c r="C25" s="39"/>
      <c r="D25" s="20" t="s">
        <v>16</v>
      </c>
      <c r="E25" s="21" t="n">
        <v>13778.0</v>
      </c>
      <c r="F25" s="22" t="n">
        <f>236</f>
        <v>236.0</v>
      </c>
      <c r="G25" s="21" t="n">
        <v>5.74757621E11</v>
      </c>
      <c r="H25" s="22" t="n">
        <f>9857591000</f>
        <v>9.857591E9</v>
      </c>
    </row>
    <row r="26" spans="1:8" ht="24.9" customHeight="1">
      <c r="A26" s="51"/>
      <c r="B26" s="57"/>
      <c r="C26" s="39"/>
      <c r="D26" s="20" t="s">
        <v>17</v>
      </c>
      <c r="E26" s="21" t="n">
        <v>27535.0</v>
      </c>
      <c r="F26" s="22" t="n">
        <f>4895</f>
        <v>4895.0</v>
      </c>
      <c r="G26" s="21" t="n">
        <v>1.15030032851E12</v>
      </c>
      <c r="H26" s="22" t="n">
        <f>204356203510</f>
        <v>2.0435620351E11</v>
      </c>
    </row>
    <row r="27" spans="1:8" ht="24.9" customHeight="1">
      <c r="A27" s="51"/>
      <c r="B27" s="57"/>
      <c r="C27" s="39"/>
      <c r="D27" s="24" t="s">
        <v>18</v>
      </c>
      <c r="E27" s="25" t="n">
        <v>54968.0</v>
      </c>
      <c r="F27" s="26" t="n">
        <f>5596</f>
        <v>5596.0</v>
      </c>
      <c r="G27" s="25" t="n">
        <v>2.29504929951E12</v>
      </c>
      <c r="H27" s="26" t="n">
        <f>233387919510</f>
        <v>2.3338791951E11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5960.0</v>
      </c>
      <c r="F28" s="18" t="n">
        <f>373</f>
        <v>373.0</v>
      </c>
      <c r="G28" s="17" t="n">
        <v>2.486283835E10</v>
      </c>
      <c r="H28" s="18" t="n">
        <f>1554643600</f>
        <v>1.5546436E9</v>
      </c>
    </row>
    <row r="29" spans="1:8" ht="24.9" customHeight="1">
      <c r="A29" s="51"/>
      <c r="B29" s="57"/>
      <c r="C29" s="39"/>
      <c r="D29" s="20" t="s">
        <v>16</v>
      </c>
      <c r="E29" s="21" t="n">
        <v>5908.0</v>
      </c>
      <c r="F29" s="22" t="n">
        <f>242</f>
        <v>242.0</v>
      </c>
      <c r="G29" s="21" t="n">
        <v>2.46553774E10</v>
      </c>
      <c r="H29" s="22" t="n">
        <f>1010043650</f>
        <v>1.01004365E9</v>
      </c>
    </row>
    <row r="30" spans="1:8" ht="24.9" customHeight="1">
      <c r="A30" s="51"/>
      <c r="B30" s="57"/>
      <c r="C30" s="39"/>
      <c r="D30" s="20" t="s">
        <v>17</v>
      </c>
      <c r="E30" s="21" t="n">
        <v>5602.0</v>
      </c>
      <c r="F30" s="22" t="n">
        <f>108</f>
        <v>108.0</v>
      </c>
      <c r="G30" s="21" t="n">
        <v>2.340165835E10</v>
      </c>
      <c r="H30" s="22" t="n">
        <f>450708600</f>
        <v>4.507086E8</v>
      </c>
    </row>
    <row r="31" spans="1:8" ht="24.9" customHeight="1">
      <c r="A31" s="51"/>
      <c r="B31" s="57"/>
      <c r="C31" s="39"/>
      <c r="D31" s="24" t="s">
        <v>18</v>
      </c>
      <c r="E31" s="25" t="n">
        <v>17470.0</v>
      </c>
      <c r="F31" s="26" t="n">
        <f>723</f>
        <v>723.0</v>
      </c>
      <c r="G31" s="25" t="n">
        <v>7.29198741E10</v>
      </c>
      <c r="H31" s="26" t="n">
        <f>3015395850</f>
        <v>3.01539585E9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639.0</v>
      </c>
      <c r="F36" s="18" t="n">
        <f>1</f>
        <v>1.0</v>
      </c>
      <c r="G36" s="17" t="n">
        <v>2.41613999E9</v>
      </c>
      <c r="H36" s="18" t="n">
        <f>3788990</f>
        <v>3788990.0</v>
      </c>
    </row>
    <row r="37" spans="1:8" ht="24.9" customHeight="1">
      <c r="A37" s="51"/>
      <c r="B37" s="57"/>
      <c r="C37" s="39"/>
      <c r="D37" s="20" t="s">
        <v>16</v>
      </c>
      <c r="E37" s="21" t="n">
        <v>679.0</v>
      </c>
      <c r="F37" s="22" t="n">
        <f>3</f>
        <v>3.0</v>
      </c>
      <c r="G37" s="21" t="n">
        <v>2.56552448E9</v>
      </c>
      <c r="H37" s="22" t="n">
        <f>11334980</f>
        <v>1.133498E7</v>
      </c>
    </row>
    <row r="38" spans="1:8" ht="24.9" customHeight="1">
      <c r="A38" s="51"/>
      <c r="B38" s="57"/>
      <c r="C38" s="39"/>
      <c r="D38" s="20" t="s">
        <v>17</v>
      </c>
      <c r="E38" s="21" t="n">
        <v>838.0</v>
      </c>
      <c r="F38" s="22" t="n">
        <f>6</f>
        <v>6.0</v>
      </c>
      <c r="G38" s="21" t="n">
        <v>3.16754299E9</v>
      </c>
      <c r="H38" s="22" t="n">
        <f>22615490</f>
        <v>2.261549E7</v>
      </c>
    </row>
    <row r="39" spans="1:8" ht="24.9" customHeight="1">
      <c r="A39" s="51"/>
      <c r="B39" s="57"/>
      <c r="C39" s="39"/>
      <c r="D39" s="24" t="s">
        <v>18</v>
      </c>
      <c r="E39" s="25" t="n">
        <v>2156.0</v>
      </c>
      <c r="F39" s="26" t="n">
        <f>10</f>
        <v>10.0</v>
      </c>
      <c r="G39" s="25" t="n">
        <v>8.14920746E9</v>
      </c>
      <c r="H39" s="26" t="n">
        <f>37739460</f>
        <v>3.773946E7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8.0</v>
      </c>
      <c r="F45" s="22" t="n">
        <f>8</f>
        <v>8.0</v>
      </c>
      <c r="G45" s="21" t="n">
        <v>6.104E7</v>
      </c>
      <c r="H45" s="22" t="n">
        <f>61040000</f>
        <v>6.104E7</v>
      </c>
    </row>
    <row r="46" spans="1:8" ht="24.9" customHeight="1">
      <c r="A46" s="51"/>
      <c r="B46" s="57"/>
      <c r="C46" s="39"/>
      <c r="D46" s="20" t="s">
        <v>17</v>
      </c>
      <c r="E46" s="21" t="n">
        <v>25.0</v>
      </c>
      <c r="F46" s="22" t="n">
        <f>0</f>
        <v>0.0</v>
      </c>
      <c r="G46" s="21" t="n">
        <v>1.90575E8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33.0</v>
      </c>
      <c r="F47" s="26" t="n">
        <f>8</f>
        <v>8.0</v>
      </c>
      <c r="G47" s="25" t="n">
        <v>2.51615E8</v>
      </c>
      <c r="H47" s="26" t="n">
        <f>61040000</f>
        <v>6.104E7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4.0</v>
      </c>
      <c r="F48" s="18" t="n">
        <f>4</f>
        <v>4.0</v>
      </c>
      <c r="G48" s="17" t="n">
        <v>7232000.0</v>
      </c>
      <c r="H48" s="18" t="n">
        <f>7232000</f>
        <v>7232000.0</v>
      </c>
    </row>
    <row r="49" spans="1:8" ht="24.9" customHeight="1">
      <c r="A49" s="51"/>
      <c r="B49" s="57"/>
      <c r="C49" s="39"/>
      <c r="D49" s="20" t="s">
        <v>16</v>
      </c>
      <c r="E49" s="21" t="n">
        <v>38.0</v>
      </c>
      <c r="F49" s="22" t="n">
        <f>0</f>
        <v>0.0</v>
      </c>
      <c r="G49" s="21" t="n">
        <v>6.87145E7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987.0</v>
      </c>
      <c r="F50" s="22" t="n">
        <f>887</f>
        <v>887.0</v>
      </c>
      <c r="G50" s="21" t="n">
        <v>1.77223862E9</v>
      </c>
      <c r="H50" s="22" t="n">
        <f>1591982120</f>
        <v>1.59198212E9</v>
      </c>
    </row>
    <row r="51" spans="1:8" ht="24.9" customHeight="1">
      <c r="A51" s="51"/>
      <c r="B51" s="57"/>
      <c r="C51" s="39"/>
      <c r="D51" s="24" t="s">
        <v>18</v>
      </c>
      <c r="E51" s="25" t="n">
        <v>1029.0</v>
      </c>
      <c r="F51" s="26" t="n">
        <f>891</f>
        <v>891.0</v>
      </c>
      <c r="G51" s="25" t="n">
        <v>1.84818512E9</v>
      </c>
      <c r="H51" s="26" t="n">
        <f>1599214120</f>
        <v>1.59921412E9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374.0</v>
      </c>
      <c r="F56" s="18" t="n">
        <f>12</f>
        <v>12.0</v>
      </c>
      <c r="G56" s="17" t="n">
        <v>2.769279E8</v>
      </c>
      <c r="H56" s="18" t="n">
        <f>8904900</f>
        <v>8904900.0</v>
      </c>
    </row>
    <row r="57" spans="1:8" ht="24.9" customHeight="1">
      <c r="A57" s="51"/>
      <c r="B57" s="57"/>
      <c r="C57" s="39"/>
      <c r="D57" s="20" t="s">
        <v>16</v>
      </c>
      <c r="E57" s="21" t="n">
        <v>433.0</v>
      </c>
      <c r="F57" s="22" t="n">
        <f>23</f>
        <v>23.0</v>
      </c>
      <c r="G57" s="21" t="n">
        <v>3.188271E8</v>
      </c>
      <c r="H57" s="22" t="n">
        <f>16909100</f>
        <v>1.69091E7</v>
      </c>
    </row>
    <row r="58" spans="1:8" ht="24.9" customHeight="1">
      <c r="A58" s="51"/>
      <c r="B58" s="57"/>
      <c r="C58" s="39"/>
      <c r="D58" s="20" t="s">
        <v>17</v>
      </c>
      <c r="E58" s="21" t="n">
        <v>471.0</v>
      </c>
      <c r="F58" s="22" t="n">
        <f>34</f>
        <v>34.0</v>
      </c>
      <c r="G58" s="21" t="n">
        <v>3.4615496E8</v>
      </c>
      <c r="H58" s="22" t="n">
        <f>25146960</f>
        <v>2.514696E7</v>
      </c>
    </row>
    <row r="59" spans="1:8" ht="24.9" customHeight="1">
      <c r="A59" s="51"/>
      <c r="B59" s="57"/>
      <c r="C59" s="39"/>
      <c r="D59" s="24" t="s">
        <v>18</v>
      </c>
      <c r="E59" s="25" t="n">
        <v>1278.0</v>
      </c>
      <c r="F59" s="26" t="n">
        <f>69</f>
        <v>69.0</v>
      </c>
      <c r="G59" s="25" t="n">
        <v>9.4190996E8</v>
      </c>
      <c r="H59" s="26" t="n">
        <f>50960960</f>
        <v>5.096096E7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97.0</v>
      </c>
      <c r="F60" s="18" t="n">
        <f>4</f>
        <v>4.0</v>
      </c>
      <c r="G60" s="17" t="n">
        <v>5.232306E8</v>
      </c>
      <c r="H60" s="18" t="n">
        <f>21594600</f>
        <v>2.15946E7</v>
      </c>
    </row>
    <row r="61" spans="1:8" ht="24.9" customHeight="1">
      <c r="A61" s="51"/>
      <c r="B61" s="57"/>
      <c r="C61" s="39"/>
      <c r="D61" s="20" t="s">
        <v>16</v>
      </c>
      <c r="E61" s="21" t="n">
        <v>7.0</v>
      </c>
      <c r="F61" s="22" t="n">
        <f>0</f>
        <v>0.0</v>
      </c>
      <c r="G61" s="21" t="n">
        <v>3.76849E7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22.0</v>
      </c>
      <c r="F62" s="22" t="n">
        <f>2</f>
        <v>2.0</v>
      </c>
      <c r="G62" s="21" t="n">
        <v>1.1846029E8</v>
      </c>
      <c r="H62" s="22" t="n">
        <f>10774490</f>
        <v>1.077449E7</v>
      </c>
    </row>
    <row r="63" spans="1:8" ht="24.9" customHeight="1">
      <c r="A63" s="51"/>
      <c r="B63" s="57"/>
      <c r="C63" s="39"/>
      <c r="D63" s="24" t="s">
        <v>18</v>
      </c>
      <c r="E63" s="25" t="n">
        <v>126.0</v>
      </c>
      <c r="F63" s="26" t="n">
        <f>6</f>
        <v>6.0</v>
      </c>
      <c r="G63" s="25" t="n">
        <v>6.7937579E8</v>
      </c>
      <c r="H63" s="26" t="n">
        <f>32369090</f>
        <v>3.236909E7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12.0</v>
      </c>
      <c r="F77" s="22" t="n">
        <f>0</f>
        <v>0.0</v>
      </c>
      <c r="G77" s="21" t="n">
        <v>4358000.0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16.0</v>
      </c>
      <c r="F78" s="22" t="n">
        <f>0</f>
        <v>0.0</v>
      </c>
      <c r="G78" s="21" t="n">
        <v>5551500.0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28.0</v>
      </c>
      <c r="F79" s="26" t="n">
        <f>0</f>
        <v>0.0</v>
      </c>
      <c r="G79" s="25" t="n">
        <v>9909500.0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161.0</v>
      </c>
      <c r="F92" s="18" t="n">
        <f>0</f>
        <v>0.0</v>
      </c>
      <c r="G92" s="17" t="n">
        <v>2.55349E8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32.0</v>
      </c>
      <c r="F93" s="22" t="n">
        <f>0</f>
        <v>0.0</v>
      </c>
      <c r="G93" s="21" t="n">
        <v>5.08674E7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179.0</v>
      </c>
      <c r="F94" s="22" t="n">
        <f>0</f>
        <v>0.0</v>
      </c>
      <c r="G94" s="21" t="n">
        <v>2.845811E8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372.0</v>
      </c>
      <c r="F95" s="26" t="n">
        <f>0</f>
        <v>0.0</v>
      </c>
      <c r="G95" s="25" t="n">
        <v>5.907975E8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4.0</v>
      </c>
      <c r="F96" s="18" t="n">
        <f>0</f>
        <v>0.0</v>
      </c>
      <c r="G96" s="17" t="n">
        <v>9408000.0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6.0</v>
      </c>
      <c r="F97" s="22" t="n">
        <f>0</f>
        <v>0.0</v>
      </c>
      <c r="G97" s="21" t="n">
        <v>1.41702E7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50.0</v>
      </c>
      <c r="F98" s="22" t="n">
        <f>0</f>
        <v>0.0</v>
      </c>
      <c r="G98" s="21" t="n">
        <v>1.180698E8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60.0</v>
      </c>
      <c r="F99" s="26" t="n">
        <f>0</f>
        <v>0.0</v>
      </c>
      <c r="G99" s="25" t="n">
        <v>1.41648E8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10691.0</v>
      </c>
      <c r="F108" s="18" t="n">
        <f>481</f>
        <v>481.0</v>
      </c>
      <c r="G108" s="17" t="n">
        <v>1.35454983E12</v>
      </c>
      <c r="H108" s="18" t="n">
        <f>60899710000</f>
        <v>6.089971E10</v>
      </c>
    </row>
    <row r="109" spans="1:8" ht="24.9" customHeight="1">
      <c r="A109" s="51"/>
      <c r="B109" s="57"/>
      <c r="C109" s="39"/>
      <c r="D109" s="20" t="s">
        <v>16</v>
      </c>
      <c r="E109" s="21" t="n">
        <v>13026.0</v>
      </c>
      <c r="F109" s="22" t="n">
        <f>820</f>
        <v>820.0</v>
      </c>
      <c r="G109" s="21" t="n">
        <v>1.649557575E12</v>
      </c>
      <c r="H109" s="22" t="n">
        <f>103886445000</f>
        <v>1.03886445E11</v>
      </c>
    </row>
    <row r="110" spans="1:8" ht="24.9" customHeight="1">
      <c r="A110" s="51"/>
      <c r="B110" s="57"/>
      <c r="C110" s="39"/>
      <c r="D110" s="20" t="s">
        <v>17</v>
      </c>
      <c r="E110" s="21" t="n">
        <v>14646.0</v>
      </c>
      <c r="F110" s="22" t="n">
        <f>1024</f>
        <v>1024.0</v>
      </c>
      <c r="G110" s="21" t="n">
        <v>1.852842685E12</v>
      </c>
      <c r="H110" s="22" t="n">
        <f>129597285000</f>
        <v>1.29597285E11</v>
      </c>
    </row>
    <row r="111" spans="1:8" ht="24.9" customHeight="1">
      <c r="A111" s="51"/>
      <c r="B111" s="57"/>
      <c r="C111" s="39"/>
      <c r="D111" s="24" t="s">
        <v>18</v>
      </c>
      <c r="E111" s="25" t="n">
        <v>38363.0</v>
      </c>
      <c r="F111" s="26" t="n">
        <f>2325</f>
        <v>2325.0</v>
      </c>
      <c r="G111" s="25" t="n">
        <v>4.85695009E12</v>
      </c>
      <c r="H111" s="26" t="n">
        <f>294383440000</f>
        <v>2.9438344E11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930.0</v>
      </c>
      <c r="F113" s="22" t="n">
        <f>0</f>
        <v>0.0</v>
      </c>
      <c r="G113" s="21" t="n">
        <v>1.177839E10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756.0</v>
      </c>
      <c r="F114" s="22" t="n">
        <f>0</f>
        <v>0.0</v>
      </c>
      <c r="G114" s="21" t="n">
        <v>9.562671E9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1686.0</v>
      </c>
      <c r="F115" s="26" t="n">
        <f>0</f>
        <v>0.0</v>
      </c>
      <c r="G115" s="25" t="n">
        <v>2.1341061E10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55.0</v>
      </c>
      <c r="F118" s="22" t="n">
        <f>0</f>
        <v>0.0</v>
      </c>
      <c r="G118" s="21" t="n">
        <v>4.939E8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55.0</v>
      </c>
      <c r="F119" s="26" t="n">
        <f>0</f>
        <v>0.0</v>
      </c>
      <c r="G119" s="25" t="n">
        <v>4.939E8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933.0</v>
      </c>
      <c r="F120" s="18" t="n">
        <f>0</f>
        <v>0.0</v>
      </c>
      <c r="G120" s="17" t="n">
        <v>2.3022585625E10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251.0</v>
      </c>
      <c r="F121" s="22" t="n">
        <f>0</f>
        <v>0.0</v>
      </c>
      <c r="G121" s="21" t="n">
        <v>6.18174E9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761.0</v>
      </c>
      <c r="F122" s="22" t="n">
        <f>0</f>
        <v>0.0</v>
      </c>
      <c r="G122" s="21" t="n">
        <v>1.8760750625E10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1945.0</v>
      </c>
      <c r="F123" s="26" t="n">
        <f>0</f>
        <v>0.0</v>
      </c>
      <c r="G123" s="25" t="n">
        <v>4.796507625E10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7031.0</v>
      </c>
      <c r="F124" s="18" t="n">
        <f>0</f>
        <v>0.0</v>
      </c>
      <c r="G124" s="17" t="n">
        <v>1.62626931E11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3672.0</v>
      </c>
      <c r="F125" s="22" t="n">
        <f>0</f>
        <v>0.0</v>
      </c>
      <c r="G125" s="21" t="n">
        <v>8.5198776E10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3543.0</v>
      </c>
      <c r="F126" s="22" t="n">
        <f>0</f>
        <v>0.0</v>
      </c>
      <c r="G126" s="21" t="n">
        <v>8.1712902E10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14246.0</v>
      </c>
      <c r="F127" s="26" t="n">
        <f>0</f>
        <v>0.0</v>
      </c>
      <c r="G127" s="25" t="n">
        <v>3.29538609E11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161.0</v>
      </c>
      <c r="F128" s="18" t="n">
        <f>0</f>
        <v>0.0</v>
      </c>
      <c r="G128" s="17" t="n">
        <v>3.696245E8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139.0</v>
      </c>
      <c r="F129" s="22" t="n">
        <f>0</f>
        <v>0.0</v>
      </c>
      <c r="G129" s="21" t="n">
        <v>3.207888E8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30.0</v>
      </c>
      <c r="F130" s="22" t="n">
        <f>0</f>
        <v>0.0</v>
      </c>
      <c r="G130" s="21" t="n">
        <v>6.87733E7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330.0</v>
      </c>
      <c r="F131" s="26" t="n">
        <f>0</f>
        <v>0.0</v>
      </c>
      <c r="G131" s="25" t="n">
        <v>7.591866E8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5455.0</v>
      </c>
      <c r="F132" s="18" t="n">
        <f>0</f>
        <v>0.0</v>
      </c>
      <c r="G132" s="17" t="n">
        <v>1.26432782E10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2949.0</v>
      </c>
      <c r="F133" s="22" t="n">
        <f>0</f>
        <v>0.0</v>
      </c>
      <c r="G133" s="21" t="n">
        <v>6.86098175E9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3693.0</v>
      </c>
      <c r="F134" s="22" t="n">
        <f>0</f>
        <v>0.0</v>
      </c>
      <c r="G134" s="21" t="n">
        <v>8.5377524E9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12097.0</v>
      </c>
      <c r="F135" s="26" t="n">
        <f>0</f>
        <v>0.0</v>
      </c>
      <c r="G135" s="25" t="n">
        <v>2.804201235E10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30.0</v>
      </c>
      <c r="F136" s="18" t="n">
        <f>0</f>
        <v>0.0</v>
      </c>
      <c r="G136" s="17" t="n">
        <v>6.83695E7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49.0</v>
      </c>
      <c r="F137" s="22" t="n">
        <f>0</f>
        <v>0.0</v>
      </c>
      <c r="G137" s="21" t="n">
        <v>1.121507E8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48.0</v>
      </c>
      <c r="F138" s="22" t="n">
        <f>0</f>
        <v>0.0</v>
      </c>
      <c r="G138" s="21" t="n">
        <v>1.090211E8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127.0</v>
      </c>
      <c r="F139" s="26" t="n">
        <f>0</f>
        <v>0.0</v>
      </c>
      <c r="G139" s="25" t="n">
        <v>2.895413E8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1.0</v>
      </c>
      <c r="F140" s="18" t="n">
        <f>0</f>
        <v>0.0</v>
      </c>
      <c r="G140" s="17" t="n">
        <v>1.032E7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1.0</v>
      </c>
      <c r="F142" s="22" t="n">
        <f>0</f>
        <v>0.0</v>
      </c>
      <c r="G142" s="21" t="n">
        <v>1.02E7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2.0</v>
      </c>
      <c r="F143" s="26" t="n">
        <f>0</f>
        <v>0.0</v>
      </c>
      <c r="G143" s="25" t="n">
        <v>2.052E7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1598.0</v>
      </c>
      <c r="F144" s="18" t="n">
        <f>0</f>
        <v>0.0</v>
      </c>
      <c r="G144" s="17" t="n">
        <v>7.1963615E9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1094.0</v>
      </c>
      <c r="F145" s="22" t="n">
        <f>0</f>
        <v>0.0</v>
      </c>
      <c r="G145" s="21" t="n">
        <v>4.8929185E9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1014.0</v>
      </c>
      <c r="F146" s="22" t="n">
        <f>0</f>
        <v>0.0</v>
      </c>
      <c r="G146" s="21" t="n">
        <v>4.500923E9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3706.0</v>
      </c>
      <c r="F147" s="26" t="n">
        <f>0</f>
        <v>0.0</v>
      </c>
      <c r="G147" s="25" t="n">
        <v>1.6590203E10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51.0</v>
      </c>
      <c r="F148" s="18" t="n">
        <f>0</f>
        <v>0.0</v>
      </c>
      <c r="G148" s="17" t="n">
        <v>4.65045E7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121.0</v>
      </c>
      <c r="F149" s="22" t="n">
        <f>0</f>
        <v>0.0</v>
      </c>
      <c r="G149" s="21" t="n">
        <v>1.103438E8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116.0</v>
      </c>
      <c r="F150" s="22" t="n">
        <f>0</f>
        <v>0.0</v>
      </c>
      <c r="G150" s="21" t="n">
        <v>1.047905E8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288.0</v>
      </c>
      <c r="F151" s="26" t="n">
        <f>0</f>
        <v>0.0</v>
      </c>
      <c r="G151" s="25" t="n">
        <v>2.616388E8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418.0</v>
      </c>
      <c r="F152" s="18" t="n">
        <f>0</f>
        <v>0.0</v>
      </c>
      <c r="G152" s="17" t="n">
        <v>3.7608265E8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209.0</v>
      </c>
      <c r="F153" s="22" t="n">
        <f>0</f>
        <v>0.0</v>
      </c>
      <c r="G153" s="21" t="n">
        <v>1.8670015E8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436.0</v>
      </c>
      <c r="F154" s="22" t="n">
        <f>0</f>
        <v>0.0</v>
      </c>
      <c r="G154" s="21" t="n">
        <v>3.866938E8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1063.0</v>
      </c>
      <c r="F155" s="26" t="n">
        <f>0</f>
        <v>0.0</v>
      </c>
      <c r="G155" s="25" t="n">
        <v>9.494766E8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262.0</v>
      </c>
      <c r="F156" s="18" t="n">
        <f>0</f>
        <v>0.0</v>
      </c>
      <c r="G156" s="17" t="n">
        <v>2.343454E8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50.0</v>
      </c>
      <c r="F157" s="22" t="n">
        <f>0</f>
        <v>0.0</v>
      </c>
      <c r="G157" s="21" t="n">
        <v>4.49836E7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434.0</v>
      </c>
      <c r="F158" s="22" t="n">
        <f>0</f>
        <v>0.0</v>
      </c>
      <c r="G158" s="21" t="n">
        <v>3.854402E8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746.0</v>
      </c>
      <c r="F159" s="26" t="n">
        <f>0</f>
        <v>0.0</v>
      </c>
      <c r="G159" s="25" t="n">
        <v>6.647692E8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90.0</v>
      </c>
      <c r="F168" s="18" t="n">
        <f>0</f>
        <v>0.0</v>
      </c>
      <c r="G168" s="17" t="n">
        <v>1.966615E8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148.0</v>
      </c>
      <c r="F169" s="22" t="n">
        <f>0</f>
        <v>0.0</v>
      </c>
      <c r="G169" s="21" t="n">
        <v>3.175335E8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360.0</v>
      </c>
      <c r="F170" s="22" t="n">
        <f>0</f>
        <v>0.0</v>
      </c>
      <c r="G170" s="21" t="n">
        <v>7.705125E8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598.0</v>
      </c>
      <c r="F171" s="26" t="n">
        <f>0</f>
        <v>0.0</v>
      </c>
      <c r="G171" s="25" t="n">
        <v>1.2847075E9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45.0</v>
      </c>
      <c r="F178" s="22" t="n">
        <f>0</f>
        <v>0.0</v>
      </c>
      <c r="G178" s="21" t="n">
        <v>8.0675E7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45.0</v>
      </c>
      <c r="F179" s="26" t="n">
        <f>0</f>
        <v>0.0</v>
      </c>
      <c r="G179" s="25" t="n">
        <v>8.0675E7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261.0</v>
      </c>
      <c r="F204" s="18" t="n">
        <f>0</f>
        <v>0.0</v>
      </c>
      <c r="G204" s="17" t="n">
        <v>9.861115E8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218.0</v>
      </c>
      <c r="F205" s="22" t="n">
        <f>0</f>
        <v>0.0</v>
      </c>
      <c r="G205" s="21" t="n">
        <v>8.180985E8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3296.0</v>
      </c>
      <c r="F206" s="22" t="n">
        <f>0</f>
        <v>0.0</v>
      </c>
      <c r="G206" s="21" t="n">
        <v>1.2441113E10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3775.0</v>
      </c>
      <c r="F207" s="26" t="n">
        <f>0</f>
        <v>0.0</v>
      </c>
      <c r="G207" s="25" t="n">
        <v>1.4245323E10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100.0</v>
      </c>
      <c r="F234" s="22" t="n">
        <f>0</f>
        <v>0.0</v>
      </c>
      <c r="G234" s="21" t="n">
        <v>3.545556E7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100.0</v>
      </c>
      <c r="F235" s="26" t="n">
        <f>0</f>
        <v>0.0</v>
      </c>
      <c r="G235" s="25" t="n">
        <v>3.545556E7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5.0</v>
      </c>
      <c r="F238" s="22" t="n">
        <f>0</f>
        <v>0.0</v>
      </c>
      <c r="G238" s="21" t="n">
        <v>1520400.0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5.0</v>
      </c>
      <c r="F239" s="26" t="n">
        <f>0</f>
        <v>0.0</v>
      </c>
      <c r="G239" s="25" t="n">
        <v>1520400.0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46247.0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46247.0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5852</f>
        <v>5852.0</v>
      </c>
      <c r="E12" s="35" t="n">
        <f>2583</f>
        <v>2583.0</v>
      </c>
      <c r="F12" s="17" t="n">
        <f>5020</f>
        <v>5020.0</v>
      </c>
      <c r="G12" s="35" t="n">
        <f>724</f>
        <v>724.0</v>
      </c>
      <c r="H12" s="17" t="n">
        <f>10872</f>
        <v>10872.0</v>
      </c>
      <c r="I12" s="35" t="n">
        <f>3307</f>
        <v>3307.0</v>
      </c>
      <c r="J12" s="17" t="n">
        <f>1667679300</f>
        <v>1.6676793E9</v>
      </c>
      <c r="K12" s="35" t="n">
        <f>1148145300</f>
        <v>1.1481453E9</v>
      </c>
      <c r="L12" s="17" t="n">
        <f>1438970040</f>
        <v>1.43897004E9</v>
      </c>
      <c r="M12" s="35" t="n">
        <f>116105040</f>
        <v>1.1610504E8</v>
      </c>
      <c r="N12" s="17" t="n">
        <f>3106649340</f>
        <v>3.10664934E9</v>
      </c>
      <c r="O12" s="35" t="n">
        <f>1264250340</f>
        <v>1.26425034E9</v>
      </c>
    </row>
    <row r="13" spans="1:15" ht="24.9" customHeight="1">
      <c r="A13" s="38"/>
      <c r="B13" s="62"/>
      <c r="C13" s="20" t="s">
        <v>16</v>
      </c>
      <c r="D13" s="21" t="n">
        <f>9796</f>
        <v>9796.0</v>
      </c>
      <c r="E13" s="36" t="n">
        <f>4883</f>
        <v>4883.0</v>
      </c>
      <c r="F13" s="21" t="n">
        <f>6028</f>
        <v>6028.0</v>
      </c>
      <c r="G13" s="36" t="n">
        <f>1781</f>
        <v>1781.0</v>
      </c>
      <c r="H13" s="21" t="n">
        <f>15824</f>
        <v>15824.0</v>
      </c>
      <c r="I13" s="36" t="n">
        <f>6664</f>
        <v>6664.0</v>
      </c>
      <c r="J13" s="21" t="n">
        <f>5731853770</f>
        <v>5.73185377E9</v>
      </c>
      <c r="K13" s="36" t="n">
        <f>4477790770</f>
        <v>4.47779077E9</v>
      </c>
      <c r="L13" s="21" t="n">
        <f>4057285220</f>
        <v>4.05728522E9</v>
      </c>
      <c r="M13" s="36" t="n">
        <f>2947105220</f>
        <v>2.94710522E9</v>
      </c>
      <c r="N13" s="21" t="n">
        <f>9789138990</f>
        <v>9.78913899E9</v>
      </c>
      <c r="O13" s="36" t="n">
        <f>7424895990</f>
        <v>7.42489599E9</v>
      </c>
    </row>
    <row r="14" spans="1:15" ht="24.9" customHeight="1">
      <c r="A14" s="38"/>
      <c r="B14" s="62"/>
      <c r="C14" s="20" t="s">
        <v>17</v>
      </c>
      <c r="D14" s="21" t="n">
        <f>20173</f>
        <v>20173.0</v>
      </c>
      <c r="E14" s="36" t="n">
        <f>12562</f>
        <v>12562.0</v>
      </c>
      <c r="F14" s="21" t="n">
        <f>14216</f>
        <v>14216.0</v>
      </c>
      <c r="G14" s="36" t="n">
        <f>8000</f>
        <v>8000.0</v>
      </c>
      <c r="H14" s="21" t="n">
        <f>34389</f>
        <v>34389.0</v>
      </c>
      <c r="I14" s="36" t="n">
        <f>20562</f>
        <v>20562.0</v>
      </c>
      <c r="J14" s="21" t="n">
        <f>18797187160</f>
        <v>1.879718716E10</v>
      </c>
      <c r="K14" s="36" t="n">
        <f>15314247160</f>
        <v>1.531424716E10</v>
      </c>
      <c r="L14" s="21" t="n">
        <f>13690482610</f>
        <v>1.369048261E10</v>
      </c>
      <c r="M14" s="36" t="n">
        <f>11679955610</f>
        <v>1.167995561E10</v>
      </c>
      <c r="N14" s="21" t="n">
        <f>32487669770</f>
        <v>3.248766977E10</v>
      </c>
      <c r="O14" s="36" t="n">
        <f>26994202770</f>
        <v>2.699420277E10</v>
      </c>
    </row>
    <row r="15" spans="1:15" ht="24.9" customHeight="1">
      <c r="A15" s="38"/>
      <c r="B15" s="62"/>
      <c r="C15" s="24" t="s">
        <v>18</v>
      </c>
      <c r="D15" s="25" t="n">
        <f>35821</f>
        <v>35821.0</v>
      </c>
      <c r="E15" s="37" t="n">
        <f>20028</f>
        <v>20028.0</v>
      </c>
      <c r="F15" s="25" t="n">
        <f>25264</f>
        <v>25264.0</v>
      </c>
      <c r="G15" s="37" t="n">
        <f>10505</f>
        <v>10505.0</v>
      </c>
      <c r="H15" s="25" t="n">
        <f>61085</f>
        <v>61085.0</v>
      </c>
      <c r="I15" s="37" t="n">
        <f>30533</f>
        <v>30533.0</v>
      </c>
      <c r="J15" s="25" t="n">
        <f>26196720230</f>
        <v>2.619672023E10</v>
      </c>
      <c r="K15" s="37" t="n">
        <f>20940183230</f>
        <v>2.094018323E10</v>
      </c>
      <c r="L15" s="25" t="n">
        <f>19186737870</f>
        <v>1.918673787E10</v>
      </c>
      <c r="M15" s="37" t="n">
        <f>14743165870</f>
        <v>1.474316587E10</v>
      </c>
      <c r="N15" s="25" t="n">
        <f>45383458100</f>
        <v>4.53834581E10</v>
      </c>
      <c r="O15" s="37" t="n">
        <f>35683349100</f>
        <v>3.56833491E10</v>
      </c>
    </row>
    <row r="16" spans="1:15" ht="24.9" customHeight="1">
      <c r="A16" s="38"/>
      <c r="B16" s="61" t="s">
        <v>105</v>
      </c>
      <c r="C16" s="16" t="s">
        <v>15</v>
      </c>
      <c r="D16" s="17" t="n">
        <f>11268</f>
        <v>11268.0</v>
      </c>
      <c r="E16" s="35" t="n">
        <f>640</f>
        <v>640.0</v>
      </c>
      <c r="F16" s="17" t="n">
        <f>10316</f>
        <v>10316.0</v>
      </c>
      <c r="G16" s="35" t="n">
        <f>470</f>
        <v>470.0</v>
      </c>
      <c r="H16" s="17" t="n">
        <f>21584</f>
        <v>21584.0</v>
      </c>
      <c r="I16" s="35" t="n">
        <f>1110</f>
        <v>1110.0</v>
      </c>
      <c r="J16" s="17" t="n">
        <f>410098080</f>
        <v>4.1009808E8</v>
      </c>
      <c r="K16" s="35" t="n">
        <f>9653380</f>
        <v>9653380.0</v>
      </c>
      <c r="L16" s="17" t="n">
        <f>613725050</f>
        <v>6.1372505E8</v>
      </c>
      <c r="M16" s="35" t="n">
        <f>7539950</f>
        <v>7539950.0</v>
      </c>
      <c r="N16" s="17" t="n">
        <f>1023823130</f>
        <v>1.02382313E9</v>
      </c>
      <c r="O16" s="35" t="n">
        <f>17193330</f>
        <v>1.719333E7</v>
      </c>
    </row>
    <row r="17" spans="1:15" ht="24.9" customHeight="1">
      <c r="A17" s="38"/>
      <c r="B17" s="62"/>
      <c r="C17" s="20" t="s">
        <v>16</v>
      </c>
      <c r="D17" s="21" t="n">
        <f>7420</f>
        <v>7420.0</v>
      </c>
      <c r="E17" s="36" t="n">
        <f>450</f>
        <v>450.0</v>
      </c>
      <c r="F17" s="21" t="n">
        <f>6305</f>
        <v>6305.0</v>
      </c>
      <c r="G17" s="36" t="n">
        <f>370</f>
        <v>370.0</v>
      </c>
      <c r="H17" s="21" t="n">
        <f>13725</f>
        <v>13725.0</v>
      </c>
      <c r="I17" s="36" t="n">
        <f>820</f>
        <v>820.0</v>
      </c>
      <c r="J17" s="21" t="n">
        <f>431185500</f>
        <v>4.311855E8</v>
      </c>
      <c r="K17" s="36" t="n">
        <f>8671900</f>
        <v>8671900.0</v>
      </c>
      <c r="L17" s="21" t="n">
        <f>481022400</f>
        <v>4.810224E8</v>
      </c>
      <c r="M17" s="36" t="n">
        <f>8125400</f>
        <v>8125400.0</v>
      </c>
      <c r="N17" s="21" t="n">
        <f>912207900</f>
        <v>9.122079E8</v>
      </c>
      <c r="O17" s="36" t="n">
        <f>16797300</f>
        <v>1.67973E7</v>
      </c>
    </row>
    <row r="18" spans="1:15" ht="24.9" customHeight="1">
      <c r="A18" s="38"/>
      <c r="B18" s="62"/>
      <c r="C18" s="20" t="s">
        <v>17</v>
      </c>
      <c r="D18" s="21" t="n">
        <f>16429</f>
        <v>16429.0</v>
      </c>
      <c r="E18" s="36" t="n">
        <f>780</f>
        <v>780.0</v>
      </c>
      <c r="F18" s="21" t="n">
        <f>15660</f>
        <v>15660.0</v>
      </c>
      <c r="G18" s="36" t="n">
        <f>240</f>
        <v>240.0</v>
      </c>
      <c r="H18" s="21" t="n">
        <f>32089</f>
        <v>32089.0</v>
      </c>
      <c r="I18" s="36" t="n">
        <f>1020</f>
        <v>1020.0</v>
      </c>
      <c r="J18" s="21" t="n">
        <f>1740781420</f>
        <v>1.74078142E9</v>
      </c>
      <c r="K18" s="36" t="n">
        <f>40781920</f>
        <v>4.078192E7</v>
      </c>
      <c r="L18" s="21" t="n">
        <f>1925470490</f>
        <v>1.92547049E9</v>
      </c>
      <c r="M18" s="36" t="n">
        <f>16164590</f>
        <v>1.616459E7</v>
      </c>
      <c r="N18" s="21" t="n">
        <f>3666251910</f>
        <v>3.66625191E9</v>
      </c>
      <c r="O18" s="36" t="n">
        <f>56946510</f>
        <v>5.694651E7</v>
      </c>
    </row>
    <row r="19" spans="1:15" ht="24.9" customHeight="1">
      <c r="A19" s="38"/>
      <c r="B19" s="62"/>
      <c r="C19" s="24" t="s">
        <v>18</v>
      </c>
      <c r="D19" s="25" t="n">
        <f>35117</f>
        <v>35117.0</v>
      </c>
      <c r="E19" s="37" t="n">
        <f>1870</f>
        <v>1870.0</v>
      </c>
      <c r="F19" s="25" t="n">
        <f>32281</f>
        <v>32281.0</v>
      </c>
      <c r="G19" s="37" t="n">
        <f>1080</f>
        <v>1080.0</v>
      </c>
      <c r="H19" s="25" t="n">
        <f>67398</f>
        <v>67398.0</v>
      </c>
      <c r="I19" s="37" t="n">
        <f>2950</f>
        <v>2950.0</v>
      </c>
      <c r="J19" s="25" t="n">
        <f>2582065000</f>
        <v>2.582065E9</v>
      </c>
      <c r="K19" s="37" t="n">
        <f>59107200</f>
        <v>5.91072E7</v>
      </c>
      <c r="L19" s="25" t="n">
        <f>3020217940</f>
        <v>3.02021794E9</v>
      </c>
      <c r="M19" s="37" t="n">
        <f>31829940</f>
        <v>3.182994E7</v>
      </c>
      <c r="N19" s="25" t="n">
        <f>5602282940</f>
        <v>5.60228294E9</v>
      </c>
      <c r="O19" s="37" t="n">
        <f>90937140</f>
        <v>9.093714E7</v>
      </c>
    </row>
    <row r="20" spans="1:15" ht="24.9" customHeight="1">
      <c r="A20" s="38"/>
      <c r="B20" s="61" t="s">
        <v>106</v>
      </c>
      <c r="C20" s="16" t="s">
        <v>15</v>
      </c>
      <c r="D20" s="17" t="n">
        <f>808</f>
        <v>808.0</v>
      </c>
      <c r="E20" s="35" t="n">
        <f>808</f>
        <v>808.0</v>
      </c>
      <c r="F20" s="17" t="n">
        <f>0</f>
        <v>0.0</v>
      </c>
      <c r="G20" s="35" t="n">
        <f>0</f>
        <v>0.0</v>
      </c>
      <c r="H20" s="17" t="n">
        <f>808</f>
        <v>808.0</v>
      </c>
      <c r="I20" s="35" t="n">
        <f>808</f>
        <v>808.0</v>
      </c>
      <c r="J20" s="17" t="n">
        <f>424979956</f>
        <v>4.24979956E8</v>
      </c>
      <c r="K20" s="35" t="n">
        <f>424979956</f>
        <v>4.24979956E8</v>
      </c>
      <c r="L20" s="17" t="n">
        <f>0</f>
        <v>0.0</v>
      </c>
      <c r="M20" s="35" t="n">
        <f>0</f>
        <v>0.0</v>
      </c>
      <c r="N20" s="17" t="n">
        <f>424979956</f>
        <v>4.24979956E8</v>
      </c>
      <c r="O20" s="35" t="n">
        <f>424979956</f>
        <v>4.24979956E8</v>
      </c>
    </row>
    <row r="21" spans="1:15" ht="24.9" customHeight="1">
      <c r="A21" s="38"/>
      <c r="B21" s="62"/>
      <c r="C21" s="20" t="s">
        <v>16</v>
      </c>
      <c r="D21" s="21" t="n">
        <f>100</f>
        <v>100.0</v>
      </c>
      <c r="E21" s="36" t="n">
        <f>100</f>
        <v>100.0</v>
      </c>
      <c r="F21" s="21" t="n">
        <f>39</f>
        <v>39.0</v>
      </c>
      <c r="G21" s="36" t="n">
        <f>0</f>
        <v>0.0</v>
      </c>
      <c r="H21" s="21" t="n">
        <f>139</f>
        <v>139.0</v>
      </c>
      <c r="I21" s="36" t="n">
        <f>100</f>
        <v>100.0</v>
      </c>
      <c r="J21" s="21" t="n">
        <f>160000000</f>
        <v>1.6E8</v>
      </c>
      <c r="K21" s="36" t="n">
        <f>160000000</f>
        <v>1.6E8</v>
      </c>
      <c r="L21" s="21" t="n">
        <f>13350000</f>
        <v>1.335E7</v>
      </c>
      <c r="M21" s="36" t="n">
        <f>0</f>
        <v>0.0</v>
      </c>
      <c r="N21" s="21" t="n">
        <f>173350000</f>
        <v>1.7335E8</v>
      </c>
      <c r="O21" s="36" t="n">
        <f>160000000</f>
        <v>1.6E8</v>
      </c>
    </row>
    <row r="22" spans="1:15" ht="24.9" customHeight="1">
      <c r="A22" s="38"/>
      <c r="B22" s="62"/>
      <c r="C22" s="20" t="s">
        <v>17</v>
      </c>
      <c r="D22" s="21" t="n">
        <f>2156</f>
        <v>2156.0</v>
      </c>
      <c r="E22" s="36" t="n">
        <f>2156</f>
        <v>2156.0</v>
      </c>
      <c r="F22" s="21" t="n">
        <f>984</f>
        <v>984.0</v>
      </c>
      <c r="G22" s="36" t="n">
        <f>944</f>
        <v>944.0</v>
      </c>
      <c r="H22" s="21" t="n">
        <f>3140</f>
        <v>3140.0</v>
      </c>
      <c r="I22" s="36" t="n">
        <f>3100</f>
        <v>3100.0</v>
      </c>
      <c r="J22" s="21" t="n">
        <f>1962088300</f>
        <v>1.9620883E9</v>
      </c>
      <c r="K22" s="36" t="n">
        <f>1962088300</f>
        <v>1.9620883E9</v>
      </c>
      <c r="L22" s="21" t="n">
        <f>377802600</f>
        <v>3.778026E8</v>
      </c>
      <c r="M22" s="36" t="n">
        <f>375337600</f>
        <v>3.753376E8</v>
      </c>
      <c r="N22" s="21" t="n">
        <f>2339890900</f>
        <v>2.3398909E9</v>
      </c>
      <c r="O22" s="36" t="n">
        <f>2337425900</f>
        <v>2.3374259E9</v>
      </c>
    </row>
    <row r="23" spans="1:15" ht="24.9" customHeight="1">
      <c r="A23" s="38"/>
      <c r="B23" s="62"/>
      <c r="C23" s="24" t="s">
        <v>18</v>
      </c>
      <c r="D23" s="25" t="n">
        <f>3064</f>
        <v>3064.0</v>
      </c>
      <c r="E23" s="37" t="n">
        <f>3064</f>
        <v>3064.0</v>
      </c>
      <c r="F23" s="25" t="n">
        <f>1023</f>
        <v>1023.0</v>
      </c>
      <c r="G23" s="37" t="n">
        <f>944</f>
        <v>944.0</v>
      </c>
      <c r="H23" s="25" t="n">
        <f>4087</f>
        <v>4087.0</v>
      </c>
      <c r="I23" s="37" t="n">
        <f>4008</f>
        <v>4008.0</v>
      </c>
      <c r="J23" s="25" t="n">
        <f>2547068256</f>
        <v>2.547068256E9</v>
      </c>
      <c r="K23" s="37" t="n">
        <f>2547068256</f>
        <v>2.547068256E9</v>
      </c>
      <c r="L23" s="25" t="n">
        <f>391152600</f>
        <v>3.911526E8</v>
      </c>
      <c r="M23" s="37" t="n">
        <f>375337600</f>
        <v>3.753376E8</v>
      </c>
      <c r="N23" s="25" t="n">
        <f>2938220856</f>
        <v>2.938220856E9</v>
      </c>
      <c r="O23" s="37" t="n">
        <f>2922405856</f>
        <v>2.922405856E9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30</f>
        <v>30.0</v>
      </c>
      <c r="E37" s="22" t="n">
        <f>0</f>
        <v>0.0</v>
      </c>
      <c r="F37" s="21" t="n">
        <f>6</f>
        <v>6.0</v>
      </c>
      <c r="G37" s="22" t="n">
        <f>0</f>
        <v>0.0</v>
      </c>
      <c r="H37" s="21" t="n">
        <f>36</f>
        <v>36.0</v>
      </c>
      <c r="I37" s="22" t="n">
        <f>0</f>
        <v>0.0</v>
      </c>
      <c r="J37" s="21" t="n">
        <f>14650000</f>
        <v>1.465E7</v>
      </c>
      <c r="K37" s="22" t="n">
        <f>0</f>
        <v>0.0</v>
      </c>
      <c r="L37" s="21" t="n">
        <f>1790000</f>
        <v>1790000.0</v>
      </c>
      <c r="M37" s="22" t="n">
        <f>0</f>
        <v>0.0</v>
      </c>
      <c r="N37" s="21" t="n">
        <f>16440000</f>
        <v>1.644E7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11</f>
        <v>11.0</v>
      </c>
      <c r="E38" s="36" t="n">
        <f>0</f>
        <v>0.0</v>
      </c>
      <c r="F38" s="21" t="n">
        <f>27</f>
        <v>27.0</v>
      </c>
      <c r="G38" s="36" t="n">
        <f>20</f>
        <v>20.0</v>
      </c>
      <c r="H38" s="21" t="n">
        <f>38</f>
        <v>38.0</v>
      </c>
      <c r="I38" s="36" t="n">
        <f>20</f>
        <v>20.0</v>
      </c>
      <c r="J38" s="21" t="n">
        <f>1930000</f>
        <v>1930000.0</v>
      </c>
      <c r="K38" s="36" t="n">
        <f>0</f>
        <v>0.0</v>
      </c>
      <c r="L38" s="21" t="n">
        <f>3840000</f>
        <v>3840000.0</v>
      </c>
      <c r="M38" s="36" t="n">
        <f>2200000</f>
        <v>2200000.0</v>
      </c>
      <c r="N38" s="21" t="n">
        <f>5770000</f>
        <v>5770000.0</v>
      </c>
      <c r="O38" s="36" t="n">
        <f>2200000</f>
        <v>2200000.0</v>
      </c>
    </row>
    <row r="39" spans="1:15" ht="24.9" customHeight="1">
      <c r="A39" s="38"/>
      <c r="B39" s="62"/>
      <c r="C39" s="24" t="s">
        <v>18</v>
      </c>
      <c r="D39" s="25" t="n">
        <f>41</f>
        <v>41.0</v>
      </c>
      <c r="E39" s="37" t="n">
        <f>0</f>
        <v>0.0</v>
      </c>
      <c r="F39" s="25" t="n">
        <f>33</f>
        <v>33.0</v>
      </c>
      <c r="G39" s="37" t="n">
        <f>20</f>
        <v>20.0</v>
      </c>
      <c r="H39" s="25" t="n">
        <f>74</f>
        <v>74.0</v>
      </c>
      <c r="I39" s="37" t="n">
        <f>20</f>
        <v>20.0</v>
      </c>
      <c r="J39" s="25" t="n">
        <f>16580000</f>
        <v>1.658E7</v>
      </c>
      <c r="K39" s="37" t="n">
        <f>0</f>
        <v>0.0</v>
      </c>
      <c r="L39" s="25" t="n">
        <f>5630000</f>
        <v>5630000.0</v>
      </c>
      <c r="M39" s="37" t="n">
        <f>2200000</f>
        <v>2200000.0</v>
      </c>
      <c r="N39" s="25" t="n">
        <f>22210000</f>
        <v>2.221E7</v>
      </c>
      <c r="O39" s="37" t="n">
        <f>2200000</f>
        <v>2200000.0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599</f>
        <v>599.0</v>
      </c>
      <c r="E41" s="36" t="n">
        <f>350</f>
        <v>350.0</v>
      </c>
      <c r="F41" s="21" t="n">
        <f>1034</f>
        <v>1034.0</v>
      </c>
      <c r="G41" s="36" t="n">
        <f>350</f>
        <v>350.0</v>
      </c>
      <c r="H41" s="21" t="n">
        <f>1633</f>
        <v>1633.0</v>
      </c>
      <c r="I41" s="36" t="n">
        <f>700</f>
        <v>700.0</v>
      </c>
      <c r="J41" s="21" t="n">
        <f>14812492</f>
        <v>1.4812492E7</v>
      </c>
      <c r="K41" s="36" t="n">
        <f>10780000</f>
        <v>1.078E7</v>
      </c>
      <c r="L41" s="21" t="n">
        <f>22573984</f>
        <v>2.2573984E7</v>
      </c>
      <c r="M41" s="36" t="n">
        <f>14000000</f>
        <v>1.4E7</v>
      </c>
      <c r="N41" s="21" t="n">
        <f>37386476</f>
        <v>3.7386476E7</v>
      </c>
      <c r="O41" s="36" t="n">
        <f>24780000</f>
        <v>2.478E7</v>
      </c>
    </row>
    <row r="42" spans="1:15" ht="24.9" customHeight="1">
      <c r="A42" s="38"/>
      <c r="B42" s="62"/>
      <c r="C42" s="20" t="s">
        <v>17</v>
      </c>
      <c r="D42" s="21" t="n">
        <f>6341</f>
        <v>6341.0</v>
      </c>
      <c r="E42" s="36" t="n">
        <f>350</f>
        <v>350.0</v>
      </c>
      <c r="F42" s="21" t="n">
        <f>6105</f>
        <v>6105.0</v>
      </c>
      <c r="G42" s="36" t="n">
        <f>350</f>
        <v>350.0</v>
      </c>
      <c r="H42" s="21" t="n">
        <f>12446</f>
        <v>12446.0</v>
      </c>
      <c r="I42" s="36" t="n">
        <f>700</f>
        <v>700.0</v>
      </c>
      <c r="J42" s="21" t="n">
        <f>96120264</f>
        <v>9.6120264E7</v>
      </c>
      <c r="K42" s="36" t="n">
        <f>10780000</f>
        <v>1.078E7</v>
      </c>
      <c r="L42" s="21" t="n">
        <f>69230804</f>
        <v>6.9230804E7</v>
      </c>
      <c r="M42" s="36" t="n">
        <f>14000000</f>
        <v>1.4E7</v>
      </c>
      <c r="N42" s="21" t="n">
        <f>165351068</f>
        <v>1.65351068E8</v>
      </c>
      <c r="O42" s="36" t="n">
        <f>24780000</f>
        <v>2.478E7</v>
      </c>
    </row>
    <row r="43" spans="1:15" ht="24.9" customHeight="1">
      <c r="A43" s="38"/>
      <c r="B43" s="62"/>
      <c r="C43" s="24" t="s">
        <v>18</v>
      </c>
      <c r="D43" s="25" t="n">
        <f>6940</f>
        <v>6940.0</v>
      </c>
      <c r="E43" s="37" t="n">
        <f>700</f>
        <v>700.0</v>
      </c>
      <c r="F43" s="25" t="n">
        <f>7139</f>
        <v>7139.0</v>
      </c>
      <c r="G43" s="37" t="n">
        <f>700</f>
        <v>700.0</v>
      </c>
      <c r="H43" s="25" t="n">
        <f>14079</f>
        <v>14079.0</v>
      </c>
      <c r="I43" s="37" t="n">
        <f>1400</f>
        <v>1400.0</v>
      </c>
      <c r="J43" s="25" t="n">
        <f>110932756</f>
        <v>1.10932756E8</v>
      </c>
      <c r="K43" s="37" t="n">
        <f>21560000</f>
        <v>2.156E7</v>
      </c>
      <c r="L43" s="25" t="n">
        <f>91804788</f>
        <v>9.1804788E7</v>
      </c>
      <c r="M43" s="37" t="n">
        <f>28000000</f>
        <v>2.8E7</v>
      </c>
      <c r="N43" s="25" t="n">
        <f>202737544</f>
        <v>2.02737544E8</v>
      </c>
      <c r="O43" s="37" t="n">
        <f>49560000</f>
        <v>4.956E7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