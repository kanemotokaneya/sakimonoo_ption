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<sst xmlns="http://schemas.openxmlformats.org/spreadsheetml/2006/main" count="528" uniqueCount="129">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</sst>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DATE(2026,08,27)</f>
        <v>46261.0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DATE(2026,08,27)</f>
        <v>46261.0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476431.0</f>
        <v>476431.0</v>
      </c>
      <c r="E12" s="18" t="n">
        <f>25977.0</f>
        <v>25977.0</v>
      </c>
      <c r="F12" s="19" t="n">
        <f>1.0</f>
        <v>1.0</v>
      </c>
      <c r="G12" s="17" t="n">
        <f>3251551115120.0</f>
        <v>3.25155111512E12</v>
      </c>
      <c r="H12" s="18" t="n">
        <f>243894454620.0</f>
        <v>2.4389445462E11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495429.0</f>
        <v>495429.0</v>
      </c>
      <c r="E13" s="22" t="n">
        <f>26468.0</f>
        <v>26468.0</v>
      </c>
      <c r="F13" s="23" t="n">
        <f>1.0</f>
        <v>1.0</v>
      </c>
      <c r="G13" s="21" t="n">
        <f>4531138009560.0</f>
        <v>4.53113800956E12</v>
      </c>
      <c r="H13" s="22" t="n">
        <f>362854453735.0</f>
        <v>3.62854453735E11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350215.0</f>
        <v>350215.0</v>
      </c>
      <c r="E14" s="22" t="n">
        <f>38628.0</f>
        <v>38628.0</v>
      </c>
      <c r="F14" s="23" t="n">
        <f>1.0</f>
        <v>1.0</v>
      </c>
      <c r="G14" s="21" t="n">
        <f>4277086630793.0</f>
        <v>4.277086630793E12</v>
      </c>
      <c r="H14" s="22" t="n">
        <f>1011589029118.0</f>
        <v>1.011589029118E12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1322075.0</f>
        <v>1322075.0</v>
      </c>
      <c r="E15" s="26" t="n">
        <f>91073.0</f>
        <v>91073.0</v>
      </c>
      <c r="F15" s="27" t="n">
        <f>1.0</f>
        <v>1.0</v>
      </c>
      <c r="G15" s="25" t="n">
        <f>12059775755473.0</f>
        <v>1.2059775755473E13</v>
      </c>
      <c r="H15" s="26" t="n">
        <f>1618337937473.0</f>
        <v>1.618337937473E12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9165.0</f>
        <v>9165.0</v>
      </c>
      <c r="E16" s="18" t="n">
        <f>205.0</f>
        <v>205.0</v>
      </c>
      <c r="F16" s="19" t="n">
        <f>0.019</f>
        <v>0.019</v>
      </c>
      <c r="G16" s="17" t="n">
        <f>1148828400000.0</f>
        <v>1.1488284E12</v>
      </c>
      <c r="H16" s="18" t="n">
        <f>25945680000.0</f>
        <v>2.594568E10</v>
      </c>
      <c r="I16" s="19" t="n">
        <f>0.353</f>
        <v>0.353</v>
      </c>
    </row>
    <row r="17" spans="1:9" ht="24.9" customHeight="1">
      <c r="A17" s="41"/>
      <c r="B17" s="39"/>
      <c r="C17" s="20" t="s">
        <v>16</v>
      </c>
      <c r="D17" s="21" t="n">
        <f>13949.0</f>
        <v>13949.0</v>
      </c>
      <c r="E17" s="22" t="n">
        <f>765.0</f>
        <v>765.0</v>
      </c>
      <c r="F17" s="23" t="n">
        <f>0.028</f>
        <v>0.028</v>
      </c>
      <c r="G17" s="21" t="n">
        <f>1501378069875.0</f>
        <v>1.501378069875E12</v>
      </c>
      <c r="H17" s="22" t="n">
        <f>96659425000.0</f>
        <v>9.6659425E10</v>
      </c>
      <c r="I17" s="23" t="n">
        <f>0.331</f>
        <v>0.331</v>
      </c>
    </row>
    <row r="18" spans="1:9" ht="24.9" customHeight="1">
      <c r="A18" s="41"/>
      <c r="B18" s="39"/>
      <c r="C18" s="20" t="s">
        <v>17</v>
      </c>
      <c r="D18" s="21" t="n">
        <f>12937.0</f>
        <v>12937.0</v>
      </c>
      <c r="E18" s="22" t="n">
        <f>1244.0</f>
        <v>1244.0</v>
      </c>
      <c r="F18" s="23" t="n">
        <f>0.037</f>
        <v>0.037</v>
      </c>
      <c r="G18" s="21" t="n">
        <f>1375784356875.0</f>
        <v>1.375784356875E12</v>
      </c>
      <c r="H18" s="22" t="n">
        <f>157175630000.0</f>
        <v>1.5717563E11</v>
      </c>
      <c r="I18" s="23" t="n">
        <f>0.322</f>
        <v>0.322</v>
      </c>
    </row>
    <row r="19" spans="1:9" ht="24.9" customHeight="1">
      <c r="A19" s="41"/>
      <c r="B19" s="39"/>
      <c r="C19" s="24" t="s">
        <v>18</v>
      </c>
      <c r="D19" s="25" t="n">
        <f>36051.0</f>
        <v>36051.0</v>
      </c>
      <c r="E19" s="26" t="n">
        <f>2214.0</f>
        <v>2214.0</v>
      </c>
      <c r="F19" s="27" t="n">
        <f>0.027</f>
        <v>0.027</v>
      </c>
      <c r="G19" s="25" t="n">
        <f>4025990826750.0</f>
        <v>4.02599082675E12</v>
      </c>
      <c r="H19" s="26" t="n">
        <f>279780735000.0</f>
        <v>2.79780735E11</v>
      </c>
      <c r="I19" s="27" t="n">
        <f>0.334</f>
        <v>0.334</v>
      </c>
    </row>
    <row r="20" spans="1:9" ht="24.9" customHeight="1">
      <c r="A20" s="41"/>
      <c r="B20" s="39" t="s">
        <v>21</v>
      </c>
      <c r="C20" s="16" t="s">
        <v>15</v>
      </c>
      <c r="D20" s="17" t="n">
        <f>453665.0</f>
        <v>453665.0</v>
      </c>
      <c r="E20" s="18" t="n">
        <f>25772.0</f>
        <v>25772.0</v>
      </c>
      <c r="F20" s="19" t="n">
        <f>0.952</f>
        <v>0.952</v>
      </c>
      <c r="G20" s="17" t="n">
        <f>1948774075270.0</f>
        <v>1.94877407527E12</v>
      </c>
      <c r="H20" s="18" t="n">
        <f>217948774620.0</f>
        <v>2.1794877462E11</v>
      </c>
      <c r="I20" s="19" t="n">
        <f>0.599</f>
        <v>0.599</v>
      </c>
    </row>
    <row r="21" spans="1:9" ht="24.9" customHeight="1">
      <c r="A21" s="41"/>
      <c r="B21" s="39"/>
      <c r="C21" s="20" t="s">
        <v>16</v>
      </c>
      <c r="D21" s="21" t="n">
        <f>471759.0</f>
        <v>471759.0</v>
      </c>
      <c r="E21" s="22" t="n">
        <f>25703.0</f>
        <v>25703.0</v>
      </c>
      <c r="F21" s="23" t="n">
        <f>0.952</f>
        <v>0.952</v>
      </c>
      <c r="G21" s="21" t="n">
        <f>2897708675135.0</f>
        <v>2.897708675135E12</v>
      </c>
      <c r="H21" s="22" t="n">
        <f>266195028735.0</f>
        <v>2.66195028735E11</v>
      </c>
      <c r="I21" s="23" t="n">
        <f>0.64</f>
        <v>0.64</v>
      </c>
    </row>
    <row r="22" spans="1:9" ht="24.9" customHeight="1">
      <c r="A22" s="41"/>
      <c r="B22" s="39"/>
      <c r="C22" s="20" t="s">
        <v>17</v>
      </c>
      <c r="D22" s="21" t="n">
        <f>327226.0</f>
        <v>327226.0</v>
      </c>
      <c r="E22" s="22" t="n">
        <f>37384.0</f>
        <v>37384.0</v>
      </c>
      <c r="F22" s="23" t="n">
        <f>0.934</f>
        <v>0.934</v>
      </c>
      <c r="G22" s="21" t="n">
        <f>2801183431318.0</f>
        <v>2.801183431318E12</v>
      </c>
      <c r="H22" s="22" t="n">
        <f>854413399118.0</f>
        <v>8.54413399118E11</v>
      </c>
      <c r="I22" s="23" t="n">
        <f>0.655</f>
        <v>0.655</v>
      </c>
    </row>
    <row r="23" spans="1:9" ht="24.9" customHeight="1">
      <c r="A23" s="41"/>
      <c r="B23" s="39"/>
      <c r="C23" s="24" t="s">
        <v>18</v>
      </c>
      <c r="D23" s="25" t="n">
        <f>1252650.0</f>
        <v>1252650.0</v>
      </c>
      <c r="E23" s="26" t="n">
        <f>88859.0</f>
        <v>88859.0</v>
      </c>
      <c r="F23" s="27" t="n">
        <f>0.947</f>
        <v>0.947</v>
      </c>
      <c r="G23" s="25" t="n">
        <f>7647666181723.0</f>
        <v>7.647666181723E12</v>
      </c>
      <c r="H23" s="26" t="n">
        <f>1338557202473.0</f>
        <v>1.338557202473E12</v>
      </c>
      <c r="I23" s="27" t="n">
        <f>0.634</f>
        <v>0.634</v>
      </c>
    </row>
    <row r="24" spans="1:9" ht="24.9" customHeight="1">
      <c r="A24" s="41"/>
      <c r="B24" s="39" t="s">
        <v>22</v>
      </c>
      <c r="C24" s="16" t="s">
        <v>15</v>
      </c>
      <c r="D24" s="17" t="n">
        <f>12906.0</f>
        <v>12906.0</v>
      </c>
      <c r="E24" s="18" t="n">
        <f>0.0</f>
        <v>0.0</v>
      </c>
      <c r="F24" s="19" t="n">
        <f>0.027</f>
        <v>0.027</v>
      </c>
      <c r="G24" s="17" t="n">
        <f>151325941350.0</f>
        <v>1.5132594135E11</v>
      </c>
      <c r="H24" s="18" t="n">
        <f>0.0</f>
        <v>0.0</v>
      </c>
      <c r="I24" s="19" t="n">
        <f>0.047</f>
        <v>0.047</v>
      </c>
    </row>
    <row r="25" spans="1:9" ht="24.9" customHeight="1">
      <c r="A25" s="41"/>
      <c r="B25" s="39"/>
      <c r="C25" s="20" t="s">
        <v>16</v>
      </c>
      <c r="D25" s="21" t="n">
        <f>9608.0</f>
        <v>9608.0</v>
      </c>
      <c r="E25" s="22" t="n">
        <f>0.0</f>
        <v>0.0</v>
      </c>
      <c r="F25" s="23" t="n">
        <f>0.019</f>
        <v>0.019</v>
      </c>
      <c r="G25" s="21" t="n">
        <f>131621779550.0</f>
        <v>1.3162177955E11</v>
      </c>
      <c r="H25" s="22" t="n">
        <f>0.0</f>
        <v>0.0</v>
      </c>
      <c r="I25" s="23" t="n">
        <f>0.029</f>
        <v>0.029</v>
      </c>
    </row>
    <row r="26" spans="1:9" ht="24.9" customHeight="1">
      <c r="A26" s="41"/>
      <c r="B26" s="39"/>
      <c r="C26" s="20" t="s">
        <v>17</v>
      </c>
      <c r="D26" s="21" t="n">
        <f>8985.0</f>
        <v>8985.0</v>
      </c>
      <c r="E26" s="22" t="n">
        <f>0.0</f>
        <v>0.0</v>
      </c>
      <c r="F26" s="23" t="n">
        <f>0.026</f>
        <v>0.026</v>
      </c>
      <c r="G26" s="21" t="n">
        <f>96112411600.0</f>
        <v>9.61124116E10</v>
      </c>
      <c r="H26" s="22" t="n">
        <f>0.0</f>
        <v>0.0</v>
      </c>
      <c r="I26" s="23" t="n">
        <f>0.022</f>
        <v>0.022</v>
      </c>
    </row>
    <row r="27" spans="1:9" ht="24.9" customHeight="1">
      <c r="A27" s="42"/>
      <c r="B27" s="39"/>
      <c r="C27" s="24" t="s">
        <v>18</v>
      </c>
      <c r="D27" s="25" t="n">
        <f>31499.0</f>
        <v>31499.0</v>
      </c>
      <c r="E27" s="26" t="n">
        <f>0.0</f>
        <v>0.0</v>
      </c>
      <c r="F27" s="27" t="n">
        <f>0.024</f>
        <v>0.024</v>
      </c>
      <c r="G27" s="25" t="n">
        <f>379060132500.0</f>
        <v>3.790601325E11</v>
      </c>
      <c r="H27" s="26" t="n">
        <f>0.0</f>
        <v>0.0</v>
      </c>
      <c r="I27" s="27" t="n">
        <f>0.031</f>
        <v>0.031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695.0</f>
        <v>695.0</v>
      </c>
      <c r="E28" s="18" t="n">
        <f>0.0</f>
        <v>0.0</v>
      </c>
      <c r="F28" s="19" t="n">
        <f>0.001</f>
        <v>0.001</v>
      </c>
      <c r="G28" s="17" t="n">
        <f>2622698500.0</f>
        <v>2.6226985E9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113.0</f>
        <v>113.0</v>
      </c>
      <c r="E29" s="22" t="n">
        <f>0.0</f>
        <v>0.0</v>
      </c>
      <c r="F29" s="23" t="n">
        <f>0.0</f>
        <v>0.0</v>
      </c>
      <c r="G29" s="21" t="n">
        <f>429485000.0</f>
        <v>4.29485E8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1067.0</f>
        <v>1067.0</v>
      </c>
      <c r="E30" s="22" t="n">
        <f>0.0</f>
        <v>0.0</v>
      </c>
      <c r="F30" s="23" t="n">
        <f>0.003</f>
        <v>0.003</v>
      </c>
      <c r="G30" s="21" t="n">
        <f>4006431000.0</f>
        <v>4.006431E9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1875.0</f>
        <v>1875.0</v>
      </c>
      <c r="E31" s="26" t="n">
        <f>0.0</f>
        <v>0.0</v>
      </c>
      <c r="F31" s="27" t="n">
        <f>0.001</f>
        <v>0.001</v>
      </c>
      <c r="G31" s="25" t="n">
        <f>7058614500.0</f>
        <v>7.0586145E9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21805</f>
        <v>21805.0</v>
      </c>
      <c r="E11" s="18" t="n">
        <f>5100</f>
        <v>5100.0</v>
      </c>
      <c r="F11" s="19" t="n">
        <f>1</f>
        <v>1.0</v>
      </c>
      <c r="G11" s="17" t="n">
        <f>4224615650</f>
        <v>4.22461565E9</v>
      </c>
      <c r="H11" s="18" t="n">
        <f>3278657650</f>
        <v>3.27865765E9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39966</f>
        <v>39966.0</v>
      </c>
      <c r="E12" s="22" t="n">
        <f>6772</f>
        <v>6772.0</v>
      </c>
      <c r="F12" s="23" t="n">
        <f>1</f>
        <v>1.0</v>
      </c>
      <c r="G12" s="21" t="n">
        <f>7834668082</f>
        <v>7.834668082E9</v>
      </c>
      <c r="H12" s="22" t="n">
        <f>5229329470</f>
        <v>5.22932947E9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63471</f>
        <v>63471.0</v>
      </c>
      <c r="E13" s="22" t="n">
        <f>25866</f>
        <v>25866.0</v>
      </c>
      <c r="F13" s="23" t="n">
        <f>1</f>
        <v>1.0</v>
      </c>
      <c r="G13" s="21" t="n">
        <f>29877042388</f>
        <v>2.9877042388E10</v>
      </c>
      <c r="H13" s="22" t="n">
        <f>27606394338</f>
        <v>2.7606394338E10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125242</f>
        <v>125242.0</v>
      </c>
      <c r="E14" s="26" t="n">
        <f>37738</f>
        <v>37738.0</v>
      </c>
      <c r="F14" s="27" t="n">
        <f>1</f>
        <v>1.0</v>
      </c>
      <c r="G14" s="25" t="n">
        <f>41936326120</f>
        <v>4.193632612E10</v>
      </c>
      <c r="H14" s="26" t="n">
        <f>36114381458</f>
        <v>3.6114381458E10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4</f>
        <v>4.0</v>
      </c>
      <c r="E15" s="18" t="n">
        <f>0</f>
        <v>0.0</v>
      </c>
      <c r="F15" s="19" t="n">
        <f>0</f>
        <v>0.0</v>
      </c>
      <c r="G15" s="17" t="n">
        <f>740000</f>
        <v>740000.0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152</f>
        <v>152.0</v>
      </c>
      <c r="E16" s="22" t="n">
        <f>60</f>
        <v>60.0</v>
      </c>
      <c r="F16" s="23" t="n">
        <f>0.004</f>
        <v>0.004</v>
      </c>
      <c r="G16" s="21" t="n">
        <f>18970000</f>
        <v>1.897E7</v>
      </c>
      <c r="H16" s="22" t="n">
        <f>8100000</f>
        <v>8100000.0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65</f>
        <v>65.0</v>
      </c>
      <c r="E17" s="22" t="n">
        <f>0</f>
        <v>0.0</v>
      </c>
      <c r="F17" s="23" t="n">
        <f>0.001</f>
        <v>0.001</v>
      </c>
      <c r="G17" s="21" t="n">
        <f>6070000</f>
        <v>6070000.0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221</f>
        <v>221.0</v>
      </c>
      <c r="E18" s="26" t="n">
        <f>60</f>
        <v>60.0</v>
      </c>
      <c r="F18" s="27" t="n">
        <f>0.002</f>
        <v>0.002</v>
      </c>
      <c r="G18" s="25" t="n">
        <f>25780000</f>
        <v>2.578E7</v>
      </c>
      <c r="H18" s="26" t="n">
        <f>8100000</f>
        <v>8100000.0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21801</f>
        <v>21801.0</v>
      </c>
      <c r="E19" s="18" t="n">
        <f>5100</f>
        <v>5100.0</v>
      </c>
      <c r="F19" s="19" t="n">
        <f>1</f>
        <v>1.0</v>
      </c>
      <c r="G19" s="17" t="n">
        <f>4223875650</f>
        <v>4.22387565E9</v>
      </c>
      <c r="H19" s="18" t="n">
        <f>3278657650</f>
        <v>3.27865765E9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38842</f>
        <v>38842.0</v>
      </c>
      <c r="E20" s="22" t="n">
        <f>6712</f>
        <v>6712.0</v>
      </c>
      <c r="F20" s="23" t="n">
        <f>0.972</f>
        <v>0.972</v>
      </c>
      <c r="G20" s="21" t="n">
        <f>7801782470</f>
        <v>7.80178247E9</v>
      </c>
      <c r="H20" s="22" t="n">
        <f>5221229470</f>
        <v>5.22122947E9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54199</f>
        <v>54199.0</v>
      </c>
      <c r="E21" s="22" t="n">
        <f>25866</f>
        <v>25866.0</v>
      </c>
      <c r="F21" s="23" t="n">
        <f>0.854</f>
        <v>0.854</v>
      </c>
      <c r="G21" s="21" t="n">
        <f>29849344438</f>
        <v>2.9849344438E10</v>
      </c>
      <c r="H21" s="22" t="n">
        <f>27606394338</f>
        <v>2.7606394338E10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114842</f>
        <v>114842.0</v>
      </c>
      <c r="E22" s="26" t="n">
        <f>37678</f>
        <v>37678.0</v>
      </c>
      <c r="F22" s="27" t="n">
        <f>0.917</f>
        <v>0.917</v>
      </c>
      <c r="G22" s="25" t="n">
        <f>41875002558</f>
        <v>4.1875002558E10</v>
      </c>
      <c r="H22" s="26" t="n">
        <f>36106281458</f>
        <v>3.6106281458E10</v>
      </c>
      <c r="I22" s="27" t="n">
        <f>0.999</f>
        <v>0.999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972</f>
        <v>972.0</v>
      </c>
      <c r="E24" s="22" t="n">
        <f>0</f>
        <v>0.0</v>
      </c>
      <c r="F24" s="23" t="n">
        <f>0.024</f>
        <v>0.024</v>
      </c>
      <c r="G24" s="21" t="n">
        <f>13915612</f>
        <v>1.3915612E7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9207</f>
        <v>9207.0</v>
      </c>
      <c r="E25" s="22" t="n">
        <f>0</f>
        <v>0.0</v>
      </c>
      <c r="F25" s="23" t="n">
        <f>0.145</f>
        <v>0.145</v>
      </c>
      <c r="G25" s="21" t="n">
        <f>21627950</f>
        <v>2.162795E7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10179</f>
        <v>10179.0</v>
      </c>
      <c r="E26" s="26" t="n">
        <f>0</f>
        <v>0.0</v>
      </c>
      <c r="F26" s="27" t="n">
        <f>0.081</f>
        <v>0.081</v>
      </c>
      <c r="G26" s="25" t="n">
        <f>35543562</f>
        <v>3.5543562E7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5161.0</v>
      </c>
      <c r="F12" s="18" t="n">
        <f>507</f>
        <v>507.0</v>
      </c>
      <c r="G12" s="17" t="n">
        <v>3.41229264E11</v>
      </c>
      <c r="H12" s="18" t="n">
        <f>33527291000</f>
        <v>3.3527291E10</v>
      </c>
    </row>
    <row r="13" spans="1:8" ht="24.9" customHeight="1">
      <c r="A13" s="51"/>
      <c r="B13" s="57"/>
      <c r="C13" s="39"/>
      <c r="D13" s="20" t="s">
        <v>16</v>
      </c>
      <c r="E13" s="21" t="n">
        <v>11994.0</v>
      </c>
      <c r="F13" s="22" t="n">
        <f>1399</f>
        <v>1399.0</v>
      </c>
      <c r="G13" s="21" t="n">
        <v>7.95930885905E11</v>
      </c>
      <c r="H13" s="22" t="n">
        <f>92436803905</f>
        <v>9.2436803905E10</v>
      </c>
    </row>
    <row r="14" spans="1:8" ht="24.9" customHeight="1">
      <c r="A14" s="51"/>
      <c r="B14" s="57"/>
      <c r="C14" s="39"/>
      <c r="D14" s="20" t="s">
        <v>17</v>
      </c>
      <c r="E14" s="21" t="n">
        <v>11289.0</v>
      </c>
      <c r="F14" s="22" t="n">
        <f>4317</f>
        <v>4317.0</v>
      </c>
      <c r="G14" s="21" t="n">
        <v>7.4756143885E11</v>
      </c>
      <c r="H14" s="22" t="n">
        <f>285991564850</f>
        <v>2.8599156485E11</v>
      </c>
    </row>
    <row r="15" spans="1:8" ht="24.9" customHeight="1">
      <c r="A15" s="51"/>
      <c r="B15" s="57"/>
      <c r="C15" s="39"/>
      <c r="D15" s="24" t="s">
        <v>18</v>
      </c>
      <c r="E15" s="25" t="n">
        <v>28444.0</v>
      </c>
      <c r="F15" s="26" t="n">
        <f>6223</f>
        <v>6223.0</v>
      </c>
      <c r="G15" s="25" t="n">
        <v>1.884721588755E12</v>
      </c>
      <c r="H15" s="26" t="n">
        <f>411955659755</f>
        <v>4.11955659755E11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166130.0</v>
      </c>
      <c r="F16" s="18" t="n">
        <f>24552</f>
        <v>24552.0</v>
      </c>
      <c r="G16" s="17" t="n">
        <v>1.09823631417E12</v>
      </c>
      <c r="H16" s="18" t="n">
        <f>162328657670</f>
        <v>1.6232865767E11</v>
      </c>
    </row>
    <row r="17" spans="1:8" ht="24.9" customHeight="1">
      <c r="A17" s="51"/>
      <c r="B17" s="57"/>
      <c r="C17" s="39"/>
      <c r="D17" s="20" t="s">
        <v>16</v>
      </c>
      <c r="E17" s="21" t="n">
        <v>204756.0</v>
      </c>
      <c r="F17" s="22" t="n">
        <f>23597</f>
        <v>23597.0</v>
      </c>
      <c r="G17" s="21" t="n">
        <v>1.35844111347E12</v>
      </c>
      <c r="H17" s="22" t="n">
        <f>156368692470</f>
        <v>1.5636869247E11</v>
      </c>
    </row>
    <row r="18" spans="1:8" ht="24.9" customHeight="1">
      <c r="A18" s="51"/>
      <c r="B18" s="57"/>
      <c r="C18" s="39"/>
      <c r="D18" s="20" t="s">
        <v>17</v>
      </c>
      <c r="E18" s="21" t="n">
        <v>123191.0</v>
      </c>
      <c r="F18" s="22" t="n">
        <f>13791</f>
        <v>13791.0</v>
      </c>
      <c r="G18" s="21" t="n">
        <v>8.15699109594E11</v>
      </c>
      <c r="H18" s="22" t="n">
        <f>91333609794</f>
        <v>9.1333609794E10</v>
      </c>
    </row>
    <row r="19" spans="1:8" ht="24.9" customHeight="1">
      <c r="A19" s="51"/>
      <c r="B19" s="57"/>
      <c r="C19" s="39"/>
      <c r="D19" s="24" t="s">
        <v>18</v>
      </c>
      <c r="E19" s="25" t="n">
        <v>494077.0</v>
      </c>
      <c r="F19" s="26" t="n">
        <f>61940</f>
        <v>61940.0</v>
      </c>
      <c r="G19" s="25" t="n">
        <v>3.272376537234E12</v>
      </c>
      <c r="H19" s="26" t="n">
        <f>410030959934</f>
        <v>4.10030959934E11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270990.0</v>
      </c>
      <c r="F20" s="18" t="str">
        <f>"－"</f>
        <v>－</v>
      </c>
      <c r="G20" s="17" t="n">
        <v>1.7917009115E11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232296.0</v>
      </c>
      <c r="F21" s="22" t="str">
        <f>"－"</f>
        <v>－</v>
      </c>
      <c r="G21" s="21" t="n">
        <v>1.5415385745E11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151411.0</v>
      </c>
      <c r="F22" s="22" t="str">
        <f>"－"</f>
        <v>－</v>
      </c>
      <c r="G22" s="21" t="n">
        <v>1.002736026E11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654697.0</v>
      </c>
      <c r="F23" s="26" t="str">
        <f>"－"</f>
        <v>－</v>
      </c>
      <c r="G23" s="25" t="n">
        <v>4.335975512E11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7690.0</v>
      </c>
      <c r="F24" s="18" t="n">
        <f>518</f>
        <v>518.0</v>
      </c>
      <c r="G24" s="17" t="n">
        <v>3.160088802E11</v>
      </c>
      <c r="H24" s="18" t="n">
        <f>21302485200</f>
        <v>2.13024852E10</v>
      </c>
    </row>
    <row r="25" spans="1:8" ht="24.9" customHeight="1">
      <c r="A25" s="51"/>
      <c r="B25" s="57"/>
      <c r="C25" s="39"/>
      <c r="D25" s="20" t="s">
        <v>16</v>
      </c>
      <c r="E25" s="21" t="n">
        <v>13548.0</v>
      </c>
      <c r="F25" s="22" t="n">
        <f>394</f>
        <v>394.0</v>
      </c>
      <c r="G25" s="21" t="n">
        <v>5.5857426891E11</v>
      </c>
      <c r="H25" s="22" t="n">
        <f>16227184910</f>
        <v>1.622718491E10</v>
      </c>
    </row>
    <row r="26" spans="1:8" ht="24.9" customHeight="1">
      <c r="A26" s="51"/>
      <c r="B26" s="57"/>
      <c r="C26" s="39"/>
      <c r="D26" s="20" t="s">
        <v>17</v>
      </c>
      <c r="E26" s="21" t="n">
        <v>26495.0</v>
      </c>
      <c r="F26" s="22" t="n">
        <f>10966</f>
        <v>10966.0</v>
      </c>
      <c r="G26" s="21" t="n">
        <v>1.0907871871E12</v>
      </c>
      <c r="H26" s="22" t="n">
        <f>451341767100</f>
        <v>4.513417671E11</v>
      </c>
    </row>
    <row r="27" spans="1:8" ht="24.9" customHeight="1">
      <c r="A27" s="51"/>
      <c r="B27" s="57"/>
      <c r="C27" s="39"/>
      <c r="D27" s="24" t="s">
        <v>18</v>
      </c>
      <c r="E27" s="25" t="n">
        <v>47733.0</v>
      </c>
      <c r="F27" s="26" t="n">
        <f>11878</f>
        <v>11878.0</v>
      </c>
      <c r="G27" s="25" t="n">
        <v>1.96537033621E12</v>
      </c>
      <c r="H27" s="26" t="n">
        <f>488871437210</f>
        <v>4.8887143721E11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2871.0</v>
      </c>
      <c r="F28" s="18" t="n">
        <f>191</f>
        <v>191.0</v>
      </c>
      <c r="G28" s="17" t="n">
        <v>1.180136545E10</v>
      </c>
      <c r="H28" s="18" t="n">
        <f>785167950</f>
        <v>7.8516795E8</v>
      </c>
    </row>
    <row r="29" spans="1:8" ht="24.9" customHeight="1">
      <c r="A29" s="51"/>
      <c r="B29" s="57"/>
      <c r="C29" s="39"/>
      <c r="D29" s="20" t="s">
        <v>16</v>
      </c>
      <c r="E29" s="21" t="n">
        <v>5987.0</v>
      </c>
      <c r="F29" s="22" t="n">
        <f>256</f>
        <v>256.0</v>
      </c>
      <c r="G29" s="21" t="n">
        <v>2.46959651E10</v>
      </c>
      <c r="H29" s="22" t="n">
        <f>1056091350</f>
        <v>1.05609135E9</v>
      </c>
    </row>
    <row r="30" spans="1:8" ht="24.9" customHeight="1">
      <c r="A30" s="51"/>
      <c r="B30" s="57"/>
      <c r="C30" s="39"/>
      <c r="D30" s="20" t="s">
        <v>17</v>
      </c>
      <c r="E30" s="21" t="n">
        <v>4349.0</v>
      </c>
      <c r="F30" s="22" t="n">
        <f>132</f>
        <v>132.0</v>
      </c>
      <c r="G30" s="21" t="n">
        <v>1.790925355E10</v>
      </c>
      <c r="H30" s="22" t="n">
        <f>543559550</f>
        <v>5.4355955E8</v>
      </c>
    </row>
    <row r="31" spans="1:8" ht="24.9" customHeight="1">
      <c r="A31" s="51"/>
      <c r="B31" s="57"/>
      <c r="C31" s="39"/>
      <c r="D31" s="24" t="s">
        <v>18</v>
      </c>
      <c r="E31" s="25" t="n">
        <v>13207.0</v>
      </c>
      <c r="F31" s="26" t="n">
        <f>579</f>
        <v>579.0</v>
      </c>
      <c r="G31" s="25" t="n">
        <v>5.44065841E10</v>
      </c>
      <c r="H31" s="26" t="n">
        <f>2384818850</f>
        <v>2.38481885E9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392.0</v>
      </c>
      <c r="F36" s="18" t="n">
        <f>0</f>
        <v>0.0</v>
      </c>
      <c r="G36" s="17" t="n">
        <v>1.4543975E9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1023.0</v>
      </c>
      <c r="F37" s="22" t="n">
        <f>0</f>
        <v>0.0</v>
      </c>
      <c r="G37" s="21" t="n">
        <v>3.799649E9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3565.0</v>
      </c>
      <c r="F38" s="22" t="n">
        <f>3081</f>
        <v>3081.0</v>
      </c>
      <c r="G38" s="21" t="n">
        <v>1.3225821774E10</v>
      </c>
      <c r="H38" s="22" t="n">
        <f>11429961774</f>
        <v>1.1429961774E10</v>
      </c>
    </row>
    <row r="39" spans="1:8" ht="24.9" customHeight="1">
      <c r="A39" s="51"/>
      <c r="B39" s="57"/>
      <c r="C39" s="39"/>
      <c r="D39" s="24" t="s">
        <v>18</v>
      </c>
      <c r="E39" s="25" t="n">
        <v>4980.0</v>
      </c>
      <c r="F39" s="26" t="n">
        <f>3081</f>
        <v>3081.0</v>
      </c>
      <c r="G39" s="25" t="n">
        <v>1.8479868274E10</v>
      </c>
      <c r="H39" s="26" t="n">
        <f>11429961774</f>
        <v>1.1429961774E10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15.0</v>
      </c>
      <c r="F45" s="22" t="n">
        <f>5</f>
        <v>5.0</v>
      </c>
      <c r="G45" s="21" t="n">
        <v>1.1325E8</v>
      </c>
      <c r="H45" s="22" t="n">
        <f>37800000</f>
        <v>3.78E7</v>
      </c>
    </row>
    <row r="46" spans="1:8" ht="24.9" customHeight="1">
      <c r="A46" s="51"/>
      <c r="B46" s="57"/>
      <c r="C46" s="39"/>
      <c r="D46" s="20" t="s">
        <v>17</v>
      </c>
      <c r="E46" s="21" t="n">
        <v>801.0</v>
      </c>
      <c r="F46" s="22" t="n">
        <f>801</f>
        <v>801.0</v>
      </c>
      <c r="G46" s="21" t="n">
        <v>6.0301683E9</v>
      </c>
      <c r="H46" s="22" t="n">
        <f>6030168300</f>
        <v>6.0301683E9</v>
      </c>
    </row>
    <row r="47" spans="1:8" ht="24.9" customHeight="1">
      <c r="A47" s="51"/>
      <c r="B47" s="57"/>
      <c r="C47" s="39"/>
      <c r="D47" s="24" t="s">
        <v>18</v>
      </c>
      <c r="E47" s="25" t="n">
        <v>816.0</v>
      </c>
      <c r="F47" s="26" t="n">
        <f>806</f>
        <v>806.0</v>
      </c>
      <c r="G47" s="25" t="n">
        <v>6.1434183E9</v>
      </c>
      <c r="H47" s="26" t="n">
        <f>6067968300</f>
        <v>6.0679683E9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3624000.0</v>
      </c>
      <c r="H48" s="18" t="n">
        <f>3624000</f>
        <v>3624000.0</v>
      </c>
    </row>
    <row r="49" spans="1:8" ht="24.9" customHeight="1">
      <c r="A49" s="51"/>
      <c r="B49" s="57"/>
      <c r="C49" s="39"/>
      <c r="D49" s="20" t="s">
        <v>16</v>
      </c>
      <c r="E49" s="21" t="n">
        <v>61.0</v>
      </c>
      <c r="F49" s="22" t="n">
        <f>0</f>
        <v>0.0</v>
      </c>
      <c r="G49" s="21" t="n">
        <v>1.10218E8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4569.0</v>
      </c>
      <c r="F50" s="22" t="n">
        <f>4239</f>
        <v>4239.0</v>
      </c>
      <c r="G50" s="21" t="n">
        <v>8.26817875E9</v>
      </c>
      <c r="H50" s="22" t="n">
        <f>7670004250</f>
        <v>7.67000425E9</v>
      </c>
    </row>
    <row r="51" spans="1:8" ht="24.9" customHeight="1">
      <c r="A51" s="51"/>
      <c r="B51" s="57"/>
      <c r="C51" s="39"/>
      <c r="D51" s="24" t="s">
        <v>18</v>
      </c>
      <c r="E51" s="25" t="n">
        <v>4632.0</v>
      </c>
      <c r="F51" s="26" t="n">
        <f>4241</f>
        <v>4241.0</v>
      </c>
      <c r="G51" s="25" t="n">
        <v>8.38202075E9</v>
      </c>
      <c r="H51" s="26" t="n">
        <f>7673628250</f>
        <v>7.67362825E9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301.0</v>
      </c>
      <c r="F56" s="18" t="n">
        <f>2</f>
        <v>2.0</v>
      </c>
      <c r="G56" s="17" t="n">
        <v>2.330738E8</v>
      </c>
      <c r="H56" s="18" t="n">
        <f>1548800</f>
        <v>1548800.0</v>
      </c>
    </row>
    <row r="57" spans="1:8" ht="24.9" customHeight="1">
      <c r="A57" s="51"/>
      <c r="B57" s="57"/>
      <c r="C57" s="39"/>
      <c r="D57" s="20" t="s">
        <v>16</v>
      </c>
      <c r="E57" s="21" t="n">
        <v>2015.0</v>
      </c>
      <c r="F57" s="22" t="n">
        <f>46</f>
        <v>46.0</v>
      </c>
      <c r="G57" s="21" t="n">
        <v>1.583554E9</v>
      </c>
      <c r="H57" s="22" t="n">
        <f>36204000</f>
        <v>3.6204E7</v>
      </c>
    </row>
    <row r="58" spans="1:8" ht="24.9" customHeight="1">
      <c r="A58" s="51"/>
      <c r="B58" s="57"/>
      <c r="C58" s="39"/>
      <c r="D58" s="20" t="s">
        <v>17</v>
      </c>
      <c r="E58" s="21" t="n">
        <v>1507.0</v>
      </c>
      <c r="F58" s="22" t="n">
        <f>51</f>
        <v>51.0</v>
      </c>
      <c r="G58" s="21" t="n">
        <v>1.1947617E9</v>
      </c>
      <c r="H58" s="22" t="n">
        <f>40568700</f>
        <v>4.05687E7</v>
      </c>
    </row>
    <row r="59" spans="1:8" ht="24.9" customHeight="1">
      <c r="A59" s="51"/>
      <c r="B59" s="57"/>
      <c r="C59" s="39"/>
      <c r="D59" s="24" t="s">
        <v>18</v>
      </c>
      <c r="E59" s="25" t="n">
        <v>3823.0</v>
      </c>
      <c r="F59" s="26" t="n">
        <f>99</f>
        <v>99.0</v>
      </c>
      <c r="G59" s="25" t="n">
        <v>3.0113895E9</v>
      </c>
      <c r="H59" s="26" t="n">
        <f>78321500</f>
        <v>7.83215E7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115.0</v>
      </c>
      <c r="F60" s="18" t="n">
        <f>0</f>
        <v>0.0</v>
      </c>
      <c r="G60" s="17" t="n">
        <v>6.161253E8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55.0</v>
      </c>
      <c r="F61" s="22" t="n">
        <f>6</f>
        <v>6.0</v>
      </c>
      <c r="G61" s="21" t="n">
        <v>2.953795E8</v>
      </c>
      <c r="H61" s="22" t="n">
        <f>32252100</f>
        <v>3.22521E7</v>
      </c>
    </row>
    <row r="62" spans="1:8" ht="24.9" customHeight="1">
      <c r="A62" s="51"/>
      <c r="B62" s="57"/>
      <c r="C62" s="39"/>
      <c r="D62" s="20" t="s">
        <v>17</v>
      </c>
      <c r="E62" s="21" t="n">
        <v>43.0</v>
      </c>
      <c r="F62" s="22" t="n">
        <f>6</f>
        <v>6.0</v>
      </c>
      <c r="G62" s="21" t="n">
        <v>2.307244E8</v>
      </c>
      <c r="H62" s="22" t="n">
        <f>32194800</f>
        <v>3.21948E7</v>
      </c>
    </row>
    <row r="63" spans="1:8" ht="24.9" customHeight="1">
      <c r="A63" s="51"/>
      <c r="B63" s="57"/>
      <c r="C63" s="39"/>
      <c r="D63" s="24" t="s">
        <v>18</v>
      </c>
      <c r="E63" s="25" t="n">
        <v>213.0</v>
      </c>
      <c r="F63" s="26" t="n">
        <f>12</f>
        <v>12.0</v>
      </c>
      <c r="G63" s="25" t="n">
        <v>1.1422292E9</v>
      </c>
      <c r="H63" s="26" t="n">
        <f>64446900</f>
        <v>6.44469E7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315000.0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3.0</v>
      </c>
      <c r="F77" s="22" t="n">
        <f>0</f>
        <v>0.0</v>
      </c>
      <c r="G77" s="21" t="n">
        <v>996500.0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5.0</v>
      </c>
      <c r="F78" s="22" t="n">
        <f>0</f>
        <v>0.0</v>
      </c>
      <c r="G78" s="21" t="n">
        <v>1593000.0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2904500.0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10.0</v>
      </c>
      <c r="F92" s="18" t="n">
        <f>0</f>
        <v>0.0</v>
      </c>
      <c r="G92" s="17" t="n">
        <v>1.58867E7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6.0</v>
      </c>
      <c r="F93" s="22" t="n">
        <f>0</f>
        <v>0.0</v>
      </c>
      <c r="G93" s="21" t="n">
        <v>9537300.0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1591700.0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17.0</v>
      </c>
      <c r="F95" s="26" t="n">
        <f>0</f>
        <v>0.0</v>
      </c>
      <c r="G95" s="25" t="n">
        <v>2.70157E7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2.0</v>
      </c>
      <c r="F96" s="18" t="n">
        <f>0</f>
        <v>0.0</v>
      </c>
      <c r="G96" s="17" t="n">
        <v>4738000.0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2.0</v>
      </c>
      <c r="F99" s="26" t="n">
        <f>0</f>
        <v>0.0</v>
      </c>
      <c r="G99" s="25" t="n">
        <v>4738000.0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9067.0</v>
      </c>
      <c r="F108" s="18" t="n">
        <f>205</f>
        <v>205.0</v>
      </c>
      <c r="G108" s="17" t="n">
        <v>1.14641203E12</v>
      </c>
      <c r="H108" s="18" t="n">
        <f>25945680000</f>
        <v>2.594568E10</v>
      </c>
    </row>
    <row r="109" spans="1:8" ht="24.9" customHeight="1">
      <c r="A109" s="51"/>
      <c r="B109" s="57"/>
      <c r="C109" s="39"/>
      <c r="D109" s="20" t="s">
        <v>16</v>
      </c>
      <c r="E109" s="21" t="n">
        <v>11528.0</v>
      </c>
      <c r="F109" s="22" t="n">
        <f>765</f>
        <v>765.0</v>
      </c>
      <c r="G109" s="21" t="n">
        <v>1.456849355E12</v>
      </c>
      <c r="H109" s="22" t="n">
        <f>96659425000</f>
        <v>9.6659425E10</v>
      </c>
    </row>
    <row r="110" spans="1:8" ht="24.9" customHeight="1">
      <c r="A110" s="51"/>
      <c r="B110" s="57"/>
      <c r="C110" s="39"/>
      <c r="D110" s="20" t="s">
        <v>17</v>
      </c>
      <c r="E110" s="21" t="n">
        <v>10509.0</v>
      </c>
      <c r="F110" s="22" t="n">
        <f>1244</f>
        <v>1244.0</v>
      </c>
      <c r="G110" s="21" t="n">
        <v>1.32848472E12</v>
      </c>
      <c r="H110" s="22" t="n">
        <f>157175630000</f>
        <v>1.5717563E11</v>
      </c>
    </row>
    <row r="111" spans="1:8" ht="24.9" customHeight="1">
      <c r="A111" s="51"/>
      <c r="B111" s="57"/>
      <c r="C111" s="39"/>
      <c r="D111" s="24" t="s">
        <v>18</v>
      </c>
      <c r="E111" s="25" t="n">
        <v>31104.0</v>
      </c>
      <c r="F111" s="26" t="n">
        <f>2214</f>
        <v>2214.0</v>
      </c>
      <c r="G111" s="25" t="n">
        <v>3.931746105E12</v>
      </c>
      <c r="H111" s="26" t="n">
        <f>279780735000</f>
        <v>2.79780735E11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1261.0</v>
      </c>
      <c r="F113" s="22" t="n">
        <f>0</f>
        <v>0.0</v>
      </c>
      <c r="G113" s="21" t="n">
        <v>1.5936718E10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1050.0</v>
      </c>
      <c r="F114" s="22" t="n">
        <f>0</f>
        <v>0.0</v>
      </c>
      <c r="G114" s="21" t="n">
        <v>1.327497E10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2311.0</v>
      </c>
      <c r="F115" s="26" t="n">
        <f>0</f>
        <v>0.0</v>
      </c>
      <c r="G115" s="25" t="n">
        <v>2.9211688E10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0.0</v>
      </c>
      <c r="F119" s="26" t="n">
        <f>0</f>
        <v>0.0</v>
      </c>
      <c r="G119" s="25" t="n">
        <v>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98.0</v>
      </c>
      <c r="F120" s="18" t="n">
        <f>0</f>
        <v>0.0</v>
      </c>
      <c r="G120" s="17" t="n">
        <v>2.41637E9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1160.0</v>
      </c>
      <c r="F121" s="22" t="n">
        <f>0</f>
        <v>0.0</v>
      </c>
      <c r="G121" s="21" t="n">
        <v>2.8591996875E10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1378.0</v>
      </c>
      <c r="F122" s="22" t="n">
        <f>0</f>
        <v>0.0</v>
      </c>
      <c r="G122" s="21" t="n">
        <v>3.4024666875E10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2636.0</v>
      </c>
      <c r="F123" s="26" t="n">
        <f>0</f>
        <v>0.0</v>
      </c>
      <c r="G123" s="25" t="n">
        <v>6.503303375E10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5460.0</v>
      </c>
      <c r="F124" s="18" t="n">
        <f>0</f>
        <v>0.0</v>
      </c>
      <c r="G124" s="17" t="n">
        <v>1.32200398E11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4868.0</v>
      </c>
      <c r="F125" s="22" t="n">
        <f>0</f>
        <v>0.0</v>
      </c>
      <c r="G125" s="21" t="n">
        <v>1.18253743E11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3278.0</v>
      </c>
      <c r="F126" s="22" t="n">
        <f>0</f>
        <v>0.0</v>
      </c>
      <c r="G126" s="21" t="n">
        <v>7.9723477E10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13606.0</v>
      </c>
      <c r="F127" s="26" t="n">
        <f>0</f>
        <v>0.0</v>
      </c>
      <c r="G127" s="25" t="n">
        <v>3.30177618E11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69.0</v>
      </c>
      <c r="F128" s="18" t="n">
        <f>0</f>
        <v>0.0</v>
      </c>
      <c r="G128" s="17" t="n">
        <v>1.65485E8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301.0</v>
      </c>
      <c r="F129" s="22" t="n">
        <f>0</f>
        <v>0.0</v>
      </c>
      <c r="G129" s="21" t="n">
        <v>7.243336E8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220.0</v>
      </c>
      <c r="F130" s="22" t="n">
        <f>0</f>
        <v>0.0</v>
      </c>
      <c r="G130" s="21" t="n">
        <v>5.299331E8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590.0</v>
      </c>
      <c r="F131" s="26" t="n">
        <f>0</f>
        <v>0.0</v>
      </c>
      <c r="G131" s="25" t="n">
        <v>1.4197517E9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6261.0</v>
      </c>
      <c r="F132" s="18" t="n">
        <f>0</f>
        <v>0.0</v>
      </c>
      <c r="G132" s="17" t="n">
        <v>1.521452975E10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3078.0</v>
      </c>
      <c r="F133" s="22" t="n">
        <f>0</f>
        <v>0.0</v>
      </c>
      <c r="G133" s="21" t="n">
        <v>7.4927751E9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2987.0</v>
      </c>
      <c r="F134" s="22" t="n">
        <f>0</f>
        <v>0.0</v>
      </c>
      <c r="G134" s="21" t="n">
        <v>7.28864105E9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12326.0</v>
      </c>
      <c r="F135" s="26" t="n">
        <f>0</f>
        <v>0.0</v>
      </c>
      <c r="G135" s="25" t="n">
        <v>2.99959459E10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142.0</v>
      </c>
      <c r="F136" s="18" t="n">
        <f>0</f>
        <v>0.0</v>
      </c>
      <c r="G136" s="17" t="n">
        <v>3.382173E8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41.0</v>
      </c>
      <c r="F137" s="22" t="n">
        <f>0</f>
        <v>0.0</v>
      </c>
      <c r="G137" s="21" t="n">
        <v>9.77206E7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53.0</v>
      </c>
      <c r="F138" s="22" t="n">
        <f>0</f>
        <v>0.0</v>
      </c>
      <c r="G138" s="21" t="n">
        <v>1.267643E8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236.0</v>
      </c>
      <c r="F139" s="26" t="n">
        <f>0</f>
        <v>0.0</v>
      </c>
      <c r="G139" s="25" t="n">
        <v>5.627022E8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1.146E7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2.0</v>
      </c>
      <c r="F142" s="22" t="n">
        <f>0</f>
        <v>0.0</v>
      </c>
      <c r="G142" s="21" t="n">
        <v>2.127E7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3.273E7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661.0</v>
      </c>
      <c r="F144" s="18" t="n">
        <f>0</f>
        <v>0.0</v>
      </c>
      <c r="G144" s="17" t="n">
        <v>3.102159E9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976.0</v>
      </c>
      <c r="F145" s="22" t="n">
        <f>0</f>
        <v>0.0</v>
      </c>
      <c r="G145" s="21" t="n">
        <v>4.5677185E9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1429.0</v>
      </c>
      <c r="F146" s="22" t="n">
        <f>0</f>
        <v>0.0</v>
      </c>
      <c r="G146" s="21" t="n">
        <v>6.707144E9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3066.0</v>
      </c>
      <c r="F147" s="26" t="n">
        <f>0</f>
        <v>0.0</v>
      </c>
      <c r="G147" s="25" t="n">
        <v>1.43770215E10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44.0</v>
      </c>
      <c r="F148" s="18" t="n">
        <f>0</f>
        <v>0.0</v>
      </c>
      <c r="G148" s="17" t="n">
        <v>4.17959E7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64.0</v>
      </c>
      <c r="F149" s="22" t="n">
        <f>0</f>
        <v>0.0</v>
      </c>
      <c r="G149" s="21" t="n">
        <v>6.10935E7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164.0</v>
      </c>
      <c r="F150" s="22" t="n">
        <f>0</f>
        <v>0.0</v>
      </c>
      <c r="G150" s="21" t="n">
        <v>1.560364E8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272.0</v>
      </c>
      <c r="F151" s="26" t="n">
        <f>0</f>
        <v>0.0</v>
      </c>
      <c r="G151" s="25" t="n">
        <v>2.589258E8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249.0</v>
      </c>
      <c r="F152" s="18" t="n">
        <f>0</f>
        <v>0.0</v>
      </c>
      <c r="G152" s="17" t="n">
        <v>2.338471E8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115.0</v>
      </c>
      <c r="F153" s="22" t="n">
        <f>0</f>
        <v>0.0</v>
      </c>
      <c r="G153" s="21" t="n">
        <v>1.0773385E8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186.0</v>
      </c>
      <c r="F154" s="22" t="n">
        <f>0</f>
        <v>0.0</v>
      </c>
      <c r="G154" s="21" t="n">
        <v>1.7440045E8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550.0</v>
      </c>
      <c r="F155" s="26" t="n">
        <f>0</f>
        <v>0.0</v>
      </c>
      <c r="G155" s="25" t="n">
        <v>5.159814E8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10.0</v>
      </c>
      <c r="F156" s="18" t="n">
        <f>0</f>
        <v>0.0</v>
      </c>
      <c r="G156" s="17" t="n">
        <v>9350800.0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43.0</v>
      </c>
      <c r="F157" s="22" t="n">
        <f>0</f>
        <v>0.0</v>
      </c>
      <c r="G157" s="21" t="n">
        <v>4.03779E7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68.0</v>
      </c>
      <c r="F158" s="22" t="n">
        <f>0</f>
        <v>0.0</v>
      </c>
      <c r="G158" s="21" t="n">
        <v>6.36948E7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121.0</v>
      </c>
      <c r="F159" s="26" t="n">
        <f>0</f>
        <v>0.0</v>
      </c>
      <c r="G159" s="25" t="n">
        <v>1.134235E8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6.0</v>
      </c>
      <c r="F168" s="18" t="n">
        <f>0</f>
        <v>0.0</v>
      </c>
      <c r="G168" s="17" t="n">
        <v>1.31365E7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121.0</v>
      </c>
      <c r="F169" s="22" t="n">
        <f>0</f>
        <v>0.0</v>
      </c>
      <c r="G169" s="21" t="n">
        <v>2.648235E8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598.0</v>
      </c>
      <c r="F170" s="22" t="n">
        <f>0</f>
        <v>0.0</v>
      </c>
      <c r="G170" s="21" t="n">
        <v>1.3210505E9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725.0</v>
      </c>
      <c r="F171" s="26" t="n">
        <f>0</f>
        <v>0.0</v>
      </c>
      <c r="G171" s="25" t="n">
        <v>1.5990105E9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7022000.0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7022000.0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695.0</v>
      </c>
      <c r="F204" s="18" t="n">
        <f>0</f>
        <v>0.0</v>
      </c>
      <c r="G204" s="17" t="n">
        <v>2.6226985E9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113.0</v>
      </c>
      <c r="F205" s="22" t="n">
        <f>0</f>
        <v>0.0</v>
      </c>
      <c r="G205" s="21" t="n">
        <v>4.29485E8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1067.0</v>
      </c>
      <c r="F206" s="22" t="n">
        <f>0</f>
        <v>0.0</v>
      </c>
      <c r="G206" s="21" t="n">
        <v>4.006431E9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1875.0</v>
      </c>
      <c r="F207" s="26" t="n">
        <f>0</f>
        <v>0.0</v>
      </c>
      <c r="G207" s="25" t="n">
        <v>7.0586145E9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3428</f>
        <v>3428.0</v>
      </c>
      <c r="E12" s="35" t="n">
        <f>2233</f>
        <v>2233.0</v>
      </c>
      <c r="F12" s="17" t="n">
        <f>2175</f>
        <v>2175.0</v>
      </c>
      <c r="G12" s="35" t="n">
        <f>837</f>
        <v>837.0</v>
      </c>
      <c r="H12" s="17" t="n">
        <f>5603</f>
        <v>5603.0</v>
      </c>
      <c r="I12" s="35" t="n">
        <f>3070</f>
        <v>3070.0</v>
      </c>
      <c r="J12" s="17" t="n">
        <f>1432171620</f>
        <v>1.43217162E9</v>
      </c>
      <c r="K12" s="35" t="n">
        <f>1023033620</f>
        <v>1.02303362E9</v>
      </c>
      <c r="L12" s="17" t="n">
        <f>885067330</f>
        <v>8.8506733E8</v>
      </c>
      <c r="M12" s="35" t="n">
        <f>676826330</f>
        <v>6.7682633E8</v>
      </c>
      <c r="N12" s="17" t="n">
        <f>2317238950</f>
        <v>2.31723895E9</v>
      </c>
      <c r="O12" s="35" t="n">
        <f>1699859950</f>
        <v>1.69985995E9</v>
      </c>
    </row>
    <row r="13" spans="1:15" ht="24.9" customHeight="1">
      <c r="A13" s="38"/>
      <c r="B13" s="62"/>
      <c r="C13" s="20" t="s">
        <v>16</v>
      </c>
      <c r="D13" s="21" t="n">
        <f>5934</f>
        <v>5934.0</v>
      </c>
      <c r="E13" s="36" t="n">
        <f>2132</f>
        <v>2132.0</v>
      </c>
      <c r="F13" s="21" t="n">
        <f>7006</f>
        <v>7006.0</v>
      </c>
      <c r="G13" s="36" t="n">
        <f>3014</f>
        <v>3014.0</v>
      </c>
      <c r="H13" s="21" t="n">
        <f>12940</f>
        <v>12940.0</v>
      </c>
      <c r="I13" s="36" t="n">
        <f>5146</f>
        <v>5146.0</v>
      </c>
      <c r="J13" s="21" t="n">
        <f>3316770280</f>
        <v>3.31677028E9</v>
      </c>
      <c r="K13" s="36" t="n">
        <f>2084852280</f>
        <v>2.08485228E9</v>
      </c>
      <c r="L13" s="21" t="n">
        <f>3576517960</f>
        <v>3.57651796E9</v>
      </c>
      <c r="M13" s="36" t="n">
        <f>2814753960</f>
        <v>2.81475396E9</v>
      </c>
      <c r="N13" s="21" t="n">
        <f>6893288240</f>
        <v>6.89328824E9</v>
      </c>
      <c r="O13" s="36" t="n">
        <f>4899606240</f>
        <v>4.89960624E9</v>
      </c>
    </row>
    <row r="14" spans="1:15" ht="24.9" customHeight="1">
      <c r="A14" s="38"/>
      <c r="B14" s="62"/>
      <c r="C14" s="20" t="s">
        <v>17</v>
      </c>
      <c r="D14" s="21" t="n">
        <f>18028</f>
        <v>18028.0</v>
      </c>
      <c r="E14" s="36" t="n">
        <f>12733</f>
        <v>12733.0</v>
      </c>
      <c r="F14" s="21" t="n">
        <f>7614</f>
        <v>7614.0</v>
      </c>
      <c r="G14" s="36" t="n">
        <f>4912</f>
        <v>4912.0</v>
      </c>
      <c r="H14" s="21" t="n">
        <f>25642</f>
        <v>25642.0</v>
      </c>
      <c r="I14" s="36" t="n">
        <f>17645</f>
        <v>17645.0</v>
      </c>
      <c r="J14" s="21" t="n">
        <f>17149819140</f>
        <v>1.714981914E10</v>
      </c>
      <c r="K14" s="36" t="n">
        <f>16088644140</f>
        <v>1.608864414E10</v>
      </c>
      <c r="L14" s="21" t="n">
        <f>9130945738</f>
        <v>9.130945738E9</v>
      </c>
      <c r="M14" s="36" t="n">
        <f>8443780738</f>
        <v>8.443780738E9</v>
      </c>
      <c r="N14" s="21" t="n">
        <f>26280764878</f>
        <v>2.6280764878E10</v>
      </c>
      <c r="O14" s="36" t="n">
        <f>24532424878</f>
        <v>2.4532424878E10</v>
      </c>
    </row>
    <row r="15" spans="1:15" ht="24.9" customHeight="1">
      <c r="A15" s="38"/>
      <c r="B15" s="62"/>
      <c r="C15" s="24" t="s">
        <v>18</v>
      </c>
      <c r="D15" s="25" t="n">
        <f>27390</f>
        <v>27390.0</v>
      </c>
      <c r="E15" s="37" t="n">
        <f>17098</f>
        <v>17098.0</v>
      </c>
      <c r="F15" s="25" t="n">
        <f>16795</f>
        <v>16795.0</v>
      </c>
      <c r="G15" s="37" t="n">
        <f>8763</f>
        <v>8763.0</v>
      </c>
      <c r="H15" s="25" t="n">
        <f>44185</f>
        <v>44185.0</v>
      </c>
      <c r="I15" s="37" t="n">
        <f>25861</f>
        <v>25861.0</v>
      </c>
      <c r="J15" s="25" t="n">
        <f>21898761040</f>
        <v>2.189876104E10</v>
      </c>
      <c r="K15" s="37" t="n">
        <f>19196530040</f>
        <v>1.919653004E10</v>
      </c>
      <c r="L15" s="25" t="n">
        <f>13592531028</f>
        <v>1.3592531028E10</v>
      </c>
      <c r="M15" s="37" t="n">
        <f>11935361028</f>
        <v>1.1935361028E10</v>
      </c>
      <c r="N15" s="25" t="n">
        <f>35491292068</f>
        <v>3.5491292068E10</v>
      </c>
      <c r="O15" s="37" t="n">
        <f>31131891068</f>
        <v>3.1131891068E10</v>
      </c>
    </row>
    <row r="16" spans="1:15" ht="24.9" customHeight="1">
      <c r="A16" s="38"/>
      <c r="B16" s="61" t="s">
        <v>105</v>
      </c>
      <c r="C16" s="16" t="s">
        <v>15</v>
      </c>
      <c r="D16" s="17" t="n">
        <f>8083</f>
        <v>8083.0</v>
      </c>
      <c r="E16" s="35" t="n">
        <f>1060</f>
        <v>1060.0</v>
      </c>
      <c r="F16" s="17" t="n">
        <f>7665</f>
        <v>7665.0</v>
      </c>
      <c r="G16" s="35" t="n">
        <f>520</f>
        <v>520.0</v>
      </c>
      <c r="H16" s="17" t="n">
        <f>15748</f>
        <v>15748.0</v>
      </c>
      <c r="I16" s="35" t="n">
        <f>1580</f>
        <v>1580.0</v>
      </c>
      <c r="J16" s="17" t="n">
        <f>191630760</f>
        <v>1.9163076E8</v>
      </c>
      <c r="K16" s="35" t="n">
        <f>9023960</f>
        <v>9023960.0</v>
      </c>
      <c r="L16" s="17" t="n">
        <f>147880940</f>
        <v>1.4788094E8</v>
      </c>
      <c r="M16" s="35" t="n">
        <f>2648740</f>
        <v>2648740.0</v>
      </c>
      <c r="N16" s="17" t="n">
        <f>339511700</f>
        <v>3.395117E8</v>
      </c>
      <c r="O16" s="35" t="n">
        <f>11672700</f>
        <v>1.16727E7</v>
      </c>
    </row>
    <row r="17" spans="1:15" ht="24.9" customHeight="1">
      <c r="A17" s="38"/>
      <c r="B17" s="62"/>
      <c r="C17" s="20" t="s">
        <v>16</v>
      </c>
      <c r="D17" s="21" t="n">
        <f>12586</f>
        <v>12586.0</v>
      </c>
      <c r="E17" s="36" t="n">
        <f>820</f>
        <v>820.0</v>
      </c>
      <c r="F17" s="21" t="n">
        <f>13050</f>
        <v>13050.0</v>
      </c>
      <c r="G17" s="36" t="n">
        <f>480</f>
        <v>480.0</v>
      </c>
      <c r="H17" s="21" t="n">
        <f>25636</f>
        <v>25636.0</v>
      </c>
      <c r="I17" s="36" t="n">
        <f>1300</f>
        <v>1300.0</v>
      </c>
      <c r="J17" s="21" t="n">
        <f>266809760</f>
        <v>2.6680976E8</v>
      </c>
      <c r="K17" s="36" t="n">
        <f>9370860</f>
        <v>9370860.0</v>
      </c>
      <c r="L17" s="21" t="n">
        <f>332278470</f>
        <v>3.3227847E8</v>
      </c>
      <c r="M17" s="36" t="n">
        <f>2846370</f>
        <v>2846370.0</v>
      </c>
      <c r="N17" s="21" t="n">
        <f>599088230</f>
        <v>5.9908823E8</v>
      </c>
      <c r="O17" s="36" t="n">
        <f>12217230</f>
        <v>1.221723E7</v>
      </c>
    </row>
    <row r="18" spans="1:15" ht="24.9" customHeight="1">
      <c r="A18" s="38"/>
      <c r="B18" s="62"/>
      <c r="C18" s="20" t="s">
        <v>17</v>
      </c>
      <c r="D18" s="21" t="n">
        <f>9813</f>
        <v>9813.0</v>
      </c>
      <c r="E18" s="36" t="n">
        <f>490</f>
        <v>490.0</v>
      </c>
      <c r="F18" s="21" t="n">
        <f>11973</f>
        <v>11973.0</v>
      </c>
      <c r="G18" s="36" t="n">
        <f>960</f>
        <v>960.0</v>
      </c>
      <c r="H18" s="21" t="n">
        <f>21786</f>
        <v>21786.0</v>
      </c>
      <c r="I18" s="36" t="n">
        <f>1450</f>
        <v>1450.0</v>
      </c>
      <c r="J18" s="21" t="n">
        <f>183578810</f>
        <v>1.8357881E8</v>
      </c>
      <c r="K18" s="36" t="n">
        <f>1119410</f>
        <v>1119410.0</v>
      </c>
      <c r="L18" s="21" t="n">
        <f>316821950</f>
        <v>3.1682195E8</v>
      </c>
      <c r="M18" s="36" t="n">
        <f>4671250</f>
        <v>4671250.0</v>
      </c>
      <c r="N18" s="21" t="n">
        <f>500400760</f>
        <v>5.0040076E8</v>
      </c>
      <c r="O18" s="36" t="n">
        <f>5790660</f>
        <v>5790660.0</v>
      </c>
    </row>
    <row r="19" spans="1:15" ht="24.9" customHeight="1">
      <c r="A19" s="38"/>
      <c r="B19" s="62"/>
      <c r="C19" s="24" t="s">
        <v>18</v>
      </c>
      <c r="D19" s="25" t="n">
        <f>30482</f>
        <v>30482.0</v>
      </c>
      <c r="E19" s="37" t="n">
        <f>2370</f>
        <v>2370.0</v>
      </c>
      <c r="F19" s="25" t="n">
        <f>32688</f>
        <v>32688.0</v>
      </c>
      <c r="G19" s="37" t="n">
        <f>1960</f>
        <v>1960.0</v>
      </c>
      <c r="H19" s="25" t="n">
        <f>63170</f>
        <v>63170.0</v>
      </c>
      <c r="I19" s="37" t="n">
        <f>4330</f>
        <v>4330.0</v>
      </c>
      <c r="J19" s="25" t="n">
        <f>642019330</f>
        <v>6.4201933E8</v>
      </c>
      <c r="K19" s="37" t="n">
        <f>19514230</f>
        <v>1.951423E7</v>
      </c>
      <c r="L19" s="25" t="n">
        <f>796981360</f>
        <v>7.9698136E8</v>
      </c>
      <c r="M19" s="37" t="n">
        <f>10166360</f>
        <v>1.016636E7</v>
      </c>
      <c r="N19" s="25" t="n">
        <f>1439000690</f>
        <v>1.43900069E9</v>
      </c>
      <c r="O19" s="37" t="n">
        <f>29680590</f>
        <v>2.968059E7</v>
      </c>
    </row>
    <row r="20" spans="1:15" ht="24.9" customHeight="1">
      <c r="A20" s="38"/>
      <c r="B20" s="61" t="s">
        <v>106</v>
      </c>
      <c r="C20" s="16" t="s">
        <v>15</v>
      </c>
      <c r="D20" s="17" t="n">
        <f>225</f>
        <v>225.0</v>
      </c>
      <c r="E20" s="35" t="n">
        <f>225</f>
        <v>225.0</v>
      </c>
      <c r="F20" s="17" t="n">
        <f>225</f>
        <v>225.0</v>
      </c>
      <c r="G20" s="35" t="n">
        <f>225</f>
        <v>225.0</v>
      </c>
      <c r="H20" s="17" t="n">
        <f>450</f>
        <v>450.0</v>
      </c>
      <c r="I20" s="35" t="n">
        <f>450</f>
        <v>450.0</v>
      </c>
      <c r="J20" s="17" t="n">
        <f>804375000</f>
        <v>8.04375E8</v>
      </c>
      <c r="K20" s="35" t="n">
        <f>804375000</f>
        <v>8.04375E8</v>
      </c>
      <c r="L20" s="17" t="n">
        <f>762750000</f>
        <v>7.6275E8</v>
      </c>
      <c r="M20" s="35" t="n">
        <f>762750000</f>
        <v>7.6275E8</v>
      </c>
      <c r="N20" s="17" t="n">
        <f>1567125000</f>
        <v>1.567125E9</v>
      </c>
      <c r="O20" s="35" t="n">
        <f>1567125000</f>
        <v>1.567125E9</v>
      </c>
    </row>
    <row r="21" spans="1:15" ht="24.9" customHeight="1">
      <c r="A21" s="38"/>
      <c r="B21" s="62"/>
      <c r="C21" s="20" t="s">
        <v>16</v>
      </c>
      <c r="D21" s="21" t="n">
        <f>158</f>
        <v>158.0</v>
      </c>
      <c r="E21" s="36" t="n">
        <f>158</f>
        <v>158.0</v>
      </c>
      <c r="F21" s="21" t="n">
        <f>108</f>
        <v>108.0</v>
      </c>
      <c r="G21" s="36" t="n">
        <f>108</f>
        <v>108.0</v>
      </c>
      <c r="H21" s="21" t="n">
        <f>266</f>
        <v>266.0</v>
      </c>
      <c r="I21" s="36" t="n">
        <f>266</f>
        <v>266.0</v>
      </c>
      <c r="J21" s="21" t="n">
        <f>250060000</f>
        <v>2.5006E8</v>
      </c>
      <c r="K21" s="36" t="n">
        <f>250060000</f>
        <v>2.5006E8</v>
      </c>
      <c r="L21" s="21" t="n">
        <f>59346000</f>
        <v>5.9346E7</v>
      </c>
      <c r="M21" s="36" t="n">
        <f>59346000</f>
        <v>5.9346E7</v>
      </c>
      <c r="N21" s="21" t="n">
        <f>309406000</f>
        <v>3.09406E8</v>
      </c>
      <c r="O21" s="36" t="n">
        <f>309406000</f>
        <v>3.09406E8</v>
      </c>
    </row>
    <row r="22" spans="1:15" ht="24.9" customHeight="1">
      <c r="A22" s="38"/>
      <c r="B22" s="62"/>
      <c r="C22" s="20" t="s">
        <v>17</v>
      </c>
      <c r="D22" s="21" t="n">
        <f>4371</f>
        <v>4371.0</v>
      </c>
      <c r="E22" s="36" t="n">
        <f>4371</f>
        <v>4371.0</v>
      </c>
      <c r="F22" s="21" t="n">
        <f>2400</f>
        <v>2400.0</v>
      </c>
      <c r="G22" s="36" t="n">
        <f>2400</f>
        <v>2400.0</v>
      </c>
      <c r="H22" s="21" t="n">
        <f>6771</f>
        <v>6771.0</v>
      </c>
      <c r="I22" s="36" t="n">
        <f>6771</f>
        <v>6771.0</v>
      </c>
      <c r="J22" s="21" t="n">
        <f>2335378800</f>
        <v>2.3353788E9</v>
      </c>
      <c r="K22" s="36" t="n">
        <f>2335378800</f>
        <v>2.3353788E9</v>
      </c>
      <c r="L22" s="21" t="n">
        <f>732800000</f>
        <v>7.328E8</v>
      </c>
      <c r="M22" s="36" t="n">
        <f>732800000</f>
        <v>7.328E8</v>
      </c>
      <c r="N22" s="21" t="n">
        <f>3068178800</f>
        <v>3.0681788E9</v>
      </c>
      <c r="O22" s="36" t="n">
        <f>3068178800</f>
        <v>3.0681788E9</v>
      </c>
    </row>
    <row r="23" spans="1:15" ht="24.9" customHeight="1">
      <c r="A23" s="38"/>
      <c r="B23" s="62"/>
      <c r="C23" s="24" t="s">
        <v>18</v>
      </c>
      <c r="D23" s="25" t="n">
        <f>4754</f>
        <v>4754.0</v>
      </c>
      <c r="E23" s="37" t="n">
        <f>4754</f>
        <v>4754.0</v>
      </c>
      <c r="F23" s="25" t="n">
        <f>2733</f>
        <v>2733.0</v>
      </c>
      <c r="G23" s="37" t="n">
        <f>2733</f>
        <v>2733.0</v>
      </c>
      <c r="H23" s="25" t="n">
        <f>7487</f>
        <v>7487.0</v>
      </c>
      <c r="I23" s="37" t="n">
        <f>7487</f>
        <v>7487.0</v>
      </c>
      <c r="J23" s="25" t="n">
        <f>3389813800</f>
        <v>3.3898138E9</v>
      </c>
      <c r="K23" s="37" t="n">
        <f>3389813800</f>
        <v>3.3898138E9</v>
      </c>
      <c r="L23" s="25" t="n">
        <f>1554896000</f>
        <v>1.554896E9</v>
      </c>
      <c r="M23" s="37" t="n">
        <f>1554896000</f>
        <v>1.554896E9</v>
      </c>
      <c r="N23" s="25" t="n">
        <f>4944709800</f>
        <v>4.9447098E9</v>
      </c>
      <c r="O23" s="37" t="n">
        <f>4944709800</f>
        <v>4.9447098E9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4</f>
        <v>4.0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4</f>
        <v>4.0</v>
      </c>
      <c r="I36" s="18" t="n">
        <f>0</f>
        <v>0.0</v>
      </c>
      <c r="J36" s="17" t="n">
        <f>740000</f>
        <v>740000.0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740000</f>
        <v>740000.0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111</f>
        <v>111.0</v>
      </c>
      <c r="E37" s="22" t="n">
        <f>30</f>
        <v>30.0</v>
      </c>
      <c r="F37" s="21" t="n">
        <f>41</f>
        <v>41.0</v>
      </c>
      <c r="G37" s="22" t="n">
        <f>30</f>
        <v>30.0</v>
      </c>
      <c r="H37" s="21" t="n">
        <f>152</f>
        <v>152.0</v>
      </c>
      <c r="I37" s="22" t="n">
        <f>60</f>
        <v>60.0</v>
      </c>
      <c r="J37" s="21" t="n">
        <f>14210000</f>
        <v>1.421E7</v>
      </c>
      <c r="K37" s="22" t="n">
        <f>4800000</f>
        <v>4800000.0</v>
      </c>
      <c r="L37" s="21" t="n">
        <f>4760000</f>
        <v>4760000.0</v>
      </c>
      <c r="M37" s="22" t="n">
        <f>3300000</f>
        <v>3300000.0</v>
      </c>
      <c r="N37" s="21" t="n">
        <f>18970000</f>
        <v>1.897E7</v>
      </c>
      <c r="O37" s="22" t="n">
        <f>8100000</f>
        <v>8100000.0</v>
      </c>
    </row>
    <row r="38" spans="1:15" ht="24.9" customHeight="1">
      <c r="A38" s="38"/>
      <c r="B38" s="62"/>
      <c r="C38" s="20" t="s">
        <v>17</v>
      </c>
      <c r="D38" s="21" t="n">
        <f>28</f>
        <v>28.0</v>
      </c>
      <c r="E38" s="36" t="n">
        <f>0</f>
        <v>0.0</v>
      </c>
      <c r="F38" s="21" t="n">
        <f>37</f>
        <v>37.0</v>
      </c>
      <c r="G38" s="36" t="n">
        <f>0</f>
        <v>0.0</v>
      </c>
      <c r="H38" s="21" t="n">
        <f>65</f>
        <v>65.0</v>
      </c>
      <c r="I38" s="36" t="n">
        <f>0</f>
        <v>0.0</v>
      </c>
      <c r="J38" s="21" t="n">
        <f>3580000</f>
        <v>3580000.0</v>
      </c>
      <c r="K38" s="36" t="n">
        <f>0</f>
        <v>0.0</v>
      </c>
      <c r="L38" s="21" t="n">
        <f>2490000</f>
        <v>2490000.0</v>
      </c>
      <c r="M38" s="36" t="n">
        <f>0</f>
        <v>0.0</v>
      </c>
      <c r="N38" s="21" t="n">
        <f>6070000</f>
        <v>6070000.0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143</f>
        <v>143.0</v>
      </c>
      <c r="E39" s="37" t="n">
        <f>30</f>
        <v>30.0</v>
      </c>
      <c r="F39" s="25" t="n">
        <f>78</f>
        <v>78.0</v>
      </c>
      <c r="G39" s="37" t="n">
        <f>30</f>
        <v>30.0</v>
      </c>
      <c r="H39" s="25" t="n">
        <f>221</f>
        <v>221.0</v>
      </c>
      <c r="I39" s="37" t="n">
        <f>60</f>
        <v>60.0</v>
      </c>
      <c r="J39" s="25" t="n">
        <f>18530000</f>
        <v>1.853E7</v>
      </c>
      <c r="K39" s="37" t="n">
        <f>4800000</f>
        <v>4800000.0</v>
      </c>
      <c r="L39" s="25" t="n">
        <f>7250000</f>
        <v>7250000.0</v>
      </c>
      <c r="M39" s="37" t="n">
        <f>3300000</f>
        <v>3300000.0</v>
      </c>
      <c r="N39" s="25" t="n">
        <f>25780000</f>
        <v>2.578E7</v>
      </c>
      <c r="O39" s="37" t="n">
        <f>8100000</f>
        <v>8100000.0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318</f>
        <v>318.0</v>
      </c>
      <c r="E41" s="36" t="n">
        <f>0</f>
        <v>0.0</v>
      </c>
      <c r="F41" s="21" t="n">
        <f>654</f>
        <v>654.0</v>
      </c>
      <c r="G41" s="36" t="n">
        <f>0</f>
        <v>0.0</v>
      </c>
      <c r="H41" s="21" t="n">
        <f>972</f>
        <v>972.0</v>
      </c>
      <c r="I41" s="36" t="n">
        <f>0</f>
        <v>0.0</v>
      </c>
      <c r="J41" s="21" t="n">
        <f>12386372</f>
        <v>1.2386372E7</v>
      </c>
      <c r="K41" s="36" t="n">
        <f>0</f>
        <v>0.0</v>
      </c>
      <c r="L41" s="21" t="n">
        <f>1529240</f>
        <v>1529240.0</v>
      </c>
      <c r="M41" s="36" t="n">
        <f>0</f>
        <v>0.0</v>
      </c>
      <c r="N41" s="21" t="n">
        <f>13915612</f>
        <v>1.3915612E7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7147</f>
        <v>7147.0</v>
      </c>
      <c r="E42" s="36" t="n">
        <f>0</f>
        <v>0.0</v>
      </c>
      <c r="F42" s="21" t="n">
        <f>2060</f>
        <v>2060.0</v>
      </c>
      <c r="G42" s="36" t="n">
        <f>0</f>
        <v>0.0</v>
      </c>
      <c r="H42" s="21" t="n">
        <f>9207</f>
        <v>9207.0</v>
      </c>
      <c r="I42" s="36" t="n">
        <f>0</f>
        <v>0.0</v>
      </c>
      <c r="J42" s="21" t="n">
        <f>18375490</f>
        <v>1.837549E7</v>
      </c>
      <c r="K42" s="36" t="n">
        <f>0</f>
        <v>0.0</v>
      </c>
      <c r="L42" s="21" t="n">
        <f>3252460</f>
        <v>3252460.0</v>
      </c>
      <c r="M42" s="36" t="n">
        <f>0</f>
        <v>0.0</v>
      </c>
      <c r="N42" s="21" t="n">
        <f>21627950</f>
        <v>2.162795E7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7465</f>
        <v>7465.0</v>
      </c>
      <c r="E43" s="37" t="n">
        <f>0</f>
        <v>0.0</v>
      </c>
      <c r="F43" s="25" t="n">
        <f>2714</f>
        <v>2714.0</v>
      </c>
      <c r="G43" s="37" t="n">
        <f>0</f>
        <v>0.0</v>
      </c>
      <c r="H43" s="25" t="n">
        <f>10179</f>
        <v>10179.0</v>
      </c>
      <c r="I43" s="37" t="n">
        <f>0</f>
        <v>0.0</v>
      </c>
      <c r="J43" s="25" t="n">
        <f>30761862</f>
        <v>3.0761862E7</v>
      </c>
      <c r="K43" s="37" t="n">
        <f>0</f>
        <v>0.0</v>
      </c>
      <c r="L43" s="25" t="n">
        <f>4781700</f>
        <v>4781700.0</v>
      </c>
      <c r="M43" s="37" t="n">
        <f>0</f>
        <v>0.0</v>
      </c>
      <c r="N43" s="25" t="n">
        <f>35543562</f>
        <v>3.5543562E7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