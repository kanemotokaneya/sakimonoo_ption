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<sst xmlns="http://schemas.openxmlformats.org/spreadsheetml/2006/main" count="528" uniqueCount="129">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</sst>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DATE(2026,08,12)</f>
        <v>46246.0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DATE(2026,08,12)</f>
        <v>46246.0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1254333.0</f>
        <v>1254333.0</v>
      </c>
      <c r="E12" s="18" t="n">
        <f>59517.0</f>
        <v>59517.0</v>
      </c>
      <c r="F12" s="19" t="n">
        <f>1.0</f>
        <v>1.0</v>
      </c>
      <c r="G12" s="17" t="n">
        <f>6980061005500.0</f>
        <v>6.9800610055E12</v>
      </c>
      <c r="H12" s="18" t="n">
        <f>511965272850.0</f>
        <v>5.1196527285E11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336027.0</f>
        <v>336027.0</v>
      </c>
      <c r="E13" s="22" t="n">
        <f>33021.0</f>
        <v>33021.0</v>
      </c>
      <c r="F13" s="23" t="n">
        <f>1.0</f>
        <v>1.0</v>
      </c>
      <c r="G13" s="21" t="n">
        <f>3912391892190.0</f>
        <v>3.91239189219E12</v>
      </c>
      <c r="H13" s="22" t="n">
        <f>497898630720.0</f>
        <v>4.9789863072E11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359490.0</f>
        <v>359490.0</v>
      </c>
      <c r="E14" s="22" t="n">
        <f>37169.0</f>
        <v>37169.0</v>
      </c>
      <c r="F14" s="23" t="n">
        <f>1.0</f>
        <v>1.0</v>
      </c>
      <c r="G14" s="21" t="n">
        <f>4814569419099.0</f>
        <v>4.814569419099E12</v>
      </c>
      <c r="H14" s="22" t="n">
        <f>1054640390199.0</f>
        <v>1.054640390199E12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1949850.0</f>
        <v>1949850.0</v>
      </c>
      <c r="E15" s="26" t="n">
        <f>129707.0</f>
        <v>129707.0</v>
      </c>
      <c r="F15" s="27" t="n">
        <f>1.0</f>
        <v>1.0</v>
      </c>
      <c r="G15" s="25" t="n">
        <f>15707022316789.0</f>
        <v>1.5707022316789E13</v>
      </c>
      <c r="H15" s="26" t="n">
        <f>2064504293769.0</f>
        <v>2.064504293769E12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14959.0</f>
        <v>14959.0</v>
      </c>
      <c r="E16" s="18" t="n">
        <f>161.0</f>
        <v>161.0</v>
      </c>
      <c r="F16" s="19" t="n">
        <f>0.012</f>
        <v>0.012</v>
      </c>
      <c r="G16" s="17" t="n">
        <f>1315224191250.0</f>
        <v>1.31522419125E12</v>
      </c>
      <c r="H16" s="18" t="n">
        <f>20429290000.0</f>
        <v>2.042929E10</v>
      </c>
      <c r="I16" s="19" t="n">
        <f>0.188</f>
        <v>0.188</v>
      </c>
    </row>
    <row r="17" spans="1:9" ht="24.9" customHeight="1">
      <c r="A17" s="41"/>
      <c r="B17" s="39"/>
      <c r="C17" s="20" t="s">
        <v>16</v>
      </c>
      <c r="D17" s="21" t="n">
        <f>14808.0</f>
        <v>14808.0</v>
      </c>
      <c r="E17" s="22" t="n">
        <f>946.0</f>
        <v>946.0</v>
      </c>
      <c r="F17" s="23" t="n">
        <f>0.044</f>
        <v>0.044</v>
      </c>
      <c r="G17" s="21" t="n">
        <f>1780991110000.0</f>
        <v>1.78099111E12</v>
      </c>
      <c r="H17" s="22" t="n">
        <f>119832460000.0</f>
        <v>1.1983246E11</v>
      </c>
      <c r="I17" s="23" t="n">
        <f>0.455</f>
        <v>0.455</v>
      </c>
    </row>
    <row r="18" spans="1:9" ht="24.9" customHeight="1">
      <c r="A18" s="41"/>
      <c r="B18" s="39"/>
      <c r="C18" s="20" t="s">
        <v>17</v>
      </c>
      <c r="D18" s="21" t="n">
        <f>12271.0</f>
        <v>12271.0</v>
      </c>
      <c r="E18" s="22" t="n">
        <f>1093.0</f>
        <v>1093.0</v>
      </c>
      <c r="F18" s="23" t="n">
        <f>0.034</f>
        <v>0.034</v>
      </c>
      <c r="G18" s="21" t="n">
        <f>1464503681250.0</f>
        <v>1.46450368125E12</v>
      </c>
      <c r="H18" s="22" t="n">
        <f>138307910000.0</f>
        <v>1.3830791E11</v>
      </c>
      <c r="I18" s="23" t="n">
        <f>0.304</f>
        <v>0.304</v>
      </c>
    </row>
    <row r="19" spans="1:9" ht="24.9" customHeight="1">
      <c r="A19" s="41"/>
      <c r="B19" s="39"/>
      <c r="C19" s="24" t="s">
        <v>18</v>
      </c>
      <c r="D19" s="25" t="n">
        <f>42038.0</f>
        <v>42038.0</v>
      </c>
      <c r="E19" s="26" t="n">
        <f>2200.0</f>
        <v>2200.0</v>
      </c>
      <c r="F19" s="27" t="n">
        <f>0.022</f>
        <v>0.022</v>
      </c>
      <c r="G19" s="25" t="n">
        <f>4560718982500.0</f>
        <v>4.5607189825E12</v>
      </c>
      <c r="H19" s="26" t="n">
        <f>278569660000.0</f>
        <v>2.7856966E11</v>
      </c>
      <c r="I19" s="27" t="n">
        <f>0.29</f>
        <v>0.29</v>
      </c>
    </row>
    <row r="20" spans="1:9" ht="24.9" customHeight="1">
      <c r="A20" s="41"/>
      <c r="B20" s="39" t="s">
        <v>21</v>
      </c>
      <c r="C20" s="16" t="s">
        <v>15</v>
      </c>
      <c r="D20" s="17" t="n">
        <f>1203917.0</f>
        <v>1203917.0</v>
      </c>
      <c r="E20" s="18" t="n">
        <f>59336.0</f>
        <v>59336.0</v>
      </c>
      <c r="F20" s="19" t="n">
        <f>0.96</f>
        <v>0.96</v>
      </c>
      <c r="G20" s="17" t="n">
        <f>5190335704900.0</f>
        <v>5.1903357049E12</v>
      </c>
      <c r="H20" s="18" t="n">
        <f>491256651650.0</f>
        <v>4.9125665165E11</v>
      </c>
      <c r="I20" s="19" t="n">
        <f>0.744</f>
        <v>0.744</v>
      </c>
    </row>
    <row r="21" spans="1:9" ht="24.9" customHeight="1">
      <c r="A21" s="41"/>
      <c r="B21" s="39"/>
      <c r="C21" s="20" t="s">
        <v>16</v>
      </c>
      <c r="D21" s="21" t="n">
        <f>315117.0</f>
        <v>315117.0</v>
      </c>
      <c r="E21" s="22" t="n">
        <f>32074.0</f>
        <v>32074.0</v>
      </c>
      <c r="F21" s="23" t="n">
        <f>0.938</f>
        <v>0.938</v>
      </c>
      <c r="G21" s="21" t="n">
        <f>2063539076520.0</f>
        <v>2.06353907652E12</v>
      </c>
      <c r="H21" s="22" t="n">
        <f>378063888720.0</f>
        <v>3.7806388872E11</v>
      </c>
      <c r="I21" s="23" t="n">
        <f>0.527</f>
        <v>0.527</v>
      </c>
    </row>
    <row r="22" spans="1:9" ht="24.9" customHeight="1">
      <c r="A22" s="41"/>
      <c r="B22" s="39"/>
      <c r="C22" s="20" t="s">
        <v>17</v>
      </c>
      <c r="D22" s="21" t="n">
        <f>333944.0</f>
        <v>333944.0</v>
      </c>
      <c r="E22" s="22" t="n">
        <f>35974.0</f>
        <v>35974.0</v>
      </c>
      <c r="F22" s="23" t="n">
        <f>0.929</f>
        <v>0.929</v>
      </c>
      <c r="G22" s="21" t="n">
        <f>3251480000249.0</f>
        <v>3.251480000249E12</v>
      </c>
      <c r="H22" s="22" t="n">
        <f>916106405199.0</f>
        <v>9.16106405199E11</v>
      </c>
      <c r="I22" s="23" t="n">
        <f>0.675</f>
        <v>0.675</v>
      </c>
    </row>
    <row r="23" spans="1:9" ht="24.9" customHeight="1">
      <c r="A23" s="41"/>
      <c r="B23" s="39"/>
      <c r="C23" s="24" t="s">
        <v>18</v>
      </c>
      <c r="D23" s="25" t="n">
        <f>1852978.0</f>
        <v>1852978.0</v>
      </c>
      <c r="E23" s="26" t="n">
        <f>127384.0</f>
        <v>127384.0</v>
      </c>
      <c r="F23" s="27" t="n">
        <f>0.95</f>
        <v>0.95</v>
      </c>
      <c r="G23" s="25" t="n">
        <f>10505354781669.0</f>
        <v>1.0505354781669E13</v>
      </c>
      <c r="H23" s="26" t="n">
        <f>1785426945569.0</f>
        <v>1.785426945569E12</v>
      </c>
      <c r="I23" s="27" t="n">
        <f>0.669</f>
        <v>0.669</v>
      </c>
    </row>
    <row r="24" spans="1:9" ht="24.9" customHeight="1">
      <c r="A24" s="41"/>
      <c r="B24" s="39" t="s">
        <v>22</v>
      </c>
      <c r="C24" s="16" t="s">
        <v>15</v>
      </c>
      <c r="D24" s="17" t="n">
        <f>34532.0</f>
        <v>34532.0</v>
      </c>
      <c r="E24" s="18" t="n">
        <f>0.0</f>
        <v>0.0</v>
      </c>
      <c r="F24" s="19" t="n">
        <f>0.028</f>
        <v>0.028</v>
      </c>
      <c r="G24" s="17" t="n">
        <f>470885458150.0</f>
        <v>4.7088545815E11</v>
      </c>
      <c r="H24" s="18" t="n">
        <f>0.0</f>
        <v>0.0</v>
      </c>
      <c r="I24" s="19" t="n">
        <f>0.067</f>
        <v>0.067</v>
      </c>
    </row>
    <row r="25" spans="1:9" ht="24.9" customHeight="1">
      <c r="A25" s="41"/>
      <c r="B25" s="39"/>
      <c r="C25" s="20" t="s">
        <v>16</v>
      </c>
      <c r="D25" s="21" t="n">
        <f>5760.0</f>
        <v>5760.0</v>
      </c>
      <c r="E25" s="22" t="n">
        <f>1.0</f>
        <v>1.0</v>
      </c>
      <c r="F25" s="23" t="n">
        <f>0.017</f>
        <v>0.017</v>
      </c>
      <c r="G25" s="21" t="n">
        <f>66602992250.0</f>
        <v>6.660299225E10</v>
      </c>
      <c r="H25" s="22" t="n">
        <f>2282000.0</f>
        <v>2282000.0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9656.0</f>
        <v>9656.0</v>
      </c>
      <c r="E26" s="22" t="n">
        <f>100.0</f>
        <v>100.0</v>
      </c>
      <c r="F26" s="23" t="n">
        <f>0.027</f>
        <v>0.027</v>
      </c>
      <c r="G26" s="21" t="n">
        <f>84938152100.0</f>
        <v>8.49381521E10</v>
      </c>
      <c r="H26" s="22" t="n">
        <f>217590000.0</f>
        <v>2.1759E8</v>
      </c>
      <c r="I26" s="23" t="n">
        <f>0.018</f>
        <v>0.018</v>
      </c>
    </row>
    <row r="27" spans="1:9" ht="24.9" customHeight="1">
      <c r="A27" s="42"/>
      <c r="B27" s="39"/>
      <c r="C27" s="24" t="s">
        <v>18</v>
      </c>
      <c r="D27" s="25" t="n">
        <f>49948.0</f>
        <v>49948.0</v>
      </c>
      <c r="E27" s="26" t="n">
        <f>101.0</f>
        <v>101.0</v>
      </c>
      <c r="F27" s="27" t="n">
        <f>0.026</f>
        <v>0.026</v>
      </c>
      <c r="G27" s="25" t="n">
        <f>622426602500.0</f>
        <v>6.224266025E11</v>
      </c>
      <c r="H27" s="26" t="n">
        <f>219872000.0</f>
        <v>2.19872E8</v>
      </c>
      <c r="I27" s="27" t="n">
        <f>0.04</f>
        <v>0.04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925.0</f>
        <v>925.0</v>
      </c>
      <c r="E28" s="18" t="n">
        <f>20.0</f>
        <v>20.0</v>
      </c>
      <c r="F28" s="19" t="n">
        <f>0.001</f>
        <v>0.001</v>
      </c>
      <c r="G28" s="17" t="n">
        <f>3615651200.0</f>
        <v>3.6156512E9</v>
      </c>
      <c r="H28" s="18" t="n">
        <f>279331200.0</f>
        <v>2.793312E8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342.0</f>
        <v>342.0</v>
      </c>
      <c r="E29" s="22" t="n">
        <f>0.0</f>
        <v>0.0</v>
      </c>
      <c r="F29" s="23" t="n">
        <f>0.001</f>
        <v>0.001</v>
      </c>
      <c r="G29" s="21" t="n">
        <f>1258713420.0</f>
        <v>1.25871342E9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3619.0</f>
        <v>3619.0</v>
      </c>
      <c r="E30" s="22" t="n">
        <f>2.0</f>
        <v>2.0</v>
      </c>
      <c r="F30" s="23" t="n">
        <f>0.01</f>
        <v>0.01</v>
      </c>
      <c r="G30" s="21" t="n">
        <f>13647585500.0</f>
        <v>1.36475855E10</v>
      </c>
      <c r="H30" s="22" t="n">
        <f>8485000.0</f>
        <v>8485000.0</v>
      </c>
      <c r="I30" s="23" t="n">
        <f>0.003</f>
        <v>0.003</v>
      </c>
    </row>
    <row r="31" spans="1:9" ht="24.9" customHeight="1">
      <c r="A31" s="38"/>
      <c r="B31" s="39"/>
      <c r="C31" s="24" t="s">
        <v>18</v>
      </c>
      <c r="D31" s="25" t="n">
        <f>4886.0</f>
        <v>4886.0</v>
      </c>
      <c r="E31" s="26" t="n">
        <f>22.0</f>
        <v>22.0</v>
      </c>
      <c r="F31" s="27" t="n">
        <f>0.003</f>
        <v>0.003</v>
      </c>
      <c r="G31" s="25" t="n">
        <f>18521950120.0</f>
        <v>1.852195012E10</v>
      </c>
      <c r="H31" s="26" t="n">
        <f>287816200.0</f>
        <v>2.878162E8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46246.0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46246.0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44522</f>
        <v>44522.0</v>
      </c>
      <c r="E11" s="18" t="n">
        <f>10044</f>
        <v>10044.0</v>
      </c>
      <c r="F11" s="19" t="n">
        <f>1</f>
        <v>1.0</v>
      </c>
      <c r="G11" s="17" t="n">
        <f>4770730635</f>
        <v>4.770730635E9</v>
      </c>
      <c r="H11" s="18" t="n">
        <f>1870422435</f>
        <v>1.870422435E9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24762</f>
        <v>24762.0</v>
      </c>
      <c r="E12" s="22" t="n">
        <f>7130</f>
        <v>7130.0</v>
      </c>
      <c r="F12" s="23" t="n">
        <f>1</f>
        <v>1.0</v>
      </c>
      <c r="G12" s="21" t="n">
        <f>7858983675</f>
        <v>7.858983675E9</v>
      </c>
      <c r="H12" s="22" t="n">
        <f>6809989770</f>
        <v>6.80998977E9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57906</f>
        <v>57906.0</v>
      </c>
      <c r="E13" s="22" t="n">
        <f>34880</f>
        <v>34880.0</v>
      </c>
      <c r="F13" s="23" t="n">
        <f>1</f>
        <v>1.0</v>
      </c>
      <c r="G13" s="21" t="n">
        <f>23350655516</f>
        <v>2.3350655516E10</v>
      </c>
      <c r="H13" s="22" t="n">
        <f>19497444850</f>
        <v>1.949744485E10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127190</f>
        <v>127190.0</v>
      </c>
      <c r="E14" s="26" t="n">
        <f>52054</f>
        <v>52054.0</v>
      </c>
      <c r="F14" s="27" t="n">
        <f>1</f>
        <v>1.0</v>
      </c>
      <c r="G14" s="25" t="n">
        <f>35980369826</f>
        <v>3.5980369826E10</v>
      </c>
      <c r="H14" s="26" t="n">
        <f>28177857055</f>
        <v>2.8177857055E10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286</f>
        <v>286.0</v>
      </c>
      <c r="E16" s="22" t="n">
        <f>100</f>
        <v>100.0</v>
      </c>
      <c r="F16" s="23" t="n">
        <f>0.012</f>
        <v>0.012</v>
      </c>
      <c r="G16" s="21" t="n">
        <f>47660000</f>
        <v>4.766E7</v>
      </c>
      <c r="H16" s="22" t="n">
        <f>8000000</f>
        <v>8000000.0</v>
      </c>
      <c r="I16" s="23" t="n">
        <f>0.006</f>
        <v>0.006</v>
      </c>
    </row>
    <row r="17" spans="1:9" ht="24.9" customHeight="1">
      <c r="A17" s="41"/>
      <c r="B17" s="39"/>
      <c r="C17" s="20" t="s">
        <v>17</v>
      </c>
      <c r="D17" s="21" t="n">
        <f>98</f>
        <v>98.0</v>
      </c>
      <c r="E17" s="22" t="n">
        <f>0</f>
        <v>0.0</v>
      </c>
      <c r="F17" s="23" t="n">
        <f>0.002</f>
        <v>0.002</v>
      </c>
      <c r="G17" s="21" t="n">
        <f>19160000</f>
        <v>1.916E7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384</f>
        <v>384.0</v>
      </c>
      <c r="E18" s="26" t="n">
        <f>100</f>
        <v>100.0</v>
      </c>
      <c r="F18" s="27" t="n">
        <f>0.003</f>
        <v>0.003</v>
      </c>
      <c r="G18" s="25" t="n">
        <f>66820000</f>
        <v>6.682E7</v>
      </c>
      <c r="H18" s="26" t="n">
        <f>8000000</f>
        <v>8000000.0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44522</f>
        <v>44522.0</v>
      </c>
      <c r="E19" s="18" t="n">
        <f>10044</f>
        <v>10044.0</v>
      </c>
      <c r="F19" s="19" t="n">
        <f>1</f>
        <v>1.0</v>
      </c>
      <c r="G19" s="17" t="n">
        <f>4770730635</f>
        <v>4.770730635E9</v>
      </c>
      <c r="H19" s="18" t="n">
        <f>1870422435</f>
        <v>1.870422435E9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15929</f>
        <v>15929.0</v>
      </c>
      <c r="E20" s="22" t="n">
        <f>4630</f>
        <v>4630.0</v>
      </c>
      <c r="F20" s="23" t="n">
        <f>0.643</f>
        <v>0.643</v>
      </c>
      <c r="G20" s="21" t="n">
        <f>7763476470</f>
        <v>7.76347647E9</v>
      </c>
      <c r="H20" s="22" t="n">
        <f>6775349770</f>
        <v>6.77534977E9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44269</f>
        <v>44269.0</v>
      </c>
      <c r="E21" s="22" t="n">
        <f>24080</f>
        <v>24080.0</v>
      </c>
      <c r="F21" s="23" t="n">
        <f>0.764</f>
        <v>0.764</v>
      </c>
      <c r="G21" s="21" t="n">
        <f>23036190850</f>
        <v>2.303619085E10</v>
      </c>
      <c r="H21" s="22" t="n">
        <f>19216564850</f>
        <v>1.921656485E10</v>
      </c>
      <c r="I21" s="23" t="n">
        <f>0.987</f>
        <v>0.987</v>
      </c>
    </row>
    <row r="22" spans="1:9" ht="24.9" customHeight="1">
      <c r="A22" s="41"/>
      <c r="B22" s="39"/>
      <c r="C22" s="24" t="s">
        <v>18</v>
      </c>
      <c r="D22" s="25" t="n">
        <f>104720</f>
        <v>104720.0</v>
      </c>
      <c r="E22" s="26" t="n">
        <f>38754</f>
        <v>38754.0</v>
      </c>
      <c r="F22" s="27" t="n">
        <f>0.823</f>
        <v>0.823</v>
      </c>
      <c r="G22" s="25" t="n">
        <f>35570397955</f>
        <v>3.5570397955E10</v>
      </c>
      <c r="H22" s="26" t="n">
        <f>27862337055</f>
        <v>2.7862337055E10</v>
      </c>
      <c r="I22" s="27" t="n">
        <f>0.989</f>
        <v>0.989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8547</f>
        <v>8547.0</v>
      </c>
      <c r="E24" s="22" t="n">
        <f>2400</f>
        <v>2400.0</v>
      </c>
      <c r="F24" s="23" t="n">
        <f>0.345</f>
        <v>0.345</v>
      </c>
      <c r="G24" s="21" t="n">
        <f>47847205</f>
        <v>4.7847205E7</v>
      </c>
      <c r="H24" s="22" t="n">
        <f>26640000</f>
        <v>2.664E7</v>
      </c>
      <c r="I24" s="23" t="n">
        <f>0.006</f>
        <v>0.006</v>
      </c>
    </row>
    <row r="25" spans="1:9" ht="24.9" customHeight="1">
      <c r="A25" s="41"/>
      <c r="B25" s="39"/>
      <c r="C25" s="20" t="s">
        <v>17</v>
      </c>
      <c r="D25" s="21" t="n">
        <f>13539</f>
        <v>13539.0</v>
      </c>
      <c r="E25" s="22" t="n">
        <f>10800</f>
        <v>10800.0</v>
      </c>
      <c r="F25" s="23" t="n">
        <f>0.234</f>
        <v>0.234</v>
      </c>
      <c r="G25" s="21" t="n">
        <f>295304666</f>
        <v>2.95304666E8</v>
      </c>
      <c r="H25" s="22" t="n">
        <f>280880000</f>
        <v>2.8088E8</v>
      </c>
      <c r="I25" s="23" t="n">
        <f>0.013</f>
        <v>0.013</v>
      </c>
    </row>
    <row r="26" spans="1:9" ht="24.9" customHeight="1">
      <c r="A26" s="41"/>
      <c r="B26" s="39"/>
      <c r="C26" s="24" t="s">
        <v>18</v>
      </c>
      <c r="D26" s="25" t="n">
        <f>22086</f>
        <v>22086.0</v>
      </c>
      <c r="E26" s="26" t="n">
        <f>13200</f>
        <v>13200.0</v>
      </c>
      <c r="F26" s="27" t="n">
        <f>0.174</f>
        <v>0.174</v>
      </c>
      <c r="G26" s="25" t="n">
        <f>343151871</f>
        <v>3.43151871E8</v>
      </c>
      <c r="H26" s="26" t="n">
        <f>307520000</f>
        <v>3.0752E8</v>
      </c>
      <c r="I26" s="27" t="n">
        <f>0.01</f>
        <v>0.01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46246.0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46246.0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14587.0</v>
      </c>
      <c r="F12" s="18" t="n">
        <f>1492</f>
        <v>1492.0</v>
      </c>
      <c r="G12" s="17" t="n">
        <v>9.783552664E11</v>
      </c>
      <c r="H12" s="18" t="n">
        <f>100028433400</f>
        <v>1.000284334E11</v>
      </c>
    </row>
    <row r="13" spans="1:8" ht="24.9" customHeight="1">
      <c r="A13" s="51"/>
      <c r="B13" s="57"/>
      <c r="C13" s="39"/>
      <c r="D13" s="20" t="s">
        <v>16</v>
      </c>
      <c r="E13" s="21" t="n">
        <v>7836.0</v>
      </c>
      <c r="F13" s="22" t="n">
        <f>2469</f>
        <v>2469.0</v>
      </c>
      <c r="G13" s="21" t="n">
        <v>5.252789617E11</v>
      </c>
      <c r="H13" s="22" t="n">
        <f>165578301700</f>
        <v>1.655783017E11</v>
      </c>
    </row>
    <row r="14" spans="1:8" ht="24.9" customHeight="1">
      <c r="A14" s="51"/>
      <c r="B14" s="57"/>
      <c r="C14" s="39"/>
      <c r="D14" s="20" t="s">
        <v>17</v>
      </c>
      <c r="E14" s="21" t="n">
        <v>15513.0</v>
      </c>
      <c r="F14" s="22" t="n">
        <f>6366</f>
        <v>6366.0</v>
      </c>
      <c r="G14" s="21" t="n">
        <v>1.045300951485E12</v>
      </c>
      <c r="H14" s="22" t="n">
        <f>428371121485</f>
        <v>4.28371121485E11</v>
      </c>
    </row>
    <row r="15" spans="1:8" ht="24.9" customHeight="1">
      <c r="A15" s="51"/>
      <c r="B15" s="57"/>
      <c r="C15" s="39"/>
      <c r="D15" s="24" t="s">
        <v>18</v>
      </c>
      <c r="E15" s="25" t="n">
        <v>37936.0</v>
      </c>
      <c r="F15" s="26" t="n">
        <f>10327</f>
        <v>10327.0</v>
      </c>
      <c r="G15" s="25" t="n">
        <v>2.548935179585E12</v>
      </c>
      <c r="H15" s="26" t="n">
        <f>693977856585</f>
        <v>6.93977856585E11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428759.0</v>
      </c>
      <c r="F16" s="18" t="n">
        <f>56815</f>
        <v>56815.0</v>
      </c>
      <c r="G16" s="17" t="n">
        <v>2.8747576732E12</v>
      </c>
      <c r="H16" s="18" t="n">
        <f>380966940500</f>
        <v>3.809669405E11</v>
      </c>
    </row>
    <row r="17" spans="1:8" ht="24.9" customHeight="1">
      <c r="A17" s="51"/>
      <c r="B17" s="57"/>
      <c r="C17" s="39"/>
      <c r="D17" s="20" t="s">
        <v>16</v>
      </c>
      <c r="E17" s="21" t="n">
        <v>129880.0</v>
      </c>
      <c r="F17" s="22" t="n">
        <f>28971</f>
        <v>28971.0</v>
      </c>
      <c r="G17" s="21" t="n">
        <v>8.7022330709E11</v>
      </c>
      <c r="H17" s="22" t="n">
        <f>194060079390</f>
        <v>1.9406007939E11</v>
      </c>
    </row>
    <row r="18" spans="1:8" ht="24.9" customHeight="1">
      <c r="A18" s="51"/>
      <c r="B18" s="57"/>
      <c r="C18" s="39"/>
      <c r="D18" s="20" t="s">
        <v>17</v>
      </c>
      <c r="E18" s="21" t="n">
        <v>130691.0</v>
      </c>
      <c r="F18" s="22" t="n">
        <f>20890</f>
        <v>20890.0</v>
      </c>
      <c r="G18" s="21" t="n">
        <v>8.81013376314E11</v>
      </c>
      <c r="H18" s="22" t="n">
        <f>140674171914</f>
        <v>1.40674171914E11</v>
      </c>
    </row>
    <row r="19" spans="1:8" ht="24.9" customHeight="1">
      <c r="A19" s="51"/>
      <c r="B19" s="57"/>
      <c r="C19" s="39"/>
      <c r="D19" s="24" t="s">
        <v>18</v>
      </c>
      <c r="E19" s="25" t="n">
        <v>689330.0</v>
      </c>
      <c r="F19" s="26" t="n">
        <f>106676</f>
        <v>106676.0</v>
      </c>
      <c r="G19" s="25" t="n">
        <v>4.625994356604E12</v>
      </c>
      <c r="H19" s="26" t="n">
        <f>715701191804</f>
        <v>7.15701191804E11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725372.0</v>
      </c>
      <c r="F20" s="18" t="str">
        <f>"－"</f>
        <v>－</v>
      </c>
      <c r="G20" s="17" t="n">
        <v>4.8646383755E11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157663.0</v>
      </c>
      <c r="F21" s="22" t="str">
        <f>"－"</f>
        <v>－</v>
      </c>
      <c r="G21" s="21" t="n">
        <v>1.0564896335E11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151189.0</v>
      </c>
      <c r="F22" s="22" t="str">
        <f>"－"</f>
        <v>－</v>
      </c>
      <c r="G22" s="21" t="n">
        <v>1.0189533335E11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1034224.0</v>
      </c>
      <c r="F23" s="26" t="str">
        <f>"－"</f>
        <v>－</v>
      </c>
      <c r="G23" s="25" t="n">
        <v>6.9400813425E11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19132.0</v>
      </c>
      <c r="F24" s="18" t="n">
        <f>166</f>
        <v>166.0</v>
      </c>
      <c r="G24" s="17" t="n">
        <v>7.898726805E11</v>
      </c>
      <c r="H24" s="18" t="n">
        <f>6849765500</f>
        <v>6.8497655E9</v>
      </c>
    </row>
    <row r="25" spans="1:8" ht="24.9" customHeight="1">
      <c r="A25" s="51"/>
      <c r="B25" s="57"/>
      <c r="C25" s="39"/>
      <c r="D25" s="20" t="s">
        <v>16</v>
      </c>
      <c r="E25" s="21" t="n">
        <v>13030.0</v>
      </c>
      <c r="F25" s="22" t="n">
        <f>427</f>
        <v>427.0</v>
      </c>
      <c r="G25" s="21" t="n">
        <v>5.3677730358E11</v>
      </c>
      <c r="H25" s="22" t="n">
        <f>17600083580</f>
        <v>1.760008358E10</v>
      </c>
    </row>
    <row r="26" spans="1:8" ht="24.9" customHeight="1">
      <c r="A26" s="51"/>
      <c r="B26" s="57"/>
      <c r="C26" s="39"/>
      <c r="D26" s="20" t="s">
        <v>17</v>
      </c>
      <c r="E26" s="21" t="n">
        <v>28863.0</v>
      </c>
      <c r="F26" s="22" t="n">
        <f>8380</f>
        <v>8380.0</v>
      </c>
      <c r="G26" s="21" t="n">
        <v>1.193306898E12</v>
      </c>
      <c r="H26" s="22" t="n">
        <f>346125003000</f>
        <v>3.46125003E11</v>
      </c>
    </row>
    <row r="27" spans="1:8" ht="24.9" customHeight="1">
      <c r="A27" s="51"/>
      <c r="B27" s="57"/>
      <c r="C27" s="39"/>
      <c r="D27" s="24" t="s">
        <v>18</v>
      </c>
      <c r="E27" s="25" t="n">
        <v>61025.0</v>
      </c>
      <c r="F27" s="26" t="n">
        <f>8973</f>
        <v>8973.0</v>
      </c>
      <c r="G27" s="25" t="n">
        <v>2.51995688208E12</v>
      </c>
      <c r="H27" s="26" t="n">
        <f>370574852080</f>
        <v>3.7057485208E11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12713.0</v>
      </c>
      <c r="F28" s="18" t="n">
        <f>810</f>
        <v>810.0</v>
      </c>
      <c r="G28" s="17" t="n">
        <v>5.248637415E10</v>
      </c>
      <c r="H28" s="18" t="n">
        <f>3343357150</f>
        <v>3.34335715E9</v>
      </c>
    </row>
    <row r="29" spans="1:8" ht="24.9" customHeight="1">
      <c r="A29" s="51"/>
      <c r="B29" s="57"/>
      <c r="C29" s="39"/>
      <c r="D29" s="20" t="s">
        <v>16</v>
      </c>
      <c r="E29" s="21" t="n">
        <v>5523.0</v>
      </c>
      <c r="F29" s="22" t="n">
        <f>199</f>
        <v>199.0</v>
      </c>
      <c r="G29" s="21" t="n">
        <v>2.27500518E10</v>
      </c>
      <c r="H29" s="22" t="n">
        <f>819558050</f>
        <v>8.1955805E8</v>
      </c>
    </row>
    <row r="30" spans="1:8" ht="24.9" customHeight="1">
      <c r="A30" s="51"/>
      <c r="B30" s="57"/>
      <c r="C30" s="39"/>
      <c r="D30" s="20" t="s">
        <v>17</v>
      </c>
      <c r="E30" s="21" t="n">
        <v>6270.0</v>
      </c>
      <c r="F30" s="22" t="n">
        <f>138</f>
        <v>138.0</v>
      </c>
      <c r="G30" s="21" t="n">
        <v>2.593578705E10</v>
      </c>
      <c r="H30" s="22" t="n">
        <f>570662550</f>
        <v>5.7066255E8</v>
      </c>
    </row>
    <row r="31" spans="1:8" ht="24.9" customHeight="1">
      <c r="A31" s="51"/>
      <c r="B31" s="57"/>
      <c r="C31" s="39"/>
      <c r="D31" s="24" t="s">
        <v>18</v>
      </c>
      <c r="E31" s="25" t="n">
        <v>24506.0</v>
      </c>
      <c r="F31" s="26" t="n">
        <f>1147</f>
        <v>1147.0</v>
      </c>
      <c r="G31" s="25" t="n">
        <v>1.01172213E11</v>
      </c>
      <c r="H31" s="26" t="n">
        <f>4733577750</f>
        <v>4.73357775E9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1072.0</v>
      </c>
      <c r="F36" s="18" t="n">
        <f>1</f>
        <v>1.0</v>
      </c>
      <c r="G36" s="17" t="n">
        <v>4.01029451E9</v>
      </c>
      <c r="H36" s="18" t="n">
        <f>3734010</f>
        <v>3734010.0</v>
      </c>
    </row>
    <row r="37" spans="1:8" ht="24.9" customHeight="1">
      <c r="A37" s="51"/>
      <c r="B37" s="57"/>
      <c r="C37" s="39"/>
      <c r="D37" s="20" t="s">
        <v>16</v>
      </c>
      <c r="E37" s="21" t="n">
        <v>638.0</v>
      </c>
      <c r="F37" s="22" t="n">
        <f>0</f>
        <v>0.0</v>
      </c>
      <c r="G37" s="21" t="n">
        <v>2.3798705E9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782.0</v>
      </c>
      <c r="F38" s="22" t="n">
        <f>4</f>
        <v>4.0</v>
      </c>
      <c r="G38" s="21" t="n">
        <v>2.925918E9</v>
      </c>
      <c r="H38" s="22" t="n">
        <f>14928500</f>
        <v>1.49285E7</v>
      </c>
    </row>
    <row r="39" spans="1:8" ht="24.9" customHeight="1">
      <c r="A39" s="51"/>
      <c r="B39" s="57"/>
      <c r="C39" s="39"/>
      <c r="D39" s="24" t="s">
        <v>18</v>
      </c>
      <c r="E39" s="25" t="n">
        <v>2492.0</v>
      </c>
      <c r="F39" s="26" t="n">
        <f>5</f>
        <v>5.0</v>
      </c>
      <c r="G39" s="25" t="n">
        <v>9.31608301E9</v>
      </c>
      <c r="H39" s="26" t="n">
        <f>18662510</f>
        <v>1.866251E7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1.0</v>
      </c>
      <c r="F45" s="22" t="n">
        <f>0</f>
        <v>0.0</v>
      </c>
      <c r="G45" s="21" t="n">
        <v>7380000.0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20.0</v>
      </c>
      <c r="F46" s="22" t="n">
        <f>0</f>
        <v>0.0</v>
      </c>
      <c r="G46" s="21" t="n">
        <v>1.49397E8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21.0</v>
      </c>
      <c r="F47" s="26" t="n">
        <f>0</f>
        <v>0.0</v>
      </c>
      <c r="G47" s="25" t="n">
        <v>1.56777E8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13.0</v>
      </c>
      <c r="F48" s="18" t="n">
        <f>7</f>
        <v>7.0</v>
      </c>
      <c r="G48" s="17" t="n">
        <v>2.3367E7</v>
      </c>
      <c r="H48" s="18" t="n">
        <f>12560000</f>
        <v>1.256E7</v>
      </c>
    </row>
    <row r="49" spans="1:8" ht="24.9" customHeight="1">
      <c r="A49" s="51"/>
      <c r="B49" s="57"/>
      <c r="C49" s="39"/>
      <c r="D49" s="20" t="s">
        <v>16</v>
      </c>
      <c r="E49" s="21" t="n">
        <v>35.0</v>
      </c>
      <c r="F49" s="22" t="n">
        <f>0</f>
        <v>0.0</v>
      </c>
      <c r="G49" s="21" t="n">
        <v>6.2921E7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288.0</v>
      </c>
      <c r="F50" s="22" t="n">
        <f>180</f>
        <v>180.0</v>
      </c>
      <c r="G50" s="21" t="n">
        <v>5.193096E8</v>
      </c>
      <c r="H50" s="22" t="n">
        <f>324710600</f>
        <v>3.247106E8</v>
      </c>
    </row>
    <row r="51" spans="1:8" ht="24.9" customHeight="1">
      <c r="A51" s="51"/>
      <c r="B51" s="57"/>
      <c r="C51" s="39"/>
      <c r="D51" s="24" t="s">
        <v>18</v>
      </c>
      <c r="E51" s="25" t="n">
        <v>336.0</v>
      </c>
      <c r="F51" s="26" t="n">
        <f>187</f>
        <v>187.0</v>
      </c>
      <c r="G51" s="25" t="n">
        <v>6.055976E8</v>
      </c>
      <c r="H51" s="26" t="n">
        <f>337270600</f>
        <v>3.372706E8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968.0</v>
      </c>
      <c r="F56" s="18" t="n">
        <f>41</f>
        <v>41.0</v>
      </c>
      <c r="G56" s="17" t="n">
        <v>7.11518E8</v>
      </c>
      <c r="H56" s="18" t="n">
        <f>30207000</f>
        <v>3.0207E7</v>
      </c>
    </row>
    <row r="57" spans="1:8" ht="24.9" customHeight="1">
      <c r="A57" s="51"/>
      <c r="B57" s="57"/>
      <c r="C57" s="39"/>
      <c r="D57" s="20" t="s">
        <v>16</v>
      </c>
      <c r="E57" s="21" t="n">
        <v>495.0</v>
      </c>
      <c r="F57" s="22" t="n">
        <f>8</f>
        <v>8.0</v>
      </c>
      <c r="G57" s="21" t="n">
        <v>3.63207E8</v>
      </c>
      <c r="H57" s="22" t="n">
        <f>5866000</f>
        <v>5866000.0</v>
      </c>
    </row>
    <row r="58" spans="1:8" ht="24.9" customHeight="1">
      <c r="A58" s="51"/>
      <c r="B58" s="57"/>
      <c r="C58" s="39"/>
      <c r="D58" s="20" t="s">
        <v>17</v>
      </c>
      <c r="E58" s="21" t="n">
        <v>285.0</v>
      </c>
      <c r="F58" s="22" t="n">
        <f>13</f>
        <v>13.0</v>
      </c>
      <c r="G58" s="21" t="n">
        <v>2.1012896E8</v>
      </c>
      <c r="H58" s="22" t="n">
        <f>9639960</f>
        <v>9639960.0</v>
      </c>
    </row>
    <row r="59" spans="1:8" ht="24.9" customHeight="1">
      <c r="A59" s="51"/>
      <c r="B59" s="57"/>
      <c r="C59" s="39"/>
      <c r="D59" s="24" t="s">
        <v>18</v>
      </c>
      <c r="E59" s="25" t="n">
        <v>1748.0</v>
      </c>
      <c r="F59" s="26" t="n">
        <f>62</f>
        <v>62.0</v>
      </c>
      <c r="G59" s="25" t="n">
        <v>1.28485396E9</v>
      </c>
      <c r="H59" s="26" t="n">
        <f>45712960</f>
        <v>4.571296E7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416.0</v>
      </c>
      <c r="F60" s="18" t="n">
        <f>4</f>
        <v>4.0</v>
      </c>
      <c r="G60" s="17" t="n">
        <v>2.25044069E9</v>
      </c>
      <c r="H60" s="18" t="n">
        <f>21654090</f>
        <v>2.165409E7</v>
      </c>
    </row>
    <row r="61" spans="1:8" ht="24.9" customHeight="1">
      <c r="A61" s="51"/>
      <c r="B61" s="57"/>
      <c r="C61" s="39"/>
      <c r="D61" s="20" t="s">
        <v>16</v>
      </c>
      <c r="E61" s="21" t="n">
        <v>8.0</v>
      </c>
      <c r="F61" s="22" t="n">
        <f>0</f>
        <v>0.0</v>
      </c>
      <c r="G61" s="21" t="n">
        <v>4.30894E7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41.0</v>
      </c>
      <c r="F62" s="22" t="n">
        <f>3</f>
        <v>3.0</v>
      </c>
      <c r="G62" s="21" t="n">
        <v>2.2097319E8</v>
      </c>
      <c r="H62" s="22" t="n">
        <f>16167190</f>
        <v>1.616719E7</v>
      </c>
    </row>
    <row r="63" spans="1:8" ht="24.9" customHeight="1">
      <c r="A63" s="51"/>
      <c r="B63" s="57"/>
      <c r="C63" s="39"/>
      <c r="D63" s="24" t="s">
        <v>18</v>
      </c>
      <c r="E63" s="25" t="n">
        <v>465.0</v>
      </c>
      <c r="F63" s="26" t="n">
        <f>7</f>
        <v>7.0</v>
      </c>
      <c r="G63" s="25" t="n">
        <v>2.51450328E9</v>
      </c>
      <c r="H63" s="26" t="n">
        <f>37821280</f>
        <v>3.782128E7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21.0</v>
      </c>
      <c r="F76" s="18" t="n">
        <f>0</f>
        <v>0.0</v>
      </c>
      <c r="G76" s="17" t="n">
        <v>7080500.0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2433000.0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338000.0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29.0</v>
      </c>
      <c r="F79" s="26" t="n">
        <f>0</f>
        <v>0.0</v>
      </c>
      <c r="G79" s="25" t="n">
        <v>9851500.0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826.0</v>
      </c>
      <c r="F92" s="18" t="n">
        <f>0</f>
        <v>0.0</v>
      </c>
      <c r="G92" s="17" t="n">
        <v>1.3078216E9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1588100.0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1589300.0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828.0</v>
      </c>
      <c r="F95" s="26" t="n">
        <f>0</f>
        <v>0.0</v>
      </c>
      <c r="G95" s="25" t="n">
        <v>1.310999E9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38.0</v>
      </c>
      <c r="F96" s="18" t="n">
        <f>0</f>
        <v>0.0</v>
      </c>
      <c r="G96" s="17" t="n">
        <v>8.93508E7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38.0</v>
      </c>
      <c r="F99" s="26" t="n">
        <f>0</f>
        <v>0.0</v>
      </c>
      <c r="G99" s="25" t="n">
        <v>8.93508E7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9267.0</v>
      </c>
      <c r="F108" s="18" t="n">
        <f>161</f>
        <v>161.0</v>
      </c>
      <c r="G108" s="17" t="n">
        <v>1.17489611E12</v>
      </c>
      <c r="H108" s="18" t="n">
        <f>20429290000</f>
        <v>2.042929E10</v>
      </c>
    </row>
    <row r="109" spans="1:8" ht="24.9" customHeight="1">
      <c r="A109" s="51"/>
      <c r="B109" s="57"/>
      <c r="C109" s="39"/>
      <c r="D109" s="20" t="s">
        <v>16</v>
      </c>
      <c r="E109" s="21" t="n">
        <v>13973.0</v>
      </c>
      <c r="F109" s="22" t="n">
        <f>946</f>
        <v>946.0</v>
      </c>
      <c r="G109" s="21" t="n">
        <v>1.76917324E12</v>
      </c>
      <c r="H109" s="22" t="n">
        <f>119832460000</f>
        <v>1.1983246E11</v>
      </c>
    </row>
    <row r="110" spans="1:8" ht="24.9" customHeight="1">
      <c r="A110" s="51"/>
      <c r="B110" s="57"/>
      <c r="C110" s="39"/>
      <c r="D110" s="20" t="s">
        <v>17</v>
      </c>
      <c r="E110" s="21" t="n">
        <v>11469.0</v>
      </c>
      <c r="F110" s="22" t="n">
        <f>1093</f>
        <v>1093.0</v>
      </c>
      <c r="G110" s="21" t="n">
        <v>1.45131825E12</v>
      </c>
      <c r="H110" s="22" t="n">
        <f>138307910000</f>
        <v>1.3830791E11</v>
      </c>
    </row>
    <row r="111" spans="1:8" ht="24.9" customHeight="1">
      <c r="A111" s="51"/>
      <c r="B111" s="57"/>
      <c r="C111" s="39"/>
      <c r="D111" s="24" t="s">
        <v>18</v>
      </c>
      <c r="E111" s="25" t="n">
        <v>34709.0</v>
      </c>
      <c r="F111" s="26" t="n">
        <f>2200</f>
        <v>2200.0</v>
      </c>
      <c r="G111" s="25" t="n">
        <v>4.3953876E12</v>
      </c>
      <c r="H111" s="26" t="n">
        <f>278569660000</f>
        <v>2.7856966E11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690.0</v>
      </c>
      <c r="F113" s="22" t="n">
        <f>0</f>
        <v>0.0</v>
      </c>
      <c r="G113" s="21" t="n">
        <v>8.74116E9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510.0</v>
      </c>
      <c r="F114" s="22" t="n">
        <f>0</f>
        <v>0.0</v>
      </c>
      <c r="G114" s="21" t="n">
        <v>6.45393E9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1200.0</v>
      </c>
      <c r="F115" s="26" t="n">
        <f>0</f>
        <v>0.0</v>
      </c>
      <c r="G115" s="25" t="n">
        <v>1.519509E10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32.0</v>
      </c>
      <c r="F117" s="22" t="n">
        <f>0</f>
        <v>0.0</v>
      </c>
      <c r="G117" s="21" t="n">
        <v>2.8832E8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30.0</v>
      </c>
      <c r="F118" s="22" t="n">
        <f>0</f>
        <v>0.0</v>
      </c>
      <c r="G118" s="21" t="n">
        <v>2.7015E8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62.0</v>
      </c>
      <c r="F119" s="26" t="n">
        <f>0</f>
        <v>0.0</v>
      </c>
      <c r="G119" s="25" t="n">
        <v>5.5847E8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5692.0</v>
      </c>
      <c r="F120" s="18" t="n">
        <f>0</f>
        <v>0.0</v>
      </c>
      <c r="G120" s="17" t="n">
        <v>1.4032808125E11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113.0</v>
      </c>
      <c r="F121" s="22" t="n">
        <f>0</f>
        <v>0.0</v>
      </c>
      <c r="G121" s="21" t="n">
        <v>2.78839E9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262.0</v>
      </c>
      <c r="F122" s="22" t="n">
        <f>0</f>
        <v>0.0</v>
      </c>
      <c r="G122" s="21" t="n">
        <v>6.46135125E9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6067.0</v>
      </c>
      <c r="F123" s="26" t="n">
        <f>0</f>
        <v>0.0</v>
      </c>
      <c r="G123" s="25" t="n">
        <v>1.495778225E11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18854.0</v>
      </c>
      <c r="F124" s="18" t="n">
        <f>0</f>
        <v>0.0</v>
      </c>
      <c r="G124" s="17" t="n">
        <v>4.32356298E11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2522.0</v>
      </c>
      <c r="F125" s="22" t="n">
        <f>0</f>
        <v>0.0</v>
      </c>
      <c r="G125" s="21" t="n">
        <v>5.7786954E10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3024.0</v>
      </c>
      <c r="F126" s="22" t="n">
        <f>0</f>
        <v>0.0</v>
      </c>
      <c r="G126" s="21" t="n">
        <v>6.9741162E10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24400.0</v>
      </c>
      <c r="F127" s="26" t="n">
        <f>0</f>
        <v>0.0</v>
      </c>
      <c r="G127" s="25" t="n">
        <v>5.59884414E11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220.0</v>
      </c>
      <c r="F128" s="18" t="n">
        <f>0</f>
        <v>0.0</v>
      </c>
      <c r="G128" s="17" t="n">
        <v>5.023464E8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17.0</v>
      </c>
      <c r="F129" s="22" t="n">
        <f>0</f>
        <v>0.0</v>
      </c>
      <c r="G129" s="21" t="n">
        <v>3.87597E7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130.0</v>
      </c>
      <c r="F130" s="22" t="n">
        <f>0</f>
        <v>0.0</v>
      </c>
      <c r="G130" s="21" t="n">
        <v>2.984249E8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367.0</v>
      </c>
      <c r="F131" s="26" t="n">
        <f>0</f>
        <v>0.0</v>
      </c>
      <c r="G131" s="25" t="n">
        <v>8.39531E8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11955.0</v>
      </c>
      <c r="F132" s="18" t="n">
        <f>0</f>
        <v>0.0</v>
      </c>
      <c r="G132" s="17" t="n">
        <v>2.73971194E10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1977.0</v>
      </c>
      <c r="F133" s="22" t="n">
        <f>1</f>
        <v>1.0</v>
      </c>
      <c r="G133" s="21" t="n">
        <v>4.5515423E9</v>
      </c>
      <c r="H133" s="22" t="n">
        <f>2282000</f>
        <v>2282000.0</v>
      </c>
    </row>
    <row r="134" spans="1:8" ht="24.9" customHeight="1">
      <c r="A134" s="51"/>
      <c r="B134" s="57"/>
      <c r="C134" s="39"/>
      <c r="D134" s="20" t="s">
        <v>17</v>
      </c>
      <c r="E134" s="21" t="n">
        <v>3122.0</v>
      </c>
      <c r="F134" s="22" t="n">
        <f>0</f>
        <v>0.0</v>
      </c>
      <c r="G134" s="21" t="n">
        <v>7.218468E9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17054.0</v>
      </c>
      <c r="F135" s="26" t="n">
        <f>1</f>
        <v>1.0</v>
      </c>
      <c r="G135" s="25" t="n">
        <v>3.91671297E10</v>
      </c>
      <c r="H135" s="26" t="n">
        <f>2282000</f>
        <v>2282000.0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164.0</v>
      </c>
      <c r="F136" s="18" t="n">
        <f>0</f>
        <v>0.0</v>
      </c>
      <c r="G136" s="17" t="n">
        <v>3.718705E8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40.0</v>
      </c>
      <c r="F137" s="22" t="n">
        <f>0</f>
        <v>0.0</v>
      </c>
      <c r="G137" s="21" t="n">
        <v>9.04213E7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46.0</v>
      </c>
      <c r="F138" s="22" t="n">
        <f>0</f>
        <v>0.0</v>
      </c>
      <c r="G138" s="21" t="n">
        <v>1.044761E8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250.0</v>
      </c>
      <c r="F139" s="26" t="n">
        <f>0</f>
        <v>0.0</v>
      </c>
      <c r="G139" s="25" t="n">
        <v>5.667679E8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1891.0</v>
      </c>
      <c r="F144" s="18" t="n">
        <f>0</f>
        <v>0.0</v>
      </c>
      <c r="G144" s="17" t="n">
        <v>8.412389E9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783.0</v>
      </c>
      <c r="F145" s="22" t="n">
        <f>0</f>
        <v>0.0</v>
      </c>
      <c r="G145" s="21" t="n">
        <v>3.4733965E9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933.0</v>
      </c>
      <c r="F146" s="22" t="n">
        <f>0</f>
        <v>0.0</v>
      </c>
      <c r="G146" s="21" t="n">
        <v>4.1725745E9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3607.0</v>
      </c>
      <c r="F147" s="26" t="n">
        <f>0</f>
        <v>0.0</v>
      </c>
      <c r="G147" s="25" t="n">
        <v>1.605836E10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59.0</v>
      </c>
      <c r="F148" s="18" t="n">
        <f>0</f>
        <v>0.0</v>
      </c>
      <c r="G148" s="17" t="n">
        <v>5.34443E7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25.0</v>
      </c>
      <c r="F149" s="22" t="n">
        <f>0</f>
        <v>0.0</v>
      </c>
      <c r="G149" s="21" t="n">
        <v>2.26418E7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332.0</v>
      </c>
      <c r="F150" s="22" t="n">
        <f>0</f>
        <v>0.0</v>
      </c>
      <c r="G150" s="21" t="n">
        <v>3.014655E8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416.0</v>
      </c>
      <c r="F151" s="26" t="n">
        <f>0</f>
        <v>0.0</v>
      </c>
      <c r="G151" s="25" t="n">
        <v>3.775516E8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632.0</v>
      </c>
      <c r="F152" s="18" t="n">
        <f>0</f>
        <v>0.0</v>
      </c>
      <c r="G152" s="17" t="n">
        <v>5.6083505E8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85.0</v>
      </c>
      <c r="F153" s="22" t="n">
        <f>0</f>
        <v>0.0</v>
      </c>
      <c r="G153" s="21" t="n">
        <v>7.532205E7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391.0</v>
      </c>
      <c r="F154" s="22" t="n">
        <f>0</f>
        <v>0.0</v>
      </c>
      <c r="G154" s="21" t="n">
        <v>3.486444E8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1108.0</v>
      </c>
      <c r="F155" s="26" t="n">
        <f>0</f>
        <v>0.0</v>
      </c>
      <c r="G155" s="25" t="n">
        <v>9.848015E8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304.0</v>
      </c>
      <c r="F156" s="18" t="n">
        <f>0</f>
        <v>0.0</v>
      </c>
      <c r="G156" s="17" t="n">
        <v>2.725165E8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78.0</v>
      </c>
      <c r="F157" s="22" t="n">
        <f>0</f>
        <v>0.0</v>
      </c>
      <c r="G157" s="21" t="n">
        <v>6.92286E7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673.0</v>
      </c>
      <c r="F158" s="22" t="n">
        <f>0</f>
        <v>0.0</v>
      </c>
      <c r="G158" s="21" t="n">
        <v>6.030537E8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1055.0</v>
      </c>
      <c r="F159" s="26" t="n">
        <f>0</f>
        <v>0.0</v>
      </c>
      <c r="G159" s="25" t="n">
        <v>9.447988E8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445.0</v>
      </c>
      <c r="F168" s="18" t="n">
        <f>0</f>
        <v>0.0</v>
      </c>
      <c r="G168" s="17" t="n">
        <v>9.44685E8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225.0</v>
      </c>
      <c r="F169" s="22" t="n">
        <f>0</f>
        <v>0.0</v>
      </c>
      <c r="G169" s="21" t="n">
        <v>4.8075E8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977.0</v>
      </c>
      <c r="F170" s="22" t="n">
        <f>100</f>
        <v>100.0</v>
      </c>
      <c r="G170" s="21" t="n">
        <v>2.100581E9</v>
      </c>
      <c r="H170" s="22" t="n">
        <f>217590000</f>
        <v>2.1759E8</v>
      </c>
    </row>
    <row r="171" spans="1:8" ht="24.9" customHeight="1">
      <c r="A171" s="51"/>
      <c r="B171" s="57"/>
      <c r="C171" s="39"/>
      <c r="D171" s="24" t="s">
        <v>18</v>
      </c>
      <c r="E171" s="25" t="n">
        <v>1647.0</v>
      </c>
      <c r="F171" s="26" t="n">
        <f>100</f>
        <v>100.0</v>
      </c>
      <c r="G171" s="25" t="n">
        <v>3.526016E9</v>
      </c>
      <c r="H171" s="26" t="n">
        <f>217590000</f>
        <v>2.1759E8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1.3954E7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8.0</v>
      </c>
      <c r="F177" s="22" t="n">
        <f>0</f>
        <v>0.0</v>
      </c>
      <c r="G177" s="21" t="n">
        <v>1.3976E7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28.0</v>
      </c>
      <c r="F178" s="22" t="n">
        <f>0</f>
        <v>0.0</v>
      </c>
      <c r="G178" s="21" t="n">
        <v>4.9302E7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44.0</v>
      </c>
      <c r="F179" s="26" t="n">
        <f>0</f>
        <v>0.0</v>
      </c>
      <c r="G179" s="25" t="n">
        <v>7.7232E7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905.0</v>
      </c>
      <c r="F204" s="18" t="n">
        <f>0</f>
        <v>0.0</v>
      </c>
      <c r="G204" s="17" t="n">
        <v>3.33632E9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328.0</v>
      </c>
      <c r="F205" s="22" t="n">
        <f>0</f>
        <v>0.0</v>
      </c>
      <c r="G205" s="21" t="n">
        <v>1.2373215E9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3614.0</v>
      </c>
      <c r="F206" s="22" t="n">
        <f>2</f>
        <v>2.0</v>
      </c>
      <c r="G206" s="21" t="n">
        <v>1.36458635E10</v>
      </c>
      <c r="H206" s="22" t="n">
        <f>8485000</f>
        <v>8485000.0</v>
      </c>
    </row>
    <row r="207" spans="1:8" ht="24.9" customHeight="1">
      <c r="A207" s="57"/>
      <c r="B207" s="59"/>
      <c r="C207" s="39"/>
      <c r="D207" s="24" t="s">
        <v>18</v>
      </c>
      <c r="E207" s="25" t="n">
        <v>4847.0</v>
      </c>
      <c r="F207" s="26" t="n">
        <f>2</f>
        <v>2.0</v>
      </c>
      <c r="G207" s="25" t="n">
        <v>1.8219505E10</v>
      </c>
      <c r="H207" s="26" t="n">
        <f>8485000</f>
        <v>8485000.0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14.0</v>
      </c>
      <c r="F209" s="22" t="n">
        <f>0</f>
        <v>0.0</v>
      </c>
      <c r="G209" s="21" t="n">
        <v>2.139192E7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14.0</v>
      </c>
      <c r="F211" s="26" t="n">
        <f>0</f>
        <v>0.0</v>
      </c>
      <c r="G211" s="25" t="n">
        <v>2.139192E7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5.0</v>
      </c>
      <c r="F234" s="22" t="n">
        <f>0</f>
        <v>0.0</v>
      </c>
      <c r="G234" s="21" t="n">
        <v>1722000.0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5.0</v>
      </c>
      <c r="F235" s="26" t="n">
        <f>0</f>
        <v>0.0</v>
      </c>
      <c r="G235" s="25" t="n">
        <v>1722000.0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20.0</v>
      </c>
      <c r="F248" s="18" t="n">
        <f>20</f>
        <v>20.0</v>
      </c>
      <c r="G248" s="17" t="n">
        <v>2.793312E8</v>
      </c>
      <c r="H248" s="18" t="n">
        <f>279331200</f>
        <v>2.793312E8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20.0</v>
      </c>
      <c r="F251" s="26" t="n">
        <f>20</f>
        <v>20.0</v>
      </c>
      <c r="G251" s="25" t="n">
        <v>2.793312E8</v>
      </c>
      <c r="H251" s="26" t="n">
        <f>279331200</f>
        <v>2.793312E8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46246.0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46246.0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11768</f>
        <v>11768.0</v>
      </c>
      <c r="E12" s="35" t="n">
        <f>4358</f>
        <v>4358.0</v>
      </c>
      <c r="F12" s="17" t="n">
        <f>6227</f>
        <v>6227.0</v>
      </c>
      <c r="G12" s="35" t="n">
        <f>2201</f>
        <v>2201.0</v>
      </c>
      <c r="H12" s="17" t="n">
        <f>17995</f>
        <v>17995.0</v>
      </c>
      <c r="I12" s="35" t="n">
        <f>6559</f>
        <v>6559.0</v>
      </c>
      <c r="J12" s="17" t="n">
        <f>1880384940</f>
        <v>1.88038494E9</v>
      </c>
      <c r="K12" s="35" t="n">
        <f>1034268940</f>
        <v>1.03426894E9</v>
      </c>
      <c r="L12" s="17" t="n">
        <f>1691445560</f>
        <v>1.69144556E9</v>
      </c>
      <c r="M12" s="35" t="n">
        <f>290450560</f>
        <v>2.9045056E8</v>
      </c>
      <c r="N12" s="17" t="n">
        <f>3571830500</f>
        <v>3.5718305E9</v>
      </c>
      <c r="O12" s="35" t="n">
        <f>1324719500</f>
        <v>1.3247195E9</v>
      </c>
    </row>
    <row r="13" spans="1:15" ht="24.9" customHeight="1">
      <c r="A13" s="38"/>
      <c r="B13" s="62"/>
      <c r="C13" s="20" t="s">
        <v>16</v>
      </c>
      <c r="D13" s="21" t="n">
        <f>3514</f>
        <v>3514.0</v>
      </c>
      <c r="E13" s="36" t="n">
        <f>1131</f>
        <v>1131.0</v>
      </c>
      <c r="F13" s="21" t="n">
        <f>5100</f>
        <v>5100.0</v>
      </c>
      <c r="G13" s="36" t="n">
        <f>2729</f>
        <v>2729.0</v>
      </c>
      <c r="H13" s="21" t="n">
        <f>8614</f>
        <v>8614.0</v>
      </c>
      <c r="I13" s="36" t="n">
        <f>3860</f>
        <v>3860.0</v>
      </c>
      <c r="J13" s="21" t="n">
        <f>2474388680</f>
        <v>2.47438868E9</v>
      </c>
      <c r="K13" s="36" t="n">
        <f>2081336680</f>
        <v>2.08133668E9</v>
      </c>
      <c r="L13" s="21" t="n">
        <f>5021388430</f>
        <v>5.02138843E9</v>
      </c>
      <c r="M13" s="36" t="n">
        <f>4603136430</f>
        <v>4.60313643E9</v>
      </c>
      <c r="N13" s="21" t="n">
        <f>7495777110</f>
        <v>7.49577711E9</v>
      </c>
      <c r="O13" s="36" t="n">
        <f>6684473110</f>
        <v>6.68447311E9</v>
      </c>
    </row>
    <row r="14" spans="1:15" ht="24.9" customHeight="1">
      <c r="A14" s="38"/>
      <c r="B14" s="62"/>
      <c r="C14" s="20" t="s">
        <v>17</v>
      </c>
      <c r="D14" s="21" t="n">
        <f>16958</f>
        <v>16958.0</v>
      </c>
      <c r="E14" s="36" t="n">
        <f>10770</f>
        <v>10770.0</v>
      </c>
      <c r="F14" s="21" t="n">
        <f>12568</f>
        <v>12568.0</v>
      </c>
      <c r="G14" s="36" t="n">
        <f>7278</f>
        <v>7278.0</v>
      </c>
      <c r="H14" s="21" t="n">
        <f>29526</f>
        <v>29526.0</v>
      </c>
      <c r="I14" s="36" t="n">
        <f>18048</f>
        <v>18048.0</v>
      </c>
      <c r="J14" s="21" t="n">
        <f>11093697920</f>
        <v>1.109369792E10</v>
      </c>
      <c r="K14" s="36" t="n">
        <f>9464630920</f>
        <v>9.46463092E9</v>
      </c>
      <c r="L14" s="21" t="n">
        <f>10495398570</f>
        <v>1.049539857E10</v>
      </c>
      <c r="M14" s="36" t="n">
        <f>8625274570</f>
        <v>8.62527457E9</v>
      </c>
      <c r="N14" s="21" t="n">
        <f>21589096490</f>
        <v>2.158909649E10</v>
      </c>
      <c r="O14" s="36" t="n">
        <f>18089905490</f>
        <v>1.808990549E10</v>
      </c>
    </row>
    <row r="15" spans="1:15" ht="24.9" customHeight="1">
      <c r="A15" s="38"/>
      <c r="B15" s="62"/>
      <c r="C15" s="24" t="s">
        <v>18</v>
      </c>
      <c r="D15" s="25" t="n">
        <f>32240</f>
        <v>32240.0</v>
      </c>
      <c r="E15" s="37" t="n">
        <f>16259</f>
        <v>16259.0</v>
      </c>
      <c r="F15" s="25" t="n">
        <f>23895</f>
        <v>23895.0</v>
      </c>
      <c r="G15" s="37" t="n">
        <f>12208</f>
        <v>12208.0</v>
      </c>
      <c r="H15" s="25" t="n">
        <f>56135</f>
        <v>56135.0</v>
      </c>
      <c r="I15" s="37" t="n">
        <f>28467</f>
        <v>28467.0</v>
      </c>
      <c r="J15" s="25" t="n">
        <f>15448471540</f>
        <v>1.544847154E10</v>
      </c>
      <c r="K15" s="37" t="n">
        <f>12580236540</f>
        <v>1.258023654E10</v>
      </c>
      <c r="L15" s="25" t="n">
        <f>17208232560</f>
        <v>1.720823256E10</v>
      </c>
      <c r="M15" s="37" t="n">
        <f>13518861560</f>
        <v>1.351886156E10</v>
      </c>
      <c r="N15" s="25" t="n">
        <f>32656704100</f>
        <v>3.26567041E10</v>
      </c>
      <c r="O15" s="37" t="n">
        <f>26099098100</f>
        <v>2.60990981E10</v>
      </c>
    </row>
    <row r="16" spans="1:15" ht="24.9" customHeight="1">
      <c r="A16" s="38"/>
      <c r="B16" s="61" t="s">
        <v>105</v>
      </c>
      <c r="C16" s="16" t="s">
        <v>15</v>
      </c>
      <c r="D16" s="17" t="n">
        <f>14156</f>
        <v>14156.0</v>
      </c>
      <c r="E16" s="35" t="n">
        <f>1290</f>
        <v>1290.0</v>
      </c>
      <c r="F16" s="17" t="n">
        <f>10746</f>
        <v>10746.0</v>
      </c>
      <c r="G16" s="35" t="n">
        <f>570</f>
        <v>570.0</v>
      </c>
      <c r="H16" s="17" t="n">
        <f>24902</f>
        <v>24902.0</v>
      </c>
      <c r="I16" s="35" t="n">
        <f>1860</f>
        <v>1860.0</v>
      </c>
      <c r="J16" s="17" t="n">
        <f>286869200</f>
        <v>2.868692E8</v>
      </c>
      <c r="K16" s="35" t="n">
        <f>13896200</f>
        <v>1.38962E7</v>
      </c>
      <c r="L16" s="17" t="n">
        <f>391890660</f>
        <v>3.9189066E8</v>
      </c>
      <c r="M16" s="35" t="n">
        <f>11666460</f>
        <v>1.166646E7</v>
      </c>
      <c r="N16" s="17" t="n">
        <f>678759860</f>
        <v>6.7875986E8</v>
      </c>
      <c r="O16" s="35" t="n">
        <f>25562660</f>
        <v>2.556266E7</v>
      </c>
    </row>
    <row r="17" spans="1:15" ht="24.9" customHeight="1">
      <c r="A17" s="38"/>
      <c r="B17" s="62"/>
      <c r="C17" s="20" t="s">
        <v>16</v>
      </c>
      <c r="D17" s="21" t="n">
        <f>3146</f>
        <v>3146.0</v>
      </c>
      <c r="E17" s="36" t="n">
        <f>110</f>
        <v>110.0</v>
      </c>
      <c r="F17" s="21" t="n">
        <f>3599</f>
        <v>3599.0</v>
      </c>
      <c r="G17" s="36" t="n">
        <f>90</f>
        <v>90.0</v>
      </c>
      <c r="H17" s="21" t="n">
        <f>6745</f>
        <v>6745.0</v>
      </c>
      <c r="I17" s="36" t="n">
        <f>200</f>
        <v>200.0</v>
      </c>
      <c r="J17" s="21" t="n">
        <f>70917740</f>
        <v>7.091774E7</v>
      </c>
      <c r="K17" s="36" t="n">
        <f>943140</f>
        <v>943140.0</v>
      </c>
      <c r="L17" s="21" t="n">
        <f>107481620</f>
        <v>1.0748162E8</v>
      </c>
      <c r="M17" s="36" t="n">
        <f>633520</f>
        <v>633520.0</v>
      </c>
      <c r="N17" s="21" t="n">
        <f>178399360</f>
        <v>1.7839936E8</v>
      </c>
      <c r="O17" s="36" t="n">
        <f>1576660</f>
        <v>1576660.0</v>
      </c>
    </row>
    <row r="18" spans="1:15" ht="24.9" customHeight="1">
      <c r="A18" s="38"/>
      <c r="B18" s="62"/>
      <c r="C18" s="20" t="s">
        <v>17</v>
      </c>
      <c r="D18" s="21" t="n">
        <f>5149</f>
        <v>5149.0</v>
      </c>
      <c r="E18" s="36" t="n">
        <f>720</f>
        <v>720.0</v>
      </c>
      <c r="F18" s="21" t="n">
        <f>4338</f>
        <v>4338.0</v>
      </c>
      <c r="G18" s="36" t="n">
        <f>140</f>
        <v>140.0</v>
      </c>
      <c r="H18" s="21" t="n">
        <f>9487</f>
        <v>9487.0</v>
      </c>
      <c r="I18" s="36" t="n">
        <f>860</f>
        <v>860.0</v>
      </c>
      <c r="J18" s="21" t="n">
        <f>105247920</f>
        <v>1.0524792E8</v>
      </c>
      <c r="K18" s="36" t="n">
        <f>3490420</f>
        <v>3490420.0</v>
      </c>
      <c r="L18" s="21" t="n">
        <f>174332440</f>
        <v>1.7433244E8</v>
      </c>
      <c r="M18" s="36" t="n">
        <f>319940</f>
        <v>319940.0</v>
      </c>
      <c r="N18" s="21" t="n">
        <f>279580360</f>
        <v>2.7958036E8</v>
      </c>
      <c r="O18" s="36" t="n">
        <f>3810360</f>
        <v>3810360.0</v>
      </c>
    </row>
    <row r="19" spans="1:15" ht="24.9" customHeight="1">
      <c r="A19" s="38"/>
      <c r="B19" s="62"/>
      <c r="C19" s="24" t="s">
        <v>18</v>
      </c>
      <c r="D19" s="25" t="n">
        <f>22451</f>
        <v>22451.0</v>
      </c>
      <c r="E19" s="37" t="n">
        <f>2120</f>
        <v>2120.0</v>
      </c>
      <c r="F19" s="25" t="n">
        <f>18683</f>
        <v>18683.0</v>
      </c>
      <c r="G19" s="37" t="n">
        <f>800</f>
        <v>800.0</v>
      </c>
      <c r="H19" s="25" t="n">
        <f>41134</f>
        <v>41134.0</v>
      </c>
      <c r="I19" s="37" t="n">
        <f>2920</f>
        <v>2920.0</v>
      </c>
      <c r="J19" s="25" t="n">
        <f>463034860</f>
        <v>4.6303486E8</v>
      </c>
      <c r="K19" s="37" t="n">
        <f>18329760</f>
        <v>1.832976E7</v>
      </c>
      <c r="L19" s="25" t="n">
        <f>673704720</f>
        <v>6.7370472E8</v>
      </c>
      <c r="M19" s="37" t="n">
        <f>12619920</f>
        <v>1.261992E7</v>
      </c>
      <c r="N19" s="25" t="n">
        <f>1136739580</f>
        <v>1.13673958E9</v>
      </c>
      <c r="O19" s="37" t="n">
        <f>30949680</f>
        <v>3.094968E7</v>
      </c>
    </row>
    <row r="20" spans="1:15" ht="24.9" customHeight="1">
      <c r="A20" s="38"/>
      <c r="B20" s="61" t="s">
        <v>106</v>
      </c>
      <c r="C20" s="16" t="s">
        <v>15</v>
      </c>
      <c r="D20" s="17" t="n">
        <f>1400</f>
        <v>1400.0</v>
      </c>
      <c r="E20" s="35" t="n">
        <f>1400</f>
        <v>1400.0</v>
      </c>
      <c r="F20" s="17" t="n">
        <f>225</f>
        <v>225.0</v>
      </c>
      <c r="G20" s="35" t="n">
        <f>225</f>
        <v>225.0</v>
      </c>
      <c r="H20" s="17" t="n">
        <f>1625</f>
        <v>1625.0</v>
      </c>
      <c r="I20" s="35" t="n">
        <f>1625</f>
        <v>1625.0</v>
      </c>
      <c r="J20" s="17" t="n">
        <f>395658200</f>
        <v>3.956582E8</v>
      </c>
      <c r="K20" s="35" t="n">
        <f>395658200</f>
        <v>3.956582E8</v>
      </c>
      <c r="L20" s="17" t="n">
        <f>124482075</f>
        <v>1.24482075E8</v>
      </c>
      <c r="M20" s="35" t="n">
        <f>124482075</f>
        <v>1.24482075E8</v>
      </c>
      <c r="N20" s="17" t="n">
        <f>520140275</f>
        <v>5.20140275E8</v>
      </c>
      <c r="O20" s="35" t="n">
        <f>520140275</f>
        <v>5.20140275E8</v>
      </c>
    </row>
    <row r="21" spans="1:15" ht="24.9" customHeight="1">
      <c r="A21" s="38"/>
      <c r="B21" s="62"/>
      <c r="C21" s="20" t="s">
        <v>16</v>
      </c>
      <c r="D21" s="21" t="n">
        <f>370</f>
        <v>370.0</v>
      </c>
      <c r="E21" s="36" t="n">
        <f>370</f>
        <v>370.0</v>
      </c>
      <c r="F21" s="21" t="n">
        <f>200</f>
        <v>200.0</v>
      </c>
      <c r="G21" s="36" t="n">
        <f>200</f>
        <v>200.0</v>
      </c>
      <c r="H21" s="21" t="n">
        <f>570</f>
        <v>570.0</v>
      </c>
      <c r="I21" s="36" t="n">
        <f>570</f>
        <v>570.0</v>
      </c>
      <c r="J21" s="21" t="n">
        <f>64300000</f>
        <v>6.43E7</v>
      </c>
      <c r="K21" s="36" t="n">
        <f>64300000</f>
        <v>6.43E7</v>
      </c>
      <c r="L21" s="21" t="n">
        <f>25000000</f>
        <v>2.5E7</v>
      </c>
      <c r="M21" s="36" t="n">
        <f>25000000</f>
        <v>2.5E7</v>
      </c>
      <c r="N21" s="21" t="n">
        <f>89300000</f>
        <v>8.93E7</v>
      </c>
      <c r="O21" s="36" t="n">
        <f>89300000</f>
        <v>8.93E7</v>
      </c>
    </row>
    <row r="22" spans="1:15" ht="24.9" customHeight="1">
      <c r="A22" s="38"/>
      <c r="B22" s="62"/>
      <c r="C22" s="20" t="s">
        <v>17</v>
      </c>
      <c r="D22" s="21" t="n">
        <f>3787</f>
        <v>3787.0</v>
      </c>
      <c r="E22" s="36" t="n">
        <f>3772</f>
        <v>3772.0</v>
      </c>
      <c r="F22" s="21" t="n">
        <f>1469</f>
        <v>1469.0</v>
      </c>
      <c r="G22" s="36" t="n">
        <f>1400</f>
        <v>1400.0</v>
      </c>
      <c r="H22" s="21" t="n">
        <f>5256</f>
        <v>5256.0</v>
      </c>
      <c r="I22" s="36" t="n">
        <f>5172</f>
        <v>5172.0</v>
      </c>
      <c r="J22" s="21" t="n">
        <f>638149000</f>
        <v>6.38149E8</v>
      </c>
      <c r="K22" s="36" t="n">
        <f>631249000</f>
        <v>6.31249E8</v>
      </c>
      <c r="L22" s="21" t="n">
        <f>529365000</f>
        <v>5.29365E8</v>
      </c>
      <c r="M22" s="36" t="n">
        <f>491600000</f>
        <v>4.916E8</v>
      </c>
      <c r="N22" s="21" t="n">
        <f>1167514000</f>
        <v>1.167514E9</v>
      </c>
      <c r="O22" s="36" t="n">
        <f>1122849000</f>
        <v>1.122849E9</v>
      </c>
    </row>
    <row r="23" spans="1:15" ht="24.9" customHeight="1">
      <c r="A23" s="38"/>
      <c r="B23" s="62"/>
      <c r="C23" s="24" t="s">
        <v>18</v>
      </c>
      <c r="D23" s="25" t="n">
        <f>5557</f>
        <v>5557.0</v>
      </c>
      <c r="E23" s="37" t="n">
        <f>5542</f>
        <v>5542.0</v>
      </c>
      <c r="F23" s="25" t="n">
        <f>1894</f>
        <v>1894.0</v>
      </c>
      <c r="G23" s="37" t="n">
        <f>1825</f>
        <v>1825.0</v>
      </c>
      <c r="H23" s="25" t="n">
        <f>7451</f>
        <v>7451.0</v>
      </c>
      <c r="I23" s="37" t="n">
        <f>7367</f>
        <v>7367.0</v>
      </c>
      <c r="J23" s="25" t="n">
        <f>1098107200</f>
        <v>1.0981072E9</v>
      </c>
      <c r="K23" s="37" t="n">
        <f>1091207200</f>
        <v>1.0912072E9</v>
      </c>
      <c r="L23" s="25" t="n">
        <f>678847075</f>
        <v>6.78847075E8</v>
      </c>
      <c r="M23" s="37" t="n">
        <f>641082075</f>
        <v>6.41082075E8</v>
      </c>
      <c r="N23" s="25" t="n">
        <f>1776954275</f>
        <v>1.776954275E9</v>
      </c>
      <c r="O23" s="37" t="n">
        <f>1732289275</f>
        <v>1.732289275E9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208</f>
        <v>208.0</v>
      </c>
      <c r="E37" s="22" t="n">
        <f>100</f>
        <v>100.0</v>
      </c>
      <c r="F37" s="21" t="n">
        <f>78</f>
        <v>78.0</v>
      </c>
      <c r="G37" s="22" t="n">
        <f>0</f>
        <v>0.0</v>
      </c>
      <c r="H37" s="21" t="n">
        <f>286</f>
        <v>286.0</v>
      </c>
      <c r="I37" s="22" t="n">
        <f>100</f>
        <v>100.0</v>
      </c>
      <c r="J37" s="21" t="n">
        <f>28300000</f>
        <v>2.83E7</v>
      </c>
      <c r="K37" s="22" t="n">
        <f>8000000</f>
        <v>8000000.0</v>
      </c>
      <c r="L37" s="21" t="n">
        <f>19360000</f>
        <v>1.936E7</v>
      </c>
      <c r="M37" s="22" t="n">
        <f>0</f>
        <v>0.0</v>
      </c>
      <c r="N37" s="21" t="n">
        <f>47660000</f>
        <v>4.766E7</v>
      </c>
      <c r="O37" s="22" t="n">
        <f>8000000</f>
        <v>8000000.0</v>
      </c>
    </row>
    <row r="38" spans="1:15" ht="24.9" customHeight="1">
      <c r="A38" s="38"/>
      <c r="B38" s="62"/>
      <c r="C38" s="20" t="s">
        <v>17</v>
      </c>
      <c r="D38" s="21" t="n">
        <f>60</f>
        <v>60.0</v>
      </c>
      <c r="E38" s="36" t="n">
        <f>0</f>
        <v>0.0</v>
      </c>
      <c r="F38" s="21" t="n">
        <f>38</f>
        <v>38.0</v>
      </c>
      <c r="G38" s="36" t="n">
        <f>0</f>
        <v>0.0</v>
      </c>
      <c r="H38" s="21" t="n">
        <f>98</f>
        <v>98.0</v>
      </c>
      <c r="I38" s="36" t="n">
        <f>0</f>
        <v>0.0</v>
      </c>
      <c r="J38" s="21" t="n">
        <f>13200000</f>
        <v>1.32E7</v>
      </c>
      <c r="K38" s="36" t="n">
        <f>0</f>
        <v>0.0</v>
      </c>
      <c r="L38" s="21" t="n">
        <f>5960000</f>
        <v>5960000.0</v>
      </c>
      <c r="M38" s="36" t="n">
        <f>0</f>
        <v>0.0</v>
      </c>
      <c r="N38" s="21" t="n">
        <f>19160000</f>
        <v>1.916E7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268</f>
        <v>268.0</v>
      </c>
      <c r="E39" s="37" t="n">
        <f>100</f>
        <v>100.0</v>
      </c>
      <c r="F39" s="25" t="n">
        <f>116</f>
        <v>116.0</v>
      </c>
      <c r="G39" s="37" t="n">
        <f>0</f>
        <v>0.0</v>
      </c>
      <c r="H39" s="25" t="n">
        <f>384</f>
        <v>384.0</v>
      </c>
      <c r="I39" s="37" t="n">
        <f>100</f>
        <v>100.0</v>
      </c>
      <c r="J39" s="25" t="n">
        <f>41500000</f>
        <v>4.15E7</v>
      </c>
      <c r="K39" s="37" t="n">
        <f>8000000</f>
        <v>8000000.0</v>
      </c>
      <c r="L39" s="25" t="n">
        <f>25320000</f>
        <v>2.532E7</v>
      </c>
      <c r="M39" s="37" t="n">
        <f>0</f>
        <v>0.0</v>
      </c>
      <c r="N39" s="25" t="n">
        <f>66820000</f>
        <v>6.682E7</v>
      </c>
      <c r="O39" s="37" t="n">
        <f>8000000</f>
        <v>8000000.0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2886</f>
        <v>2886.0</v>
      </c>
      <c r="E41" s="36" t="n">
        <f>1200</f>
        <v>1200.0</v>
      </c>
      <c r="F41" s="21" t="n">
        <f>5661</f>
        <v>5661.0</v>
      </c>
      <c r="G41" s="36" t="n">
        <f>1200</f>
        <v>1200.0</v>
      </c>
      <c r="H41" s="21" t="n">
        <f>8547</f>
        <v>8547.0</v>
      </c>
      <c r="I41" s="36" t="n">
        <f>2400</f>
        <v>2400.0</v>
      </c>
      <c r="J41" s="21" t="n">
        <f>25314775</f>
        <v>2.5314775E7</v>
      </c>
      <c r="K41" s="36" t="n">
        <f>14640000</f>
        <v>1.464E7</v>
      </c>
      <c r="L41" s="21" t="n">
        <f>22532430</f>
        <v>2.253243E7</v>
      </c>
      <c r="M41" s="36" t="n">
        <f>12000000</f>
        <v>1.2E7</v>
      </c>
      <c r="N41" s="21" t="n">
        <f>47847205</f>
        <v>4.7847205E7</v>
      </c>
      <c r="O41" s="36" t="n">
        <f>26640000</f>
        <v>2.664E7</v>
      </c>
    </row>
    <row r="42" spans="1:15" ht="24.9" customHeight="1">
      <c r="A42" s="38"/>
      <c r="B42" s="62"/>
      <c r="C42" s="20" t="s">
        <v>17</v>
      </c>
      <c r="D42" s="21" t="n">
        <f>5764</f>
        <v>5764.0</v>
      </c>
      <c r="E42" s="36" t="n">
        <f>5400</f>
        <v>5400.0</v>
      </c>
      <c r="F42" s="21" t="n">
        <f>7775</f>
        <v>7775.0</v>
      </c>
      <c r="G42" s="36" t="n">
        <f>5400</f>
        <v>5400.0</v>
      </c>
      <c r="H42" s="21" t="n">
        <f>13539</f>
        <v>13539.0</v>
      </c>
      <c r="I42" s="36" t="n">
        <f>10800</f>
        <v>10800.0</v>
      </c>
      <c r="J42" s="21" t="n">
        <f>143848372</f>
        <v>1.43848372E8</v>
      </c>
      <c r="K42" s="36" t="n">
        <f>138180000</f>
        <v>1.3818E8</v>
      </c>
      <c r="L42" s="21" t="n">
        <f>151456294</f>
        <v>1.51456294E8</v>
      </c>
      <c r="M42" s="36" t="n">
        <f>142700000</f>
        <v>1.427E8</v>
      </c>
      <c r="N42" s="21" t="n">
        <f>295304666</f>
        <v>2.95304666E8</v>
      </c>
      <c r="O42" s="36" t="n">
        <f>280880000</f>
        <v>2.8088E8</v>
      </c>
    </row>
    <row r="43" spans="1:15" ht="24.9" customHeight="1">
      <c r="A43" s="38"/>
      <c r="B43" s="62"/>
      <c r="C43" s="24" t="s">
        <v>18</v>
      </c>
      <c r="D43" s="25" t="n">
        <f>8650</f>
        <v>8650.0</v>
      </c>
      <c r="E43" s="37" t="n">
        <f>6600</f>
        <v>6600.0</v>
      </c>
      <c r="F43" s="25" t="n">
        <f>13436</f>
        <v>13436.0</v>
      </c>
      <c r="G43" s="37" t="n">
        <f>6600</f>
        <v>6600.0</v>
      </c>
      <c r="H43" s="25" t="n">
        <f>22086</f>
        <v>22086.0</v>
      </c>
      <c r="I43" s="37" t="n">
        <f>13200</f>
        <v>13200.0</v>
      </c>
      <c r="J43" s="25" t="n">
        <f>169163147</f>
        <v>1.69163147E8</v>
      </c>
      <c r="K43" s="37" t="n">
        <f>152820000</f>
        <v>1.5282E8</v>
      </c>
      <c r="L43" s="25" t="n">
        <f>173988724</f>
        <v>1.73988724E8</v>
      </c>
      <c r="M43" s="37" t="n">
        <f>154700000</f>
        <v>1.547E8</v>
      </c>
      <c r="N43" s="25" t="n">
        <f>343151871</f>
        <v>3.43151871E8</v>
      </c>
      <c r="O43" s="37" t="n">
        <f>307520000</f>
        <v>3.0752E8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