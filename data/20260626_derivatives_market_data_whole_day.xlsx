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<sst xmlns="http://schemas.openxmlformats.org/spreadsheetml/2006/main" count="528" uniqueCount="129">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</sst>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DATE(2026,06,26)</f>
        <v>46199.0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DATE(2026,06,26)</f>
        <v>46199.0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1099418.0</f>
        <v>1099418.0</v>
      </c>
      <c r="E12" s="18" t="n">
        <f>54693.0</f>
        <v>54693.0</v>
      </c>
      <c r="F12" s="19" t="n">
        <f>1.0</f>
        <v>1.0</v>
      </c>
      <c r="G12" s="17" t="n">
        <f>6897003982245.0</f>
        <v>6.897003982245E12</v>
      </c>
      <c r="H12" s="18" t="n">
        <f>520925816070.0</f>
        <v>5.2092581607E11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545759.0</f>
        <v>545759.0</v>
      </c>
      <c r="E13" s="22" t="n">
        <f>22133.0</f>
        <v>22133.0</v>
      </c>
      <c r="F13" s="23" t="n">
        <f>1.0</f>
        <v>1.0</v>
      </c>
      <c r="G13" s="21" t="n">
        <f>4471856806165.0</f>
        <v>4.471856806165E12</v>
      </c>
      <c r="H13" s="22" t="n">
        <f>269787516540.0</f>
        <v>2.6978751654E11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854964.0</f>
        <v>854964.0</v>
      </c>
      <c r="E14" s="22" t="n">
        <f>47632.0</f>
        <v>47632.0</v>
      </c>
      <c r="F14" s="23" t="n">
        <f>1.0</f>
        <v>1.0</v>
      </c>
      <c r="G14" s="21" t="n">
        <f>8509113193134.0</f>
        <v>8.509113193134E12</v>
      </c>
      <c r="H14" s="22" t="n">
        <f>1034377376234.0</f>
        <v>1.034377376234E12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2500141.0</f>
        <v>2500141.0</v>
      </c>
      <c r="E15" s="26" t="n">
        <f>124458.0</f>
        <v>124458.0</v>
      </c>
      <c r="F15" s="27" t="n">
        <f>1.0</f>
        <v>1.0</v>
      </c>
      <c r="G15" s="25" t="n">
        <f>19877973981544.0</f>
        <v>1.9877973981544E13</v>
      </c>
      <c r="H15" s="26" t="n">
        <f>1825090708844.0</f>
        <v>1.825090708844E12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18646.0</f>
        <v>18646.0</v>
      </c>
      <c r="E16" s="18" t="n">
        <f>47.0</f>
        <v>47.0</v>
      </c>
      <c r="F16" s="19" t="n">
        <f>0.017</f>
        <v>0.017</v>
      </c>
      <c r="G16" s="17" t="n">
        <f>1374489650625.0</f>
        <v>1.374489650625E12</v>
      </c>
      <c r="H16" s="18" t="n">
        <f>6015030000.0</f>
        <v>6.01503E9</v>
      </c>
      <c r="I16" s="19" t="n">
        <f>0.199</f>
        <v>0.199</v>
      </c>
    </row>
    <row r="17" spans="1:9" ht="24.9" customHeight="1">
      <c r="A17" s="41"/>
      <c r="B17" s="39"/>
      <c r="C17" s="20" t="s">
        <v>16</v>
      </c>
      <c r="D17" s="21" t="n">
        <f>9790.0</f>
        <v>9790.0</v>
      </c>
      <c r="E17" s="22" t="n">
        <f>423.0</f>
        <v>423.0</v>
      </c>
      <c r="F17" s="23" t="n">
        <f>0.018</f>
        <v>0.018</v>
      </c>
      <c r="G17" s="21" t="n">
        <f>1076291517125.0</f>
        <v>1.076291517125E12</v>
      </c>
      <c r="H17" s="22" t="n">
        <f>54117265000.0</f>
        <v>5.4117265E10</v>
      </c>
      <c r="I17" s="23" t="n">
        <f>0.241</f>
        <v>0.241</v>
      </c>
    </row>
    <row r="18" spans="1:9" ht="24.9" customHeight="1">
      <c r="A18" s="41"/>
      <c r="B18" s="39"/>
      <c r="C18" s="20" t="s">
        <v>17</v>
      </c>
      <c r="D18" s="21" t="n">
        <f>20674.0</f>
        <v>20674.0</v>
      </c>
      <c r="E18" s="22" t="n">
        <f>514.0</f>
        <v>514.0</v>
      </c>
      <c r="F18" s="23" t="n">
        <f>0.024</f>
        <v>0.024</v>
      </c>
      <c r="G18" s="21" t="n">
        <f>2297872405000.0</f>
        <v>2.297872405E12</v>
      </c>
      <c r="H18" s="22" t="n">
        <f>65799175000.0</f>
        <v>6.5799175E10</v>
      </c>
      <c r="I18" s="23" t="n">
        <f>0.27</f>
        <v>0.27</v>
      </c>
    </row>
    <row r="19" spans="1:9" ht="24.9" customHeight="1">
      <c r="A19" s="41"/>
      <c r="B19" s="39"/>
      <c r="C19" s="24" t="s">
        <v>18</v>
      </c>
      <c r="D19" s="25" t="n">
        <f>49110.0</f>
        <v>49110.0</v>
      </c>
      <c r="E19" s="26" t="n">
        <f>984.0</f>
        <v>984.0</v>
      </c>
      <c r="F19" s="27" t="n">
        <f>0.02</f>
        <v>0.02</v>
      </c>
      <c r="G19" s="25" t="n">
        <f>4748653572750.0</f>
        <v>4.74865357275E12</v>
      </c>
      <c r="H19" s="26" t="n">
        <f>125931470000.0</f>
        <v>1.2593147E11</v>
      </c>
      <c r="I19" s="27" t="n">
        <f>0.239</f>
        <v>0.239</v>
      </c>
    </row>
    <row r="20" spans="1:9" ht="24.9" customHeight="1">
      <c r="A20" s="41"/>
      <c r="B20" s="39" t="s">
        <v>21</v>
      </c>
      <c r="C20" s="16" t="s">
        <v>15</v>
      </c>
      <c r="D20" s="17" t="n">
        <f>1064394.0</f>
        <v>1064394.0</v>
      </c>
      <c r="E20" s="18" t="n">
        <f>54646.0</f>
        <v>54646.0</v>
      </c>
      <c r="F20" s="19" t="n">
        <f>0.968</f>
        <v>0.968</v>
      </c>
      <c r="G20" s="17" t="n">
        <f>5362432469520.0</f>
        <v>5.36243246952E12</v>
      </c>
      <c r="H20" s="18" t="n">
        <f>514910786070.0</f>
        <v>5.1491078607E11</v>
      </c>
      <c r="I20" s="19" t="n">
        <f>0.778</f>
        <v>0.778</v>
      </c>
    </row>
    <row r="21" spans="1:9" ht="24.9" customHeight="1">
      <c r="A21" s="41"/>
      <c r="B21" s="39"/>
      <c r="C21" s="20" t="s">
        <v>16</v>
      </c>
      <c r="D21" s="21" t="n">
        <f>530862.0</f>
        <v>530862.0</v>
      </c>
      <c r="E21" s="22" t="n">
        <f>21709.0</f>
        <v>21709.0</v>
      </c>
      <c r="F21" s="23" t="n">
        <f>0.973</f>
        <v>0.973</v>
      </c>
      <c r="G21" s="21" t="n">
        <f>3342798344090.0</f>
        <v>3.34279834409E12</v>
      </c>
      <c r="H21" s="22" t="n">
        <f>215666702040.0</f>
        <v>2.1566670204E11</v>
      </c>
      <c r="I21" s="23" t="n">
        <f>0.748</f>
        <v>0.748</v>
      </c>
    </row>
    <row r="22" spans="1:9" ht="24.9" customHeight="1">
      <c r="A22" s="41"/>
      <c r="B22" s="39"/>
      <c r="C22" s="20" t="s">
        <v>17</v>
      </c>
      <c r="D22" s="21" t="n">
        <f>824674.0</f>
        <v>824674.0</v>
      </c>
      <c r="E22" s="22" t="n">
        <f>47107.0</f>
        <v>47107.0</v>
      </c>
      <c r="F22" s="23" t="n">
        <f>0.965</f>
        <v>0.965</v>
      </c>
      <c r="G22" s="21" t="n">
        <f>6125761489554.0</f>
        <v>6.125761489554E12</v>
      </c>
      <c r="H22" s="22" t="n">
        <f>968562599554.0</f>
        <v>9.68562599554E11</v>
      </c>
      <c r="I22" s="23" t="n">
        <f>0.72</f>
        <v>0.72</v>
      </c>
    </row>
    <row r="23" spans="1:9" ht="24.9" customHeight="1">
      <c r="A23" s="41"/>
      <c r="B23" s="39"/>
      <c r="C23" s="24" t="s">
        <v>18</v>
      </c>
      <c r="D23" s="25" t="n">
        <f>2419930.0</f>
        <v>2419930.0</v>
      </c>
      <c r="E23" s="26" t="n">
        <f>123462.0</f>
        <v>123462.0</v>
      </c>
      <c r="F23" s="27" t="n">
        <f>0.968</f>
        <v>0.968</v>
      </c>
      <c r="G23" s="25" t="n">
        <f>14830992303164.0</f>
        <v>1.4830992303164E13</v>
      </c>
      <c r="H23" s="26" t="n">
        <f>1699140087664.0</f>
        <v>1.699140087664E12</v>
      </c>
      <c r="I23" s="27" t="n">
        <f>0.746</f>
        <v>0.746</v>
      </c>
    </row>
    <row r="24" spans="1:9" ht="24.9" customHeight="1">
      <c r="A24" s="41"/>
      <c r="B24" s="39" t="s">
        <v>22</v>
      </c>
      <c r="C24" s="16" t="s">
        <v>15</v>
      </c>
      <c r="D24" s="17" t="n">
        <f>16021.0</f>
        <v>16021.0</v>
      </c>
      <c r="E24" s="18" t="n">
        <f>0.0</f>
        <v>0.0</v>
      </c>
      <c r="F24" s="19" t="n">
        <f>0.015</f>
        <v>0.015</v>
      </c>
      <c r="G24" s="17" t="n">
        <f>158844434100.0</f>
        <v>1.588444341E11</v>
      </c>
      <c r="H24" s="18" t="n">
        <f>0.0</f>
        <v>0.0</v>
      </c>
      <c r="I24" s="19" t="n">
        <f>0.023</f>
        <v>0.023</v>
      </c>
    </row>
    <row r="25" spans="1:9" ht="24.9" customHeight="1">
      <c r="A25" s="41"/>
      <c r="B25" s="39"/>
      <c r="C25" s="20" t="s">
        <v>16</v>
      </c>
      <c r="D25" s="21" t="n">
        <f>4993.0</f>
        <v>4993.0</v>
      </c>
      <c r="E25" s="22" t="n">
        <f>0.0</f>
        <v>0.0</v>
      </c>
      <c r="F25" s="23" t="n">
        <f>0.009</f>
        <v>0.009</v>
      </c>
      <c r="G25" s="21" t="n">
        <f>52362141450.0</f>
        <v>5.236214145E10</v>
      </c>
      <c r="H25" s="22" t="n">
        <f>0.0</f>
        <v>0.0</v>
      </c>
      <c r="I25" s="23" t="n">
        <f>0.012</f>
        <v>0.012</v>
      </c>
    </row>
    <row r="26" spans="1:9" ht="24.9" customHeight="1">
      <c r="A26" s="41"/>
      <c r="B26" s="39"/>
      <c r="C26" s="20" t="s">
        <v>17</v>
      </c>
      <c r="D26" s="21" t="n">
        <f>8642.0</f>
        <v>8642.0</v>
      </c>
      <c r="E26" s="22" t="n">
        <f>0.0</f>
        <v>0.0</v>
      </c>
      <c r="F26" s="23" t="n">
        <f>0.01</f>
        <v>0.01</v>
      </c>
      <c r="G26" s="21" t="n">
        <f>82090888900.0</f>
        <v>8.20908889E10</v>
      </c>
      <c r="H26" s="22" t="n">
        <f>0.0</f>
        <v>0.0</v>
      </c>
      <c r="I26" s="23" t="n">
        <f>0.01</f>
        <v>0.01</v>
      </c>
    </row>
    <row r="27" spans="1:9" ht="24.9" customHeight="1">
      <c r="A27" s="42"/>
      <c r="B27" s="39"/>
      <c r="C27" s="24" t="s">
        <v>18</v>
      </c>
      <c r="D27" s="25" t="n">
        <f>29656.0</f>
        <v>29656.0</v>
      </c>
      <c r="E27" s="26" t="n">
        <f>0.0</f>
        <v>0.0</v>
      </c>
      <c r="F27" s="27" t="n">
        <f>0.012</f>
        <v>0.012</v>
      </c>
      <c r="G27" s="25" t="n">
        <f>293297464450.0</f>
        <v>2.9329746445E11</v>
      </c>
      <c r="H27" s="26" t="n">
        <f>0.0</f>
        <v>0.0</v>
      </c>
      <c r="I27" s="27" t="n">
        <f>0.015</f>
        <v>0.015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357.0</f>
        <v>357.0</v>
      </c>
      <c r="E28" s="18" t="n">
        <f>0.0</f>
        <v>0.0</v>
      </c>
      <c r="F28" s="19" t="n">
        <f>0.0</f>
        <v>0.0</v>
      </c>
      <c r="G28" s="17" t="n">
        <f>1237428000.0</f>
        <v>1.237428E9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114.0</f>
        <v>114.0</v>
      </c>
      <c r="E29" s="22" t="n">
        <f>1.0</f>
        <v>1.0</v>
      </c>
      <c r="F29" s="23" t="n">
        <f>0.0</f>
        <v>0.0</v>
      </c>
      <c r="G29" s="21" t="n">
        <f>404803500.0</f>
        <v>4.048035E8</v>
      </c>
      <c r="H29" s="22" t="n">
        <f>3549500.0</f>
        <v>3549500.0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974.0</f>
        <v>974.0</v>
      </c>
      <c r="E30" s="22" t="n">
        <f>11.0</f>
        <v>11.0</v>
      </c>
      <c r="F30" s="23" t="n">
        <f>0.001</f>
        <v>0.001</v>
      </c>
      <c r="G30" s="21" t="n">
        <f>3388409680.0</f>
        <v>3.38840968E9</v>
      </c>
      <c r="H30" s="22" t="n">
        <f>15601680.0</f>
        <v>1.560168E7</v>
      </c>
      <c r="I30" s="23" t="n">
        <f>0.0</f>
        <v>0.0</v>
      </c>
    </row>
    <row r="31" spans="1:9" ht="24.9" customHeight="1">
      <c r="A31" s="38"/>
      <c r="B31" s="39"/>
      <c r="C31" s="24" t="s">
        <v>18</v>
      </c>
      <c r="D31" s="25" t="n">
        <f>1445.0</f>
        <v>1445.0</v>
      </c>
      <c r="E31" s="26" t="n">
        <f>12.0</f>
        <v>12.0</v>
      </c>
      <c r="F31" s="27" t="n">
        <f>0.001</f>
        <v>0.001</v>
      </c>
      <c r="G31" s="25" t="n">
        <f>5030641180.0</f>
        <v>5.03064118E9</v>
      </c>
      <c r="H31" s="26" t="n">
        <f>19151180.0</f>
        <v>1.915118E7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46199.0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46199.0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20120</f>
        <v>20120.0</v>
      </c>
      <c r="E11" s="18" t="n">
        <f>3919</f>
        <v>3919.0</v>
      </c>
      <c r="F11" s="19" t="n">
        <f>1</f>
        <v>1.0</v>
      </c>
      <c r="G11" s="17" t="n">
        <f>7546812300</f>
        <v>7.5468123E9</v>
      </c>
      <c r="H11" s="18" t="n">
        <f>4763601300</f>
        <v>4.7636013E9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37597</f>
        <v>37597.0</v>
      </c>
      <c r="E12" s="22" t="n">
        <f>5445</f>
        <v>5445.0</v>
      </c>
      <c r="F12" s="23" t="n">
        <f>1</f>
        <v>1.0</v>
      </c>
      <c r="G12" s="21" t="n">
        <f>13337483850</f>
        <v>1.333748385E10</v>
      </c>
      <c r="H12" s="22" t="n">
        <f>10069928090</f>
        <v>1.006992809E10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56596</f>
        <v>56596.0</v>
      </c>
      <c r="E13" s="22" t="n">
        <f>21781</f>
        <v>21781.0</v>
      </c>
      <c r="F13" s="23" t="n">
        <f>1</f>
        <v>1.0</v>
      </c>
      <c r="G13" s="21" t="n">
        <f>43020008533</f>
        <v>4.3020008533E10</v>
      </c>
      <c r="H13" s="22" t="n">
        <f>35697552205</f>
        <v>3.5697552205E10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114313</f>
        <v>114313.0</v>
      </c>
      <c r="E14" s="26" t="n">
        <f>31145</f>
        <v>31145.0</v>
      </c>
      <c r="F14" s="27" t="n">
        <f>1</f>
        <v>1.0</v>
      </c>
      <c r="G14" s="25" t="n">
        <f>63904304683</f>
        <v>6.3904304683E10</v>
      </c>
      <c r="H14" s="26" t="n">
        <f>50531081595</f>
        <v>5.0531081595E10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38</f>
        <v>38.0</v>
      </c>
      <c r="E16" s="22" t="n">
        <f>0</f>
        <v>0.0</v>
      </c>
      <c r="F16" s="23" t="n">
        <f>0.001</f>
        <v>0.001</v>
      </c>
      <c r="G16" s="21" t="n">
        <f>7470000</f>
        <v>7470000.0</v>
      </c>
      <c r="H16" s="22" t="n">
        <f>0</f>
        <v>0.0</v>
      </c>
      <c r="I16" s="23" t="n">
        <f>0.001</f>
        <v>0.001</v>
      </c>
    </row>
    <row r="17" spans="1:9" ht="24.9" customHeight="1">
      <c r="A17" s="41"/>
      <c r="B17" s="39"/>
      <c r="C17" s="20" t="s">
        <v>17</v>
      </c>
      <c r="D17" s="21" t="n">
        <f>111</f>
        <v>111.0</v>
      </c>
      <c r="E17" s="22" t="n">
        <f>50</f>
        <v>50.0</v>
      </c>
      <c r="F17" s="23" t="n">
        <f>0.002</f>
        <v>0.002</v>
      </c>
      <c r="G17" s="21" t="n">
        <f>40215000</f>
        <v>4.0215E7</v>
      </c>
      <c r="H17" s="22" t="n">
        <f>30375000</f>
        <v>3.0375E7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149</f>
        <v>149.0</v>
      </c>
      <c r="E18" s="26" t="n">
        <f>50</f>
        <v>50.0</v>
      </c>
      <c r="F18" s="27" t="n">
        <f>0.001</f>
        <v>0.001</v>
      </c>
      <c r="G18" s="25" t="n">
        <f>47685000</f>
        <v>4.7685E7</v>
      </c>
      <c r="H18" s="26" t="n">
        <f>30375000</f>
        <v>3.0375E7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20120</f>
        <v>20120.0</v>
      </c>
      <c r="E19" s="18" t="n">
        <f>3919</f>
        <v>3919.0</v>
      </c>
      <c r="F19" s="19" t="n">
        <f>1</f>
        <v>1.0</v>
      </c>
      <c r="G19" s="17" t="n">
        <f>7546812300</f>
        <v>7.5468123E9</v>
      </c>
      <c r="H19" s="18" t="n">
        <f>4763601300</f>
        <v>4.7636013E9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22447</f>
        <v>22447.0</v>
      </c>
      <c r="E20" s="22" t="n">
        <f>5445</f>
        <v>5445.0</v>
      </c>
      <c r="F20" s="23" t="n">
        <f>0.597</f>
        <v>0.597</v>
      </c>
      <c r="G20" s="21" t="n">
        <f>13273007790</f>
        <v>1.327300779E10</v>
      </c>
      <c r="H20" s="22" t="n">
        <f>10069928090</f>
        <v>1.006992809E10</v>
      </c>
      <c r="I20" s="23" t="n">
        <f>0.995</f>
        <v>0.995</v>
      </c>
    </row>
    <row r="21" spans="1:9" ht="24.9" customHeight="1">
      <c r="A21" s="41"/>
      <c r="B21" s="39"/>
      <c r="C21" s="20" t="s">
        <v>17</v>
      </c>
      <c r="D21" s="21" t="n">
        <f>44224</f>
        <v>44224.0</v>
      </c>
      <c r="E21" s="22" t="n">
        <f>21531</f>
        <v>21531.0</v>
      </c>
      <c r="F21" s="23" t="n">
        <f>0.781</f>
        <v>0.781</v>
      </c>
      <c r="G21" s="21" t="n">
        <f>42872217105</f>
        <v>4.2872217105E10</v>
      </c>
      <c r="H21" s="22" t="n">
        <f>35663997205</f>
        <v>3.5663997205E10</v>
      </c>
      <c r="I21" s="23" t="n">
        <f>0.997</f>
        <v>0.997</v>
      </c>
    </row>
    <row r="22" spans="1:9" ht="24.9" customHeight="1">
      <c r="A22" s="41"/>
      <c r="B22" s="39"/>
      <c r="C22" s="24" t="s">
        <v>18</v>
      </c>
      <c r="D22" s="25" t="n">
        <f>86791</f>
        <v>86791.0</v>
      </c>
      <c r="E22" s="26" t="n">
        <f>30895</f>
        <v>30895.0</v>
      </c>
      <c r="F22" s="27" t="n">
        <f>0.759</f>
        <v>0.759</v>
      </c>
      <c r="G22" s="25" t="n">
        <f>63692037195</f>
        <v>6.3692037195E10</v>
      </c>
      <c r="H22" s="26" t="n">
        <f>50497526595</f>
        <v>5.0497526595E10</v>
      </c>
      <c r="I22" s="27" t="n">
        <f>0.997</f>
        <v>0.997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15112</f>
        <v>15112.0</v>
      </c>
      <c r="E24" s="22" t="n">
        <f>0</f>
        <v>0.0</v>
      </c>
      <c r="F24" s="23" t="n">
        <f>0.402</f>
        <v>0.402</v>
      </c>
      <c r="G24" s="21" t="n">
        <f>57006060</f>
        <v>5.700606E7</v>
      </c>
      <c r="H24" s="22" t="n">
        <f>0</f>
        <v>0.0</v>
      </c>
      <c r="I24" s="23" t="n">
        <f>0.004</f>
        <v>0.004</v>
      </c>
    </row>
    <row r="25" spans="1:9" ht="24.9" customHeight="1">
      <c r="A25" s="41"/>
      <c r="B25" s="39"/>
      <c r="C25" s="20" t="s">
        <v>17</v>
      </c>
      <c r="D25" s="21" t="n">
        <f>12261</f>
        <v>12261.0</v>
      </c>
      <c r="E25" s="22" t="n">
        <f>200</f>
        <v>200.0</v>
      </c>
      <c r="F25" s="23" t="n">
        <f>0.217</f>
        <v>0.217</v>
      </c>
      <c r="G25" s="21" t="n">
        <f>107576428</f>
        <v>1.07576428E8</v>
      </c>
      <c r="H25" s="22" t="n">
        <f>3180000</f>
        <v>3180000.0</v>
      </c>
      <c r="I25" s="23" t="n">
        <f>0.003</f>
        <v>0.003</v>
      </c>
    </row>
    <row r="26" spans="1:9" ht="24.9" customHeight="1">
      <c r="A26" s="41"/>
      <c r="B26" s="39"/>
      <c r="C26" s="24" t="s">
        <v>18</v>
      </c>
      <c r="D26" s="25" t="n">
        <f>27373</f>
        <v>27373.0</v>
      </c>
      <c r="E26" s="26" t="n">
        <f>200</f>
        <v>200.0</v>
      </c>
      <c r="F26" s="27" t="n">
        <f>0.239</f>
        <v>0.239</v>
      </c>
      <c r="G26" s="25" t="n">
        <f>164582488</f>
        <v>1.64582488E8</v>
      </c>
      <c r="H26" s="26" t="n">
        <f>3180000</f>
        <v>3180000.0</v>
      </c>
      <c r="I26" s="27" t="n">
        <f>0.003</f>
        <v>0.003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46199.0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46199.0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18280.0</v>
      </c>
      <c r="F12" s="18" t="n">
        <f>1002</f>
        <v>1002.0</v>
      </c>
      <c r="G12" s="17" t="n">
        <v>1.310527358E12</v>
      </c>
      <c r="H12" s="18" t="n">
        <f>72058354000</f>
        <v>7.2058354E10</v>
      </c>
    </row>
    <row r="13" spans="1:8" ht="24.9" customHeight="1">
      <c r="A13" s="51"/>
      <c r="B13" s="57"/>
      <c r="C13" s="39"/>
      <c r="D13" s="20" t="s">
        <v>16</v>
      </c>
      <c r="E13" s="21" t="n">
        <v>13734.0</v>
      </c>
      <c r="F13" s="22" t="n">
        <f>846</f>
        <v>846.0</v>
      </c>
      <c r="G13" s="21" t="n">
        <v>9.702129987E11</v>
      </c>
      <c r="H13" s="22" t="n">
        <f>59878138700</f>
        <v>5.98781387E10</v>
      </c>
    </row>
    <row r="14" spans="1:8" ht="24.9" customHeight="1">
      <c r="A14" s="51"/>
      <c r="B14" s="57"/>
      <c r="C14" s="39"/>
      <c r="D14" s="20" t="s">
        <v>17</v>
      </c>
      <c r="E14" s="21" t="n">
        <v>32220.0</v>
      </c>
      <c r="F14" s="22" t="n">
        <f>8037</f>
        <v>8037.0</v>
      </c>
      <c r="G14" s="21" t="n">
        <v>2.2356866797E12</v>
      </c>
      <c r="H14" s="22" t="n">
        <f>559407520700</f>
        <v>5.594075207E11</v>
      </c>
    </row>
    <row r="15" spans="1:8" ht="24.9" customHeight="1">
      <c r="A15" s="51"/>
      <c r="B15" s="57"/>
      <c r="C15" s="39"/>
      <c r="D15" s="24" t="s">
        <v>18</v>
      </c>
      <c r="E15" s="25" t="n">
        <v>64234.0</v>
      </c>
      <c r="F15" s="26" t="n">
        <f>9885</f>
        <v>9885.0</v>
      </c>
      <c r="G15" s="25" t="n">
        <v>4.5164270364E12</v>
      </c>
      <c r="H15" s="26" t="n">
        <f>691344013400</f>
        <v>6.913440134E11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402413.0</v>
      </c>
      <c r="F16" s="18" t="n">
        <f>51292</f>
        <v>51292.0</v>
      </c>
      <c r="G16" s="17" t="n">
        <v>2.88414740446E12</v>
      </c>
      <c r="H16" s="18" t="n">
        <f>367825668960</f>
        <v>3.6782566896E11</v>
      </c>
    </row>
    <row r="17" spans="1:8" ht="24.9" customHeight="1">
      <c r="A17" s="51"/>
      <c r="B17" s="57"/>
      <c r="C17" s="39"/>
      <c r="D17" s="20" t="s">
        <v>16</v>
      </c>
      <c r="E17" s="21" t="n">
        <v>223001.0</v>
      </c>
      <c r="F17" s="22" t="n">
        <f>20253</f>
        <v>20253.0</v>
      </c>
      <c r="G17" s="21" t="n">
        <v>1.57423008214E12</v>
      </c>
      <c r="H17" s="22" t="n">
        <f>142945050140</f>
        <v>1.4294505014E11</v>
      </c>
    </row>
    <row r="18" spans="1:8" ht="24.9" customHeight="1">
      <c r="A18" s="51"/>
      <c r="B18" s="57"/>
      <c r="C18" s="39"/>
      <c r="D18" s="20" t="s">
        <v>17</v>
      </c>
      <c r="E18" s="21" t="n">
        <v>327533.0</v>
      </c>
      <c r="F18" s="22" t="n">
        <f>31117</f>
        <v>31117.0</v>
      </c>
      <c r="G18" s="21" t="n">
        <v>2.27003960341E12</v>
      </c>
      <c r="H18" s="22" t="n">
        <f>215695185410</f>
        <v>2.1569518541E11</v>
      </c>
    </row>
    <row r="19" spans="1:8" ht="24.9" customHeight="1">
      <c r="A19" s="51"/>
      <c r="B19" s="57"/>
      <c r="C19" s="39"/>
      <c r="D19" s="24" t="s">
        <v>18</v>
      </c>
      <c r="E19" s="25" t="n">
        <v>952947.0</v>
      </c>
      <c r="F19" s="26" t="n">
        <f>102662</f>
        <v>102662.0</v>
      </c>
      <c r="G19" s="25" t="n">
        <v>6.72841709001E12</v>
      </c>
      <c r="H19" s="26" t="n">
        <f>726465904510</f>
        <v>7.2646590451E11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619050.0</v>
      </c>
      <c r="F20" s="18" t="str">
        <f>"－"</f>
        <v>－</v>
      </c>
      <c r="G20" s="17" t="n">
        <v>4.436734017E11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269352.0</v>
      </c>
      <c r="F21" s="22" t="str">
        <f>"－"</f>
        <v>－</v>
      </c>
      <c r="G21" s="21" t="n">
        <v>1.9005384795E11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415255.0</v>
      </c>
      <c r="F22" s="22" t="str">
        <f>"－"</f>
        <v>－</v>
      </c>
      <c r="G22" s="21" t="n">
        <v>2.8774602225E11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1303657.0</v>
      </c>
      <c r="F23" s="26" t="str">
        <f>"－"</f>
        <v>－</v>
      </c>
      <c r="G23" s="25" t="n">
        <v>9.214732719E11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17343.0</v>
      </c>
      <c r="F24" s="18" t="n">
        <f>1817</f>
        <v>1817.0</v>
      </c>
      <c r="G24" s="17" t="n">
        <v>6.968102855E11</v>
      </c>
      <c r="H24" s="18" t="n">
        <f>73047745500</f>
        <v>7.30477455E10</v>
      </c>
    </row>
    <row r="25" spans="1:8" ht="24.9" customHeight="1">
      <c r="A25" s="51"/>
      <c r="B25" s="57"/>
      <c r="C25" s="39"/>
      <c r="D25" s="20" t="s">
        <v>16</v>
      </c>
      <c r="E25" s="21" t="n">
        <v>14261.0</v>
      </c>
      <c r="F25" s="22" t="n">
        <f>291</f>
        <v>291.0</v>
      </c>
      <c r="G25" s="21" t="n">
        <v>5.70018385E11</v>
      </c>
      <c r="H25" s="22" t="n">
        <f>11680860000</f>
        <v>1.168086E10</v>
      </c>
    </row>
    <row r="26" spans="1:8" ht="24.9" customHeight="1">
      <c r="A26" s="51"/>
      <c r="B26" s="57"/>
      <c r="C26" s="39"/>
      <c r="D26" s="20" t="s">
        <v>17</v>
      </c>
      <c r="E26" s="21" t="n">
        <v>32112.0</v>
      </c>
      <c r="F26" s="22" t="n">
        <f>4674</f>
        <v>4674.0</v>
      </c>
      <c r="G26" s="21" t="n">
        <v>1.272955845164E12</v>
      </c>
      <c r="H26" s="22" t="n">
        <f>185535515164</f>
        <v>1.85535515164E11</v>
      </c>
    </row>
    <row r="27" spans="1:8" ht="24.9" customHeight="1">
      <c r="A27" s="51"/>
      <c r="B27" s="57"/>
      <c r="C27" s="39"/>
      <c r="D27" s="24" t="s">
        <v>18</v>
      </c>
      <c r="E27" s="25" t="n">
        <v>63716.0</v>
      </c>
      <c r="F27" s="26" t="n">
        <f>6782</f>
        <v>6782.0</v>
      </c>
      <c r="G27" s="25" t="n">
        <v>2.539784515664E12</v>
      </c>
      <c r="H27" s="26" t="n">
        <f>270264120664</f>
        <v>2.70264120664E11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5607.0</v>
      </c>
      <c r="F28" s="18" t="n">
        <f>471</f>
        <v>471.0</v>
      </c>
      <c r="G28" s="17" t="n">
        <v>2.252681966E10</v>
      </c>
      <c r="H28" s="18" t="n">
        <f>1892225910</f>
        <v>1.89222591E9</v>
      </c>
    </row>
    <row r="29" spans="1:8" ht="24.9" customHeight="1">
      <c r="A29" s="51"/>
      <c r="B29" s="57"/>
      <c r="C29" s="39"/>
      <c r="D29" s="20" t="s">
        <v>16</v>
      </c>
      <c r="E29" s="21" t="n">
        <v>8869.0</v>
      </c>
      <c r="F29" s="22" t="n">
        <f>274</f>
        <v>274.0</v>
      </c>
      <c r="G29" s="21" t="n">
        <v>3.54439908E10</v>
      </c>
      <c r="H29" s="22" t="n">
        <f>1094047800</f>
        <v>1.0940478E9</v>
      </c>
    </row>
    <row r="30" spans="1:8" ht="24.9" customHeight="1">
      <c r="A30" s="51"/>
      <c r="B30" s="57"/>
      <c r="C30" s="39"/>
      <c r="D30" s="20" t="s">
        <v>17</v>
      </c>
      <c r="E30" s="21" t="n">
        <v>11723.0</v>
      </c>
      <c r="F30" s="22" t="n">
        <f>540</f>
        <v>540.0</v>
      </c>
      <c r="G30" s="21" t="n">
        <v>4.644697255E10</v>
      </c>
      <c r="H30" s="22" t="n">
        <f>2139202800</f>
        <v>2.1392028E9</v>
      </c>
    </row>
    <row r="31" spans="1:8" ht="24.9" customHeight="1">
      <c r="A31" s="51"/>
      <c r="B31" s="57"/>
      <c r="C31" s="39"/>
      <c r="D31" s="24" t="s">
        <v>18</v>
      </c>
      <c r="E31" s="25" t="n">
        <v>26199.0</v>
      </c>
      <c r="F31" s="26" t="n">
        <f>1285</f>
        <v>1285.0</v>
      </c>
      <c r="G31" s="25" t="n">
        <v>1.0441778301E11</v>
      </c>
      <c r="H31" s="26" t="n">
        <f>5125476510</f>
        <v>5.12547651E9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854.0</v>
      </c>
      <c r="F36" s="18" t="n">
        <f>0</f>
        <v>0.0</v>
      </c>
      <c r="G36" s="17" t="n">
        <v>3.119025E9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524.0</v>
      </c>
      <c r="F37" s="22" t="n">
        <f>1</f>
        <v>1.0</v>
      </c>
      <c r="G37" s="21" t="n">
        <v>1.90161E9</v>
      </c>
      <c r="H37" s="22" t="n">
        <f>3617000</f>
        <v>3617000.0</v>
      </c>
    </row>
    <row r="38" spans="1:8" ht="24.9" customHeight="1">
      <c r="A38" s="51"/>
      <c r="B38" s="57"/>
      <c r="C38" s="39"/>
      <c r="D38" s="20" t="s">
        <v>17</v>
      </c>
      <c r="E38" s="21" t="n">
        <v>2048.0</v>
      </c>
      <c r="F38" s="22" t="n">
        <f>526</f>
        <v>526.0</v>
      </c>
      <c r="G38" s="21" t="n">
        <v>7.37236214E9</v>
      </c>
      <c r="H38" s="22" t="n">
        <f>1896273140</f>
        <v>1.89627314E9</v>
      </c>
    </row>
    <row r="39" spans="1:8" ht="24.9" customHeight="1">
      <c r="A39" s="51"/>
      <c r="B39" s="57"/>
      <c r="C39" s="39"/>
      <c r="D39" s="24" t="s">
        <v>18</v>
      </c>
      <c r="E39" s="25" t="n">
        <v>3426.0</v>
      </c>
      <c r="F39" s="26" t="n">
        <f>527</f>
        <v>527.0</v>
      </c>
      <c r="G39" s="25" t="n">
        <v>1.239299714E10</v>
      </c>
      <c r="H39" s="26" t="n">
        <f>1899890140</f>
        <v>1.89989014E9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5.0</v>
      </c>
      <c r="F45" s="22" t="n">
        <f>5</f>
        <v>5.0</v>
      </c>
      <c r="G45" s="21" t="n">
        <v>3.3883E7</v>
      </c>
      <c r="H45" s="22" t="n">
        <f>33883000</f>
        <v>3.3883E7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5.0</v>
      </c>
      <c r="F47" s="26" t="n">
        <f>5</f>
        <v>5.0</v>
      </c>
      <c r="G47" s="25" t="n">
        <v>3.3883E7</v>
      </c>
      <c r="H47" s="26" t="n">
        <f>33883000</f>
        <v>3.3883E7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27.0</v>
      </c>
      <c r="F48" s="18" t="n">
        <f>27</f>
        <v>27.0</v>
      </c>
      <c r="G48" s="17" t="n">
        <v>4.779E7</v>
      </c>
      <c r="H48" s="18" t="n">
        <f>47790000</f>
        <v>4.779E7</v>
      </c>
    </row>
    <row r="49" spans="1:8" ht="24.9" customHeight="1">
      <c r="A49" s="51"/>
      <c r="B49" s="57"/>
      <c r="C49" s="39"/>
      <c r="D49" s="20" t="s">
        <v>16</v>
      </c>
      <c r="E49" s="21" t="n">
        <v>19.0</v>
      </c>
      <c r="F49" s="22" t="n">
        <f>0</f>
        <v>0.0</v>
      </c>
      <c r="G49" s="21" t="n">
        <v>3.3929E7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2322.0</v>
      </c>
      <c r="F50" s="22" t="n">
        <f>2103</f>
        <v>2103.0</v>
      </c>
      <c r="G50" s="21" t="n">
        <v>4.1810627E9</v>
      </c>
      <c r="H50" s="22" t="n">
        <f>3787224700</f>
        <v>3.7872247E9</v>
      </c>
    </row>
    <row r="51" spans="1:8" ht="24.9" customHeight="1">
      <c r="A51" s="51"/>
      <c r="B51" s="57"/>
      <c r="C51" s="39"/>
      <c r="D51" s="24" t="s">
        <v>18</v>
      </c>
      <c r="E51" s="25" t="n">
        <v>2368.0</v>
      </c>
      <c r="F51" s="26" t="n">
        <f>2130</f>
        <v>2130.0</v>
      </c>
      <c r="G51" s="25" t="n">
        <v>4.2627817E9</v>
      </c>
      <c r="H51" s="26" t="n">
        <f>3835014700</f>
        <v>3.8350147E9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578.0</v>
      </c>
      <c r="F56" s="18" t="n">
        <f>34</f>
        <v>34.0</v>
      </c>
      <c r="G56" s="17" t="n">
        <v>3.94638E8</v>
      </c>
      <c r="H56" s="18" t="n">
        <f>23179000</f>
        <v>2.3179E7</v>
      </c>
    </row>
    <row r="57" spans="1:8" ht="24.9" customHeight="1">
      <c r="A57" s="51"/>
      <c r="B57" s="57"/>
      <c r="C57" s="39"/>
      <c r="D57" s="20" t="s">
        <v>16</v>
      </c>
      <c r="E57" s="21" t="n">
        <v>1069.0</v>
      </c>
      <c r="F57" s="22" t="n">
        <f>38</f>
        <v>38.0</v>
      </c>
      <c r="G57" s="21" t="n">
        <v>7.27758E8</v>
      </c>
      <c r="H57" s="22" t="n">
        <f>25861000</f>
        <v>2.5861E7</v>
      </c>
    </row>
    <row r="58" spans="1:8" ht="24.9" customHeight="1">
      <c r="A58" s="51"/>
      <c r="B58" s="57"/>
      <c r="C58" s="39"/>
      <c r="D58" s="20" t="s">
        <v>17</v>
      </c>
      <c r="E58" s="21" t="n">
        <v>1336.0</v>
      </c>
      <c r="F58" s="22" t="n">
        <f>104</f>
        <v>104.0</v>
      </c>
      <c r="G58" s="21" t="n">
        <v>8.9932254E8</v>
      </c>
      <c r="H58" s="22" t="n">
        <f>70338540</f>
        <v>7.033854E7</v>
      </c>
    </row>
    <row r="59" spans="1:8" ht="24.9" customHeight="1">
      <c r="A59" s="51"/>
      <c r="B59" s="57"/>
      <c r="C59" s="39"/>
      <c r="D59" s="24" t="s">
        <v>18</v>
      </c>
      <c r="E59" s="25" t="n">
        <v>2983.0</v>
      </c>
      <c r="F59" s="26" t="n">
        <f>176</f>
        <v>176.0</v>
      </c>
      <c r="G59" s="25" t="n">
        <v>2.02171854E9</v>
      </c>
      <c r="H59" s="26" t="n">
        <f>119378540</f>
        <v>1.1937854E8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215.0</v>
      </c>
      <c r="F60" s="18" t="n">
        <f>3</f>
        <v>3.0</v>
      </c>
      <c r="G60" s="17" t="n">
        <v>1.1300491E9</v>
      </c>
      <c r="H60" s="18" t="n">
        <f>15822700</f>
        <v>1.58227E7</v>
      </c>
    </row>
    <row r="61" spans="1:8" ht="24.9" customHeight="1">
      <c r="A61" s="51"/>
      <c r="B61" s="57"/>
      <c r="C61" s="39"/>
      <c r="D61" s="20" t="s">
        <v>16</v>
      </c>
      <c r="E61" s="21" t="n">
        <v>27.0</v>
      </c>
      <c r="F61" s="22" t="n">
        <f>1</f>
        <v>1.0</v>
      </c>
      <c r="G61" s="21" t="n">
        <v>1.414905E8</v>
      </c>
      <c r="H61" s="22" t="n">
        <f>5244400</f>
        <v>5244400.0</v>
      </c>
    </row>
    <row r="62" spans="1:8" ht="24.9" customHeight="1">
      <c r="A62" s="51"/>
      <c r="B62" s="57"/>
      <c r="C62" s="39"/>
      <c r="D62" s="20" t="s">
        <v>17</v>
      </c>
      <c r="E62" s="21" t="n">
        <v>77.0</v>
      </c>
      <c r="F62" s="22" t="n">
        <f>6</f>
        <v>6.0</v>
      </c>
      <c r="G62" s="21" t="n">
        <v>4.023791E8</v>
      </c>
      <c r="H62" s="22" t="n">
        <f>31339100</f>
        <v>3.13391E7</v>
      </c>
    </row>
    <row r="63" spans="1:8" ht="24.9" customHeight="1">
      <c r="A63" s="51"/>
      <c r="B63" s="57"/>
      <c r="C63" s="39"/>
      <c r="D63" s="24" t="s">
        <v>18</v>
      </c>
      <c r="E63" s="25" t="n">
        <v>319.0</v>
      </c>
      <c r="F63" s="26" t="n">
        <f>10</f>
        <v>10.0</v>
      </c>
      <c r="G63" s="25" t="n">
        <v>1.6739187E9</v>
      </c>
      <c r="H63" s="26" t="n">
        <f>52406200</f>
        <v>5.24062E7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1.0</v>
      </c>
      <c r="F77" s="22" t="n">
        <f>0</f>
        <v>0.0</v>
      </c>
      <c r="G77" s="21" t="n">
        <v>369000.0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38.0</v>
      </c>
      <c r="F78" s="22" t="n">
        <f>0</f>
        <v>0.0</v>
      </c>
      <c r="G78" s="21" t="n">
        <v>1.5168E7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39.0</v>
      </c>
      <c r="F79" s="26" t="n">
        <f>0</f>
        <v>0.0</v>
      </c>
      <c r="G79" s="25" t="n">
        <v>1.5537E7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11.0</v>
      </c>
      <c r="F92" s="18" t="n">
        <f>0</f>
        <v>0.0</v>
      </c>
      <c r="G92" s="17" t="n">
        <v>1.76861E7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0.0</v>
      </c>
      <c r="F93" s="22" t="n">
        <f>0</f>
        <v>0.0</v>
      </c>
      <c r="G93" s="21" t="n">
        <v>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10.0</v>
      </c>
      <c r="F94" s="22" t="n">
        <f>0</f>
        <v>0.0</v>
      </c>
      <c r="G94" s="21" t="n">
        <v>1.6072E7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21.0</v>
      </c>
      <c r="F95" s="26" t="n">
        <f>0</f>
        <v>0.0</v>
      </c>
      <c r="G95" s="25" t="n">
        <v>3.37581E7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16.0</v>
      </c>
      <c r="F96" s="18" t="n">
        <f>0</f>
        <v>0.0</v>
      </c>
      <c r="G96" s="17" t="n">
        <v>3.8012E7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16.0</v>
      </c>
      <c r="F99" s="26" t="n">
        <f>0</f>
        <v>0.0</v>
      </c>
      <c r="G99" s="25" t="n">
        <v>3.8012E7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8850.0</v>
      </c>
      <c r="F108" s="18" t="n">
        <f>47</f>
        <v>47.0</v>
      </c>
      <c r="G108" s="17" t="n">
        <v>1.13222901E12</v>
      </c>
      <c r="H108" s="18" t="n">
        <f>6015030000</f>
        <v>6.01503E9</v>
      </c>
    </row>
    <row r="109" spans="1:8" ht="24.9" customHeight="1">
      <c r="A109" s="51"/>
      <c r="B109" s="57"/>
      <c r="C109" s="39"/>
      <c r="D109" s="20" t="s">
        <v>16</v>
      </c>
      <c r="E109" s="21" t="n">
        <v>8084.0</v>
      </c>
      <c r="F109" s="22" t="n">
        <f>423</f>
        <v>423.0</v>
      </c>
      <c r="G109" s="21" t="n">
        <v>1.034226785E12</v>
      </c>
      <c r="H109" s="22" t="n">
        <f>54117265000</f>
        <v>5.4117265E10</v>
      </c>
    </row>
    <row r="110" spans="1:8" ht="24.9" customHeight="1">
      <c r="A110" s="51"/>
      <c r="B110" s="57"/>
      <c r="C110" s="39"/>
      <c r="D110" s="20" t="s">
        <v>17</v>
      </c>
      <c r="E110" s="21" t="n">
        <v>17295.0</v>
      </c>
      <c r="F110" s="22" t="n">
        <f>514</f>
        <v>514.0</v>
      </c>
      <c r="G110" s="21" t="n">
        <v>2.216884975E12</v>
      </c>
      <c r="H110" s="22" t="n">
        <f>65799175000</f>
        <v>6.5799175E10</v>
      </c>
    </row>
    <row r="111" spans="1:8" ht="24.9" customHeight="1">
      <c r="A111" s="51"/>
      <c r="B111" s="57"/>
      <c r="C111" s="39"/>
      <c r="D111" s="24" t="s">
        <v>18</v>
      </c>
      <c r="E111" s="25" t="n">
        <v>34229.0</v>
      </c>
      <c r="F111" s="26" t="n">
        <f>984</f>
        <v>984.0</v>
      </c>
      <c r="G111" s="25" t="n">
        <v>4.38334077E12</v>
      </c>
      <c r="H111" s="26" t="n">
        <f>125931470000</f>
        <v>1.2593147E11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1.0</v>
      </c>
      <c r="F113" s="22" t="n">
        <f>0</f>
        <v>0.0</v>
      </c>
      <c r="G113" s="21" t="n">
        <v>1.2789E7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5.0</v>
      </c>
      <c r="F114" s="22" t="n">
        <f>0</f>
        <v>0.0</v>
      </c>
      <c r="G114" s="21" t="n">
        <v>6.41E7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6.0</v>
      </c>
      <c r="F115" s="26" t="n">
        <f>0</f>
        <v>0.0</v>
      </c>
      <c r="G115" s="25" t="n">
        <v>7.6889E7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150.0</v>
      </c>
      <c r="F118" s="22" t="n">
        <f>0</f>
        <v>0.0</v>
      </c>
      <c r="G118" s="21" t="n">
        <v>1.39025E9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150.0</v>
      </c>
      <c r="F119" s="26" t="n">
        <f>0</f>
        <v>0.0</v>
      </c>
      <c r="G119" s="25" t="n">
        <v>1.39025E9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9796.0</v>
      </c>
      <c r="F120" s="18" t="n">
        <f>0</f>
        <v>0.0</v>
      </c>
      <c r="G120" s="17" t="n">
        <v>2.42260640625E11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1705.0</v>
      </c>
      <c r="F121" s="22" t="n">
        <f>0</f>
        <v>0.0</v>
      </c>
      <c r="G121" s="21" t="n">
        <v>4.2051943125E10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3224.0</v>
      </c>
      <c r="F122" s="22" t="n">
        <f>0</f>
        <v>0.0</v>
      </c>
      <c r="G122" s="21" t="n">
        <v>7.953308E10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14725.0</v>
      </c>
      <c r="F123" s="26" t="n">
        <f>0</f>
        <v>0.0</v>
      </c>
      <c r="G123" s="25" t="n">
        <v>3.6384566375E11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6372.0</v>
      </c>
      <c r="F124" s="18" t="n">
        <f>0</f>
        <v>0.0</v>
      </c>
      <c r="G124" s="17" t="n">
        <v>1.35844098E11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2119.0</v>
      </c>
      <c r="F125" s="22" t="n">
        <f>0</f>
        <v>0.0</v>
      </c>
      <c r="G125" s="21" t="n">
        <v>4.5187803E10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3241.0</v>
      </c>
      <c r="F126" s="22" t="n">
        <f>0</f>
        <v>0.0</v>
      </c>
      <c r="G126" s="21" t="n">
        <v>6.8897109E10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11732.0</v>
      </c>
      <c r="F127" s="26" t="n">
        <f>0</f>
        <v>0.0</v>
      </c>
      <c r="G127" s="25" t="n">
        <v>2.4992901E11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80.0</v>
      </c>
      <c r="F128" s="18" t="n">
        <f>0</f>
        <v>0.0</v>
      </c>
      <c r="G128" s="17" t="n">
        <v>1.700445E8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52.0</v>
      </c>
      <c r="F129" s="22" t="n">
        <f>0</f>
        <v>0.0</v>
      </c>
      <c r="G129" s="21" t="n">
        <v>1.1077E8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23.0</v>
      </c>
      <c r="F130" s="22" t="n">
        <f>0</f>
        <v>0.0</v>
      </c>
      <c r="G130" s="21" t="n">
        <v>4.87078E7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155.0</v>
      </c>
      <c r="F131" s="26" t="n">
        <f>0</f>
        <v>0.0</v>
      </c>
      <c r="G131" s="25" t="n">
        <v>3.295223E8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7042.0</v>
      </c>
      <c r="F132" s="18" t="n">
        <f>0</f>
        <v>0.0</v>
      </c>
      <c r="G132" s="17" t="n">
        <v>1.500296715E10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1356.0</v>
      </c>
      <c r="F133" s="22" t="n">
        <f>0</f>
        <v>0.0</v>
      </c>
      <c r="G133" s="21" t="n">
        <v>2.8932729E9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2315.0</v>
      </c>
      <c r="F134" s="22" t="n">
        <f>0</f>
        <v>0.0</v>
      </c>
      <c r="G134" s="21" t="n">
        <v>4.92279535E9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10713.0</v>
      </c>
      <c r="F135" s="26" t="n">
        <f>0</f>
        <v>0.0</v>
      </c>
      <c r="G135" s="25" t="n">
        <v>2.28190354E10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95.0</v>
      </c>
      <c r="F136" s="18" t="n">
        <f>0</f>
        <v>0.0</v>
      </c>
      <c r="G136" s="17" t="n">
        <v>2.003105E8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21.0</v>
      </c>
      <c r="F137" s="22" t="n">
        <f>0</f>
        <v>0.0</v>
      </c>
      <c r="G137" s="21" t="n">
        <v>4.43573E7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85.0</v>
      </c>
      <c r="F138" s="22" t="n">
        <f>0</f>
        <v>0.0</v>
      </c>
      <c r="G138" s="21" t="n">
        <v>1.787606E8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201.0</v>
      </c>
      <c r="F139" s="26" t="n">
        <f>0</f>
        <v>0.0</v>
      </c>
      <c r="G139" s="25" t="n">
        <v>4.234284E8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3.0</v>
      </c>
      <c r="F142" s="22" t="n">
        <f>0</f>
        <v>0.0</v>
      </c>
      <c r="G142" s="21" t="n">
        <v>2.697E7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3.0</v>
      </c>
      <c r="F143" s="26" t="n">
        <f>0</f>
        <v>0.0</v>
      </c>
      <c r="G143" s="25" t="n">
        <v>2.697E7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1679.0</v>
      </c>
      <c r="F144" s="18" t="n">
        <f>0</f>
        <v>0.0</v>
      </c>
      <c r="G144" s="17" t="n">
        <v>6.736277E9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739.0</v>
      </c>
      <c r="F145" s="22" t="n">
        <f>0</f>
        <v>0.0</v>
      </c>
      <c r="G145" s="21" t="n">
        <v>2.9801305E9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1497.0</v>
      </c>
      <c r="F146" s="22" t="n">
        <f>0</f>
        <v>0.0</v>
      </c>
      <c r="G146" s="21" t="n">
        <v>5.9574E9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3915.0</v>
      </c>
      <c r="F147" s="26" t="n">
        <f>0</f>
        <v>0.0</v>
      </c>
      <c r="G147" s="25" t="n">
        <v>1.56738075E10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80.0</v>
      </c>
      <c r="F148" s="18" t="n">
        <f>0</f>
        <v>0.0</v>
      </c>
      <c r="G148" s="17" t="n">
        <v>6.52933E7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29.0</v>
      </c>
      <c r="F149" s="22" t="n">
        <f>0</f>
        <v>0.0</v>
      </c>
      <c r="G149" s="21" t="n">
        <v>2.3819E7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196.0</v>
      </c>
      <c r="F150" s="22" t="n">
        <f>0</f>
        <v>0.0</v>
      </c>
      <c r="G150" s="21" t="n">
        <v>1.598183E8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305.0</v>
      </c>
      <c r="F151" s="26" t="n">
        <f>0</f>
        <v>0.0</v>
      </c>
      <c r="G151" s="25" t="n">
        <v>2.489306E8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319.0</v>
      </c>
      <c r="F152" s="18" t="n">
        <f>0</f>
        <v>0.0</v>
      </c>
      <c r="G152" s="17" t="n">
        <v>2.5513965E8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136.0</v>
      </c>
      <c r="F153" s="22" t="n">
        <f>0</f>
        <v>0.0</v>
      </c>
      <c r="G153" s="21" t="n">
        <v>1.0921415E8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320.0</v>
      </c>
      <c r="F154" s="22" t="n">
        <f>0</f>
        <v>0.0</v>
      </c>
      <c r="G154" s="21" t="n">
        <v>2.5337985E8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775.0</v>
      </c>
      <c r="F155" s="26" t="n">
        <f>0</f>
        <v>0.0</v>
      </c>
      <c r="G155" s="25" t="n">
        <v>6.1773365E8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133.0</v>
      </c>
      <c r="F156" s="18" t="n">
        <f>0</f>
        <v>0.0</v>
      </c>
      <c r="G156" s="17" t="n">
        <v>1.05385E8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89.0</v>
      </c>
      <c r="F157" s="22" t="n">
        <f>0</f>
        <v>0.0</v>
      </c>
      <c r="G157" s="21" t="n">
        <v>7.06436E7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257.0</v>
      </c>
      <c r="F158" s="22" t="n">
        <f>0</f>
        <v>0.0</v>
      </c>
      <c r="G158" s="21" t="n">
        <v>2.026455E8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479.0</v>
      </c>
      <c r="F159" s="26" t="n">
        <f>0</f>
        <v>0.0</v>
      </c>
      <c r="G159" s="25" t="n">
        <v>3.786741E8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221.0</v>
      </c>
      <c r="F168" s="18" t="n">
        <f>0</f>
        <v>0.0</v>
      </c>
      <c r="G168" s="17" t="n">
        <v>4.64919E8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452.0</v>
      </c>
      <c r="F169" s="22" t="n">
        <f>0</f>
        <v>0.0</v>
      </c>
      <c r="G169" s="21" t="n">
        <v>9.42131E8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704.0</v>
      </c>
      <c r="F170" s="22" t="n">
        <f>0</f>
        <v>0.0</v>
      </c>
      <c r="G170" s="21" t="n">
        <v>1.4416415E9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1377.0</v>
      </c>
      <c r="F171" s="26" t="n">
        <f>0</f>
        <v>0.0</v>
      </c>
      <c r="G171" s="25" t="n">
        <v>2.8486915E9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1.0</v>
      </c>
      <c r="F178" s="22" t="n">
        <f>0</f>
        <v>0.0</v>
      </c>
      <c r="G178" s="21" t="n">
        <v>1661000.0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1.0</v>
      </c>
      <c r="F179" s="26" t="n">
        <f>0</f>
        <v>0.0</v>
      </c>
      <c r="G179" s="25" t="n">
        <v>1661000.0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357.0</v>
      </c>
      <c r="F204" s="18" t="n">
        <f>0</f>
        <v>0.0</v>
      </c>
      <c r="G204" s="17" t="n">
        <v>1.237428E9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114.0</v>
      </c>
      <c r="F205" s="22" t="n">
        <f>1</f>
        <v>1.0</v>
      </c>
      <c r="G205" s="21" t="n">
        <v>4.048035E8</v>
      </c>
      <c r="H205" s="22" t="n">
        <f>3549500</f>
        <v>3549500.0</v>
      </c>
    </row>
    <row r="206" spans="1:8" ht="24.9" customHeight="1">
      <c r="A206" s="57"/>
      <c r="B206" s="59"/>
      <c r="C206" s="39"/>
      <c r="D206" s="20" t="s">
        <v>17</v>
      </c>
      <c r="E206" s="21" t="n">
        <v>963.0</v>
      </c>
      <c r="F206" s="22" t="n">
        <f>0</f>
        <v>0.0</v>
      </c>
      <c r="G206" s="21" t="n">
        <v>3.372808E9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1434.0</v>
      </c>
      <c r="F207" s="26" t="n">
        <f>1</f>
        <v>1.0</v>
      </c>
      <c r="G207" s="25" t="n">
        <v>5.0150395E9</v>
      </c>
      <c r="H207" s="26" t="n">
        <f>3549500</f>
        <v>3549500.0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3.0</v>
      </c>
      <c r="F210" s="22" t="n">
        <f>3</f>
        <v>3.0</v>
      </c>
      <c r="G210" s="21" t="n">
        <v>4352400.0</v>
      </c>
      <c r="H210" s="22" t="n">
        <f>4352400</f>
        <v>4352400.0</v>
      </c>
    </row>
    <row r="211" spans="1:8" ht="24.9" customHeight="1">
      <c r="A211" s="57"/>
      <c r="B211" s="59"/>
      <c r="C211" s="39"/>
      <c r="D211" s="24" t="s">
        <v>18</v>
      </c>
      <c r="E211" s="25" t="n">
        <v>3.0</v>
      </c>
      <c r="F211" s="26" t="n">
        <f>3</f>
        <v>3.0</v>
      </c>
      <c r="G211" s="25" t="n">
        <v>4352400.0</v>
      </c>
      <c r="H211" s="26" t="n">
        <f>4352400</f>
        <v>4352400.0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8.0</v>
      </c>
      <c r="F218" s="22" t="n">
        <f>8</f>
        <v>8.0</v>
      </c>
      <c r="G218" s="21" t="n">
        <v>1.124928E7</v>
      </c>
      <c r="H218" s="22" t="n">
        <f>11249280</f>
        <v>1.124928E7</v>
      </c>
    </row>
    <row r="219" spans="1:8" ht="24.9" customHeight="1">
      <c r="A219" s="57"/>
      <c r="B219" s="59"/>
      <c r="C219" s="39"/>
      <c r="D219" s="24" t="s">
        <v>18</v>
      </c>
      <c r="E219" s="25" t="n">
        <v>8.0</v>
      </c>
      <c r="F219" s="26" t="n">
        <f>8</f>
        <v>8.0</v>
      </c>
      <c r="G219" s="25" t="n">
        <v>1.124928E7</v>
      </c>
      <c r="H219" s="26" t="n">
        <f>11249280</f>
        <v>1.124928E7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46199.0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46199.0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3642</f>
        <v>3642.0</v>
      </c>
      <c r="E12" s="35" t="n">
        <f>1686</f>
        <v>1686.0</v>
      </c>
      <c r="F12" s="17" t="n">
        <f>4277</f>
        <v>4277.0</v>
      </c>
      <c r="G12" s="35" t="n">
        <f>1549</f>
        <v>1549.0</v>
      </c>
      <c r="H12" s="17" t="n">
        <f>7919</f>
        <v>7919.0</v>
      </c>
      <c r="I12" s="35" t="n">
        <f>3235</f>
        <v>3235.0</v>
      </c>
      <c r="J12" s="17" t="n">
        <f>3019637130</f>
        <v>3.01963713E9</v>
      </c>
      <c r="K12" s="35" t="n">
        <f>2296386130</f>
        <v>2.29638613E9</v>
      </c>
      <c r="L12" s="17" t="n">
        <f>3480687110</f>
        <v>3.48068711E9</v>
      </c>
      <c r="M12" s="35" t="n">
        <f>2392122110</f>
        <v>2.39212211E9</v>
      </c>
      <c r="N12" s="17" t="n">
        <f>6500324240</f>
        <v>6.50032424E9</v>
      </c>
      <c r="O12" s="35" t="n">
        <f>4688508240</f>
        <v>4.68850824E9</v>
      </c>
    </row>
    <row r="13" spans="1:15" ht="24.9" customHeight="1">
      <c r="A13" s="38"/>
      <c r="B13" s="62"/>
      <c r="C13" s="20" t="s">
        <v>16</v>
      </c>
      <c r="D13" s="21" t="n">
        <f>5926</f>
        <v>5926.0</v>
      </c>
      <c r="E13" s="36" t="n">
        <f>3447</f>
        <v>3447.0</v>
      </c>
      <c r="F13" s="21" t="n">
        <f>4260</f>
        <v>4260.0</v>
      </c>
      <c r="G13" s="36" t="n">
        <f>1678</f>
        <v>1678.0</v>
      </c>
      <c r="H13" s="21" t="n">
        <f>10186</f>
        <v>10186.0</v>
      </c>
      <c r="I13" s="36" t="n">
        <f>5125</f>
        <v>5125.0</v>
      </c>
      <c r="J13" s="21" t="n">
        <f>10425926230</f>
        <v>1.042592623E10</v>
      </c>
      <c r="K13" s="36" t="n">
        <f>8752185230</f>
        <v>8.75218523E9</v>
      </c>
      <c r="L13" s="21" t="n">
        <f>1961335430</f>
        <v>1.96133543E9</v>
      </c>
      <c r="M13" s="36" t="n">
        <f>1049345430</f>
        <v>1.04934543E9</v>
      </c>
      <c r="N13" s="21" t="n">
        <f>12387261660</f>
        <v>1.238726166E10</v>
      </c>
      <c r="O13" s="36" t="n">
        <f>9801530660</f>
        <v>9.80153066E9</v>
      </c>
    </row>
    <row r="14" spans="1:15" ht="24.9" customHeight="1">
      <c r="A14" s="38"/>
      <c r="B14" s="62"/>
      <c r="C14" s="20" t="s">
        <v>17</v>
      </c>
      <c r="D14" s="21" t="n">
        <f>22211</f>
        <v>22211.0</v>
      </c>
      <c r="E14" s="36" t="n">
        <f>17279</f>
        <v>17279.0</v>
      </c>
      <c r="F14" s="21" t="n">
        <f>6974</f>
        <v>6974.0</v>
      </c>
      <c r="G14" s="36" t="n">
        <f>3371</f>
        <v>3371.0</v>
      </c>
      <c r="H14" s="21" t="n">
        <f>29185</f>
        <v>29185.0</v>
      </c>
      <c r="I14" s="36" t="n">
        <f>20650</f>
        <v>20650.0</v>
      </c>
      <c r="J14" s="21" t="n">
        <f>34114879550</f>
        <v>3.411487955E10</v>
      </c>
      <c r="K14" s="36" t="n">
        <f>30555313550</f>
        <v>3.055531355E10</v>
      </c>
      <c r="L14" s="21" t="n">
        <f>7723591235</f>
        <v>7.723591235E9</v>
      </c>
      <c r="M14" s="36" t="n">
        <f>5043675235</f>
        <v>5.043675235E9</v>
      </c>
      <c r="N14" s="21" t="n">
        <f>41838470785</f>
        <v>4.1838470785E10</v>
      </c>
      <c r="O14" s="36" t="n">
        <f>35598988785</f>
        <v>3.5598988785E10</v>
      </c>
    </row>
    <row r="15" spans="1:15" ht="24.9" customHeight="1">
      <c r="A15" s="38"/>
      <c r="B15" s="62"/>
      <c r="C15" s="24" t="s">
        <v>18</v>
      </c>
      <c r="D15" s="25" t="n">
        <f>31779</f>
        <v>31779.0</v>
      </c>
      <c r="E15" s="37" t="n">
        <f>22412</f>
        <v>22412.0</v>
      </c>
      <c r="F15" s="25" t="n">
        <f>15511</f>
        <v>15511.0</v>
      </c>
      <c r="G15" s="37" t="n">
        <f>6598</f>
        <v>6598.0</v>
      </c>
      <c r="H15" s="25" t="n">
        <f>47290</f>
        <v>47290.0</v>
      </c>
      <c r="I15" s="37" t="n">
        <f>29010</f>
        <v>29010.0</v>
      </c>
      <c r="J15" s="25" t="n">
        <f>47560442910</f>
        <v>4.756044291E10</v>
      </c>
      <c r="K15" s="37" t="n">
        <f>41603884910</f>
        <v>4.160388491E10</v>
      </c>
      <c r="L15" s="25" t="n">
        <f>13165613775</f>
        <v>1.3165613775E10</v>
      </c>
      <c r="M15" s="37" t="n">
        <f>8485142775</f>
        <v>8.485142775E9</v>
      </c>
      <c r="N15" s="25" t="n">
        <f>60726056685</f>
        <v>6.0726056685E10</v>
      </c>
      <c r="O15" s="37" t="n">
        <f>50089027685</f>
        <v>5.0089027685E10</v>
      </c>
    </row>
    <row r="16" spans="1:15" ht="24.9" customHeight="1">
      <c r="A16" s="38"/>
      <c r="B16" s="61" t="s">
        <v>105</v>
      </c>
      <c r="C16" s="16" t="s">
        <v>15</v>
      </c>
      <c r="D16" s="17" t="n">
        <f>7598</f>
        <v>7598.0</v>
      </c>
      <c r="E16" s="35" t="n">
        <f>440</f>
        <v>440.0</v>
      </c>
      <c r="F16" s="17" t="n">
        <f>4579</f>
        <v>4579.0</v>
      </c>
      <c r="G16" s="35" t="n">
        <f>220</f>
        <v>220.0</v>
      </c>
      <c r="H16" s="17" t="n">
        <f>12177</f>
        <v>12177.0</v>
      </c>
      <c r="I16" s="35" t="n">
        <f>660</f>
        <v>660.0</v>
      </c>
      <c r="J16" s="17" t="n">
        <f>425616320</f>
        <v>4.2561632E8</v>
      </c>
      <c r="K16" s="35" t="n">
        <f>22962520</f>
        <v>2.296252E7</v>
      </c>
      <c r="L16" s="17" t="n">
        <f>598740140</f>
        <v>5.9874014E8</v>
      </c>
      <c r="M16" s="35" t="n">
        <f>29998940</f>
        <v>2.999894E7</v>
      </c>
      <c r="N16" s="17" t="n">
        <f>1024356460</f>
        <v>1.02435646E9</v>
      </c>
      <c r="O16" s="35" t="n">
        <f>52961460</f>
        <v>5.296146E7</v>
      </c>
    </row>
    <row r="17" spans="1:15" ht="24.9" customHeight="1">
      <c r="A17" s="38"/>
      <c r="B17" s="62"/>
      <c r="C17" s="20" t="s">
        <v>16</v>
      </c>
      <c r="D17" s="21" t="n">
        <f>8081</f>
        <v>8081.0</v>
      </c>
      <c r="E17" s="36" t="n">
        <f>200</f>
        <v>200.0</v>
      </c>
      <c r="F17" s="21" t="n">
        <f>4080</f>
        <v>4080.0</v>
      </c>
      <c r="G17" s="36" t="n">
        <f>20</f>
        <v>20.0</v>
      </c>
      <c r="H17" s="21" t="n">
        <f>12161</f>
        <v>12161.0</v>
      </c>
      <c r="I17" s="36" t="n">
        <f>220</f>
        <v>220.0</v>
      </c>
      <c r="J17" s="21" t="n">
        <f>340223720</f>
        <v>3.4022372E8</v>
      </c>
      <c r="K17" s="36" t="n">
        <f>6003120</f>
        <v>6003120.0</v>
      </c>
      <c r="L17" s="21" t="n">
        <f>284522410</f>
        <v>2.8452241E8</v>
      </c>
      <c r="M17" s="36" t="n">
        <f>1394310</f>
        <v>1394310.0</v>
      </c>
      <c r="N17" s="21" t="n">
        <f>624746130</f>
        <v>6.2474613E8</v>
      </c>
      <c r="O17" s="36" t="n">
        <f>7397430</f>
        <v>7397430.0</v>
      </c>
    </row>
    <row r="18" spans="1:15" ht="24.9" customHeight="1">
      <c r="A18" s="38"/>
      <c r="B18" s="62"/>
      <c r="C18" s="20" t="s">
        <v>17</v>
      </c>
      <c r="D18" s="21" t="n">
        <f>7711</f>
        <v>7711.0</v>
      </c>
      <c r="E18" s="36" t="n">
        <f>380</f>
        <v>380.0</v>
      </c>
      <c r="F18" s="21" t="n">
        <f>7307</f>
        <v>7307.0</v>
      </c>
      <c r="G18" s="36" t="n">
        <f>480</f>
        <v>480.0</v>
      </c>
      <c r="H18" s="21" t="n">
        <f>15018</f>
        <v>15018.0</v>
      </c>
      <c r="I18" s="36" t="n">
        <f>860</f>
        <v>860.0</v>
      </c>
      <c r="J18" s="21" t="n">
        <f>544405060</f>
        <v>5.4440506E8</v>
      </c>
      <c r="K18" s="36" t="n">
        <f>16224860</f>
        <v>1.622486E7</v>
      </c>
      <c r="L18" s="21" t="n">
        <f>464561260</f>
        <v>4.6456126E8</v>
      </c>
      <c r="M18" s="36" t="n">
        <f>24003560</f>
        <v>2.400356E7</v>
      </c>
      <c r="N18" s="21" t="n">
        <f>1008966320</f>
        <v>1.00896632E9</v>
      </c>
      <c r="O18" s="36" t="n">
        <f>40228420</f>
        <v>4.022842E7</v>
      </c>
    </row>
    <row r="19" spans="1:15" ht="24.9" customHeight="1">
      <c r="A19" s="38"/>
      <c r="B19" s="62"/>
      <c r="C19" s="24" t="s">
        <v>18</v>
      </c>
      <c r="D19" s="25" t="n">
        <f>23390</f>
        <v>23390.0</v>
      </c>
      <c r="E19" s="37" t="n">
        <f>1020</f>
        <v>1020.0</v>
      </c>
      <c r="F19" s="25" t="n">
        <f>15966</f>
        <v>15966.0</v>
      </c>
      <c r="G19" s="37" t="n">
        <f>720</f>
        <v>720.0</v>
      </c>
      <c r="H19" s="25" t="n">
        <f>39356</f>
        <v>39356.0</v>
      </c>
      <c r="I19" s="37" t="n">
        <f>1740</f>
        <v>1740.0</v>
      </c>
      <c r="J19" s="25" t="n">
        <f>1310245100</f>
        <v>1.3102451E9</v>
      </c>
      <c r="K19" s="37" t="n">
        <f>45190500</f>
        <v>4.51905E7</v>
      </c>
      <c r="L19" s="25" t="n">
        <f>1347823810</f>
        <v>1.34782381E9</v>
      </c>
      <c r="M19" s="37" t="n">
        <f>55396810</f>
        <v>5.539681E7</v>
      </c>
      <c r="N19" s="25" t="n">
        <f>2658068910</f>
        <v>2.65806891E9</v>
      </c>
      <c r="O19" s="37" t="n">
        <f>100587310</f>
        <v>1.0058731E8</v>
      </c>
    </row>
    <row r="20" spans="1:15" ht="24.9" customHeight="1">
      <c r="A20" s="38"/>
      <c r="B20" s="61" t="s">
        <v>106</v>
      </c>
      <c r="C20" s="16" t="s">
        <v>15</v>
      </c>
      <c r="D20" s="17" t="n">
        <f>24</f>
        <v>24.0</v>
      </c>
      <c r="E20" s="35" t="n">
        <f>24</f>
        <v>24.0</v>
      </c>
      <c r="F20" s="17" t="n">
        <f>0</f>
        <v>0.0</v>
      </c>
      <c r="G20" s="35" t="n">
        <f>0</f>
        <v>0.0</v>
      </c>
      <c r="H20" s="17" t="n">
        <f>24</f>
        <v>24.0</v>
      </c>
      <c r="I20" s="35" t="n">
        <f>24</f>
        <v>24.0</v>
      </c>
      <c r="J20" s="17" t="n">
        <f>22131600</f>
        <v>2.21316E7</v>
      </c>
      <c r="K20" s="35" t="n">
        <f>22131600</f>
        <v>2.21316E7</v>
      </c>
      <c r="L20" s="17" t="n">
        <f>0</f>
        <v>0.0</v>
      </c>
      <c r="M20" s="35" t="n">
        <f>0</f>
        <v>0.0</v>
      </c>
      <c r="N20" s="17" t="n">
        <f>22131600</f>
        <v>2.21316E7</v>
      </c>
      <c r="O20" s="35" t="n">
        <f>22131600</f>
        <v>2.21316E7</v>
      </c>
    </row>
    <row r="21" spans="1:15" ht="24.9" customHeight="1">
      <c r="A21" s="38"/>
      <c r="B21" s="62"/>
      <c r="C21" s="20" t="s">
        <v>16</v>
      </c>
      <c r="D21" s="21" t="n">
        <f>50</f>
        <v>50.0</v>
      </c>
      <c r="E21" s="36" t="n">
        <f>50</f>
        <v>50.0</v>
      </c>
      <c r="F21" s="21" t="n">
        <f>50</f>
        <v>50.0</v>
      </c>
      <c r="G21" s="36" t="n">
        <f>50</f>
        <v>50.0</v>
      </c>
      <c r="H21" s="21" t="n">
        <f>100</f>
        <v>100.0</v>
      </c>
      <c r="I21" s="36" t="n">
        <f>100</f>
        <v>100.0</v>
      </c>
      <c r="J21" s="21" t="n">
        <f>126000000</f>
        <v>1.26E8</v>
      </c>
      <c r="K21" s="36" t="n">
        <f>126000000</f>
        <v>1.26E8</v>
      </c>
      <c r="L21" s="21" t="n">
        <f>135000000</f>
        <v>1.35E8</v>
      </c>
      <c r="M21" s="36" t="n">
        <f>135000000</f>
        <v>1.35E8</v>
      </c>
      <c r="N21" s="21" t="n">
        <f>261000000</f>
        <v>2.61E8</v>
      </c>
      <c r="O21" s="36" t="n">
        <f>261000000</f>
        <v>2.61E8</v>
      </c>
    </row>
    <row r="22" spans="1:15" ht="24.9" customHeight="1">
      <c r="A22" s="38"/>
      <c r="B22" s="62"/>
      <c r="C22" s="20" t="s">
        <v>17</v>
      </c>
      <c r="D22" s="21" t="n">
        <f>21</f>
        <v>21.0</v>
      </c>
      <c r="E22" s="36" t="n">
        <f>21</f>
        <v>21.0</v>
      </c>
      <c r="F22" s="21" t="n">
        <f>0</f>
        <v>0.0</v>
      </c>
      <c r="G22" s="36" t="n">
        <f>0</f>
        <v>0.0</v>
      </c>
      <c r="H22" s="21" t="n">
        <f>21</f>
        <v>21.0</v>
      </c>
      <c r="I22" s="36" t="n">
        <f>21</f>
        <v>21.0</v>
      </c>
      <c r="J22" s="21" t="n">
        <f>24780000</f>
        <v>2.478E7</v>
      </c>
      <c r="K22" s="36" t="n">
        <f>24780000</f>
        <v>2.478E7</v>
      </c>
      <c r="L22" s="21" t="n">
        <f>0</f>
        <v>0.0</v>
      </c>
      <c r="M22" s="36" t="n">
        <f>0</f>
        <v>0.0</v>
      </c>
      <c r="N22" s="21" t="n">
        <f>24780000</f>
        <v>2.478E7</v>
      </c>
      <c r="O22" s="36" t="n">
        <f>24780000</f>
        <v>2.478E7</v>
      </c>
    </row>
    <row r="23" spans="1:15" ht="24.9" customHeight="1">
      <c r="A23" s="38"/>
      <c r="B23" s="62"/>
      <c r="C23" s="24" t="s">
        <v>18</v>
      </c>
      <c r="D23" s="25" t="n">
        <f>95</f>
        <v>95.0</v>
      </c>
      <c r="E23" s="37" t="n">
        <f>95</f>
        <v>95.0</v>
      </c>
      <c r="F23" s="25" t="n">
        <f>50</f>
        <v>50.0</v>
      </c>
      <c r="G23" s="37" t="n">
        <f>50</f>
        <v>50.0</v>
      </c>
      <c r="H23" s="25" t="n">
        <f>145</f>
        <v>145.0</v>
      </c>
      <c r="I23" s="37" t="n">
        <f>145</f>
        <v>145.0</v>
      </c>
      <c r="J23" s="25" t="n">
        <f>172911600</f>
        <v>1.729116E8</v>
      </c>
      <c r="K23" s="37" t="n">
        <f>172911600</f>
        <v>1.729116E8</v>
      </c>
      <c r="L23" s="25" t="n">
        <f>135000000</f>
        <v>1.35E8</v>
      </c>
      <c r="M23" s="37" t="n">
        <f>135000000</f>
        <v>1.35E8</v>
      </c>
      <c r="N23" s="25" t="n">
        <f>307911600</f>
        <v>3.079116E8</v>
      </c>
      <c r="O23" s="37" t="n">
        <f>307911600</f>
        <v>3.079116E8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3</f>
        <v>3.0</v>
      </c>
      <c r="E37" s="22" t="n">
        <f>0</f>
        <v>0.0</v>
      </c>
      <c r="F37" s="21" t="n">
        <f>35</f>
        <v>35.0</v>
      </c>
      <c r="G37" s="22" t="n">
        <f>0</f>
        <v>0.0</v>
      </c>
      <c r="H37" s="21" t="n">
        <f>38</f>
        <v>38.0</v>
      </c>
      <c r="I37" s="22" t="n">
        <f>0</f>
        <v>0.0</v>
      </c>
      <c r="J37" s="21" t="n">
        <f>970000</f>
        <v>970000.0</v>
      </c>
      <c r="K37" s="22" t="n">
        <f>0</f>
        <v>0.0</v>
      </c>
      <c r="L37" s="21" t="n">
        <f>6500000</f>
        <v>6500000.0</v>
      </c>
      <c r="M37" s="22" t="n">
        <f>0</f>
        <v>0.0</v>
      </c>
      <c r="N37" s="21" t="n">
        <f>7470000</f>
        <v>7470000.0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32</f>
        <v>32.0</v>
      </c>
      <c r="E38" s="36" t="n">
        <f>25</f>
        <v>25.0</v>
      </c>
      <c r="F38" s="21" t="n">
        <f>79</f>
        <v>79.0</v>
      </c>
      <c r="G38" s="36" t="n">
        <f>25</f>
        <v>25.0</v>
      </c>
      <c r="H38" s="21" t="n">
        <f>111</f>
        <v>111.0</v>
      </c>
      <c r="I38" s="36" t="n">
        <f>50</f>
        <v>50.0</v>
      </c>
      <c r="J38" s="21" t="n">
        <f>15627500</f>
        <v>1.56275E7</v>
      </c>
      <c r="K38" s="36" t="n">
        <f>15187500</f>
        <v>1.51875E7</v>
      </c>
      <c r="L38" s="21" t="n">
        <f>24587500</f>
        <v>2.45875E7</v>
      </c>
      <c r="M38" s="36" t="n">
        <f>15187500</f>
        <v>1.51875E7</v>
      </c>
      <c r="N38" s="21" t="n">
        <f>40215000</f>
        <v>4.0215E7</v>
      </c>
      <c r="O38" s="36" t="n">
        <f>30375000</f>
        <v>3.0375E7</v>
      </c>
    </row>
    <row r="39" spans="1:15" ht="24.9" customHeight="1">
      <c r="A39" s="38"/>
      <c r="B39" s="62"/>
      <c r="C39" s="24" t="s">
        <v>18</v>
      </c>
      <c r="D39" s="25" t="n">
        <f>35</f>
        <v>35.0</v>
      </c>
      <c r="E39" s="37" t="n">
        <f>25</f>
        <v>25.0</v>
      </c>
      <c r="F39" s="25" t="n">
        <f>114</f>
        <v>114.0</v>
      </c>
      <c r="G39" s="37" t="n">
        <f>25</f>
        <v>25.0</v>
      </c>
      <c r="H39" s="25" t="n">
        <f>149</f>
        <v>149.0</v>
      </c>
      <c r="I39" s="37" t="n">
        <f>50</f>
        <v>50.0</v>
      </c>
      <c r="J39" s="25" t="n">
        <f>16597500</f>
        <v>1.65975E7</v>
      </c>
      <c r="K39" s="37" t="n">
        <f>15187500</f>
        <v>1.51875E7</v>
      </c>
      <c r="L39" s="25" t="n">
        <f>31087500</f>
        <v>3.10875E7</v>
      </c>
      <c r="M39" s="37" t="n">
        <f>15187500</f>
        <v>1.51875E7</v>
      </c>
      <c r="N39" s="25" t="n">
        <f>47685000</f>
        <v>4.7685E7</v>
      </c>
      <c r="O39" s="37" t="n">
        <f>30375000</f>
        <v>3.0375E7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5941</f>
        <v>5941.0</v>
      </c>
      <c r="E41" s="36" t="n">
        <f>0</f>
        <v>0.0</v>
      </c>
      <c r="F41" s="21" t="n">
        <f>9171</f>
        <v>9171.0</v>
      </c>
      <c r="G41" s="36" t="n">
        <f>0</f>
        <v>0.0</v>
      </c>
      <c r="H41" s="21" t="n">
        <f>15112</f>
        <v>15112.0</v>
      </c>
      <c r="I41" s="36" t="n">
        <f>0</f>
        <v>0.0</v>
      </c>
      <c r="J41" s="21" t="n">
        <f>37349590</f>
        <v>3.734959E7</v>
      </c>
      <c r="K41" s="36" t="n">
        <f>0</f>
        <v>0.0</v>
      </c>
      <c r="L41" s="21" t="n">
        <f>19656470</f>
        <v>1.965647E7</v>
      </c>
      <c r="M41" s="36" t="n">
        <f>0</f>
        <v>0.0</v>
      </c>
      <c r="N41" s="21" t="n">
        <f>57006060</f>
        <v>5.700606E7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1625</f>
        <v>1625.0</v>
      </c>
      <c r="E42" s="36" t="n">
        <f>0</f>
        <v>0.0</v>
      </c>
      <c r="F42" s="21" t="n">
        <f>10636</f>
        <v>10636.0</v>
      </c>
      <c r="G42" s="36" t="n">
        <f>200</f>
        <v>200.0</v>
      </c>
      <c r="H42" s="21" t="n">
        <f>12261</f>
        <v>12261.0</v>
      </c>
      <c r="I42" s="36" t="n">
        <f>200</f>
        <v>200.0</v>
      </c>
      <c r="J42" s="21" t="n">
        <f>41089044</f>
        <v>4.1089044E7</v>
      </c>
      <c r="K42" s="36" t="n">
        <f>0</f>
        <v>0.0</v>
      </c>
      <c r="L42" s="21" t="n">
        <f>66487384</f>
        <v>6.6487384E7</v>
      </c>
      <c r="M42" s="36" t="n">
        <f>3180000</f>
        <v>3180000.0</v>
      </c>
      <c r="N42" s="21" t="n">
        <f>107576428</f>
        <v>1.07576428E8</v>
      </c>
      <c r="O42" s="36" t="n">
        <f>3180000</f>
        <v>3180000.0</v>
      </c>
    </row>
    <row r="43" spans="1:15" ht="24.9" customHeight="1">
      <c r="A43" s="38"/>
      <c r="B43" s="62"/>
      <c r="C43" s="24" t="s">
        <v>18</v>
      </c>
      <c r="D43" s="25" t="n">
        <f>7566</f>
        <v>7566.0</v>
      </c>
      <c r="E43" s="37" t="n">
        <f>0</f>
        <v>0.0</v>
      </c>
      <c r="F43" s="25" t="n">
        <f>19807</f>
        <v>19807.0</v>
      </c>
      <c r="G43" s="37" t="n">
        <f>200</f>
        <v>200.0</v>
      </c>
      <c r="H43" s="25" t="n">
        <f>27373</f>
        <v>27373.0</v>
      </c>
      <c r="I43" s="37" t="n">
        <f>200</f>
        <v>200.0</v>
      </c>
      <c r="J43" s="25" t="n">
        <f>78438634</f>
        <v>7.8438634E7</v>
      </c>
      <c r="K43" s="37" t="n">
        <f>0</f>
        <v>0.0</v>
      </c>
      <c r="L43" s="25" t="n">
        <f>86143854</f>
        <v>8.6143854E7</v>
      </c>
      <c r="M43" s="37" t="n">
        <f>3180000</f>
        <v>3180000.0</v>
      </c>
      <c r="N43" s="25" t="n">
        <f>164582488</f>
        <v>1.64582488E8</v>
      </c>
      <c r="O43" s="37" t="n">
        <f>3180000</f>
        <v>3180000.0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