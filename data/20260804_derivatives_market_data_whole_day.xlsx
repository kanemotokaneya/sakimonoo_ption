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<sst xmlns="http://schemas.openxmlformats.org/spreadsheetml/2006/main" count="528" uniqueCount="129">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</sst>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DATE(2026,08,04)</f>
        <v>46238.0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DATE(2026,08,04)</f>
        <v>46238.0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802531.0</f>
        <v>802531.0</v>
      </c>
      <c r="E12" s="18" t="n">
        <f>34562.0</f>
        <v>34562.0</v>
      </c>
      <c r="F12" s="19" t="n">
        <f>1.0</f>
        <v>1.0</v>
      </c>
      <c r="G12" s="17" t="n">
        <f>5313558420819.0</f>
        <v>5.313558420819E12</v>
      </c>
      <c r="H12" s="18" t="n">
        <f>340786683119.0</f>
        <v>3.40786683119E11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531509.0</f>
        <v>531509.0</v>
      </c>
      <c r="E13" s="22" t="n">
        <f>22745.0</f>
        <v>22745.0</v>
      </c>
      <c r="F13" s="23" t="n">
        <f>1.0</f>
        <v>1.0</v>
      </c>
      <c r="G13" s="21" t="n">
        <f>5111124370365.0</f>
        <v>5.111124370365E12</v>
      </c>
      <c r="H13" s="22" t="n">
        <f>312498234890.0</f>
        <v>3.1249823489E11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493672.0</f>
        <v>493672.0</v>
      </c>
      <c r="E14" s="22" t="n">
        <f>38518.0</f>
        <v>38518.0</v>
      </c>
      <c r="F14" s="23" t="n">
        <f>1.0</f>
        <v>1.0</v>
      </c>
      <c r="G14" s="21" t="n">
        <f>6998529375950.0</f>
        <v>6.99852937595E12</v>
      </c>
      <c r="H14" s="22" t="n">
        <f>961822860550.0</f>
        <v>9.6182286055E11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1827712.0</f>
        <v>1827712.0</v>
      </c>
      <c r="E15" s="26" t="n">
        <f>95825.0</f>
        <v>95825.0</v>
      </c>
      <c r="F15" s="27" t="n">
        <f>1.0</f>
        <v>1.0</v>
      </c>
      <c r="G15" s="25" t="n">
        <f>17423212167134.0</f>
        <v>1.7423212167134E13</v>
      </c>
      <c r="H15" s="26" t="n">
        <f>1615107778559.0</f>
        <v>1.615107778559E12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13748.0</f>
        <v>13748.0</v>
      </c>
      <c r="E16" s="18" t="n">
        <f>491.0</f>
        <v>491.0</v>
      </c>
      <c r="F16" s="19" t="n">
        <f>0.017</f>
        <v>0.017</v>
      </c>
      <c r="G16" s="17" t="n">
        <f>1298722063750.0</f>
        <v>1.29872206375E12</v>
      </c>
      <c r="H16" s="18" t="n">
        <f>62219535000.0</f>
        <v>6.2219535E10</v>
      </c>
      <c r="I16" s="19" t="n">
        <f>0.244</f>
        <v>0.244</v>
      </c>
    </row>
    <row r="17" spans="1:9" ht="24.9" customHeight="1">
      <c r="A17" s="41"/>
      <c r="B17" s="39"/>
      <c r="C17" s="20" t="s">
        <v>16</v>
      </c>
      <c r="D17" s="21" t="n">
        <f>16637.0</f>
        <v>16637.0</v>
      </c>
      <c r="E17" s="22" t="n">
        <f>647.0</f>
        <v>647.0</v>
      </c>
      <c r="F17" s="23" t="n">
        <f>0.031</f>
        <v>0.031</v>
      </c>
      <c r="G17" s="21" t="n">
        <f>1868557058125.0</f>
        <v>1.868557058125E12</v>
      </c>
      <c r="H17" s="22" t="n">
        <f>82119780000.0</f>
        <v>8.211978E10</v>
      </c>
      <c r="I17" s="23" t="n">
        <f>0.366</f>
        <v>0.366</v>
      </c>
    </row>
    <row r="18" spans="1:9" ht="24.9" customHeight="1">
      <c r="A18" s="41"/>
      <c r="B18" s="39"/>
      <c r="C18" s="20" t="s">
        <v>17</v>
      </c>
      <c r="D18" s="21" t="n">
        <f>26085.0</f>
        <v>26085.0</v>
      </c>
      <c r="E18" s="22" t="n">
        <f>2098.0</f>
        <v>2098.0</v>
      </c>
      <c r="F18" s="23" t="n">
        <f>0.053</f>
        <v>0.053</v>
      </c>
      <c r="G18" s="21" t="n">
        <f>3195665015250.0</f>
        <v>3.19566501525E12</v>
      </c>
      <c r="H18" s="22" t="n">
        <f>265906285000.0</f>
        <v>2.65906285E11</v>
      </c>
      <c r="I18" s="23" t="n">
        <f>0.457</f>
        <v>0.457</v>
      </c>
    </row>
    <row r="19" spans="1:9" ht="24.9" customHeight="1">
      <c r="A19" s="41"/>
      <c r="B19" s="39"/>
      <c r="C19" s="24" t="s">
        <v>18</v>
      </c>
      <c r="D19" s="25" t="n">
        <f>56470.0</f>
        <v>56470.0</v>
      </c>
      <c r="E19" s="26" t="n">
        <f>3236.0</f>
        <v>3236.0</v>
      </c>
      <c r="F19" s="27" t="n">
        <f>0.031</f>
        <v>0.031</v>
      </c>
      <c r="G19" s="25" t="n">
        <f>6362944137125.0</f>
        <v>6.362944137125E12</v>
      </c>
      <c r="H19" s="26" t="n">
        <f>410245600000.0</f>
        <v>4.102456E11</v>
      </c>
      <c r="I19" s="27" t="n">
        <f>0.365</f>
        <v>0.365</v>
      </c>
    </row>
    <row r="20" spans="1:9" ht="24.9" customHeight="1">
      <c r="A20" s="41"/>
      <c r="B20" s="39" t="s">
        <v>21</v>
      </c>
      <c r="C20" s="16" t="s">
        <v>15</v>
      </c>
      <c r="D20" s="17" t="n">
        <f>779267.0</f>
        <v>779267.0</v>
      </c>
      <c r="E20" s="18" t="n">
        <f>34071.0</f>
        <v>34071.0</v>
      </c>
      <c r="F20" s="19" t="n">
        <f>0.971</f>
        <v>0.971</v>
      </c>
      <c r="G20" s="17" t="n">
        <f>3928286285869.0</f>
        <v>3.928286285869E12</v>
      </c>
      <c r="H20" s="18" t="n">
        <f>278567148119.0</f>
        <v>2.78567148119E11</v>
      </c>
      <c r="I20" s="19" t="n">
        <f>0.739</f>
        <v>0.739</v>
      </c>
    </row>
    <row r="21" spans="1:9" ht="24.9" customHeight="1">
      <c r="A21" s="41"/>
      <c r="B21" s="39"/>
      <c r="C21" s="20" t="s">
        <v>16</v>
      </c>
      <c r="D21" s="21" t="n">
        <f>509813.0</f>
        <v>509813.0</v>
      </c>
      <c r="E21" s="22" t="n">
        <f>22098.0</f>
        <v>22098.0</v>
      </c>
      <c r="F21" s="23" t="n">
        <f>0.959</f>
        <v>0.959</v>
      </c>
      <c r="G21" s="21" t="n">
        <f>3197856900890.0</f>
        <v>3.19785690089E12</v>
      </c>
      <c r="H21" s="22" t="n">
        <f>230378454890.0</f>
        <v>2.3037845489E11</v>
      </c>
      <c r="I21" s="23" t="n">
        <f>0.626</f>
        <v>0.626</v>
      </c>
    </row>
    <row r="22" spans="1:9" ht="24.9" customHeight="1">
      <c r="A22" s="41"/>
      <c r="B22" s="39"/>
      <c r="C22" s="20" t="s">
        <v>17</v>
      </c>
      <c r="D22" s="21" t="n">
        <f>460331.0</f>
        <v>460331.0</v>
      </c>
      <c r="E22" s="22" t="n">
        <f>36391.0</f>
        <v>36391.0</v>
      </c>
      <c r="F22" s="23" t="n">
        <f>0.932</f>
        <v>0.932</v>
      </c>
      <c r="G22" s="21" t="n">
        <f>3752607314620.0</f>
        <v>3.75260731462E12</v>
      </c>
      <c r="H22" s="22" t="n">
        <f>695764997270.0</f>
        <v>6.9576499727E11</v>
      </c>
      <c r="I22" s="23" t="n">
        <f>0.536</f>
        <v>0.536</v>
      </c>
    </row>
    <row r="23" spans="1:9" ht="24.9" customHeight="1">
      <c r="A23" s="41"/>
      <c r="B23" s="39"/>
      <c r="C23" s="24" t="s">
        <v>18</v>
      </c>
      <c r="D23" s="25" t="n">
        <f>1749411.0</f>
        <v>1749411.0</v>
      </c>
      <c r="E23" s="26" t="n">
        <f>92560.0</f>
        <v>92560.0</v>
      </c>
      <c r="F23" s="27" t="n">
        <f>0.957</f>
        <v>0.957</v>
      </c>
      <c r="G23" s="25" t="n">
        <f>10878750501379.0</f>
        <v>1.0878750501379E13</v>
      </c>
      <c r="H23" s="26" t="n">
        <f>1204710600279.0</f>
        <v>1.204710600279E12</v>
      </c>
      <c r="I23" s="27" t="n">
        <f>0.624</f>
        <v>0.624</v>
      </c>
    </row>
    <row r="24" spans="1:9" ht="24.9" customHeight="1">
      <c r="A24" s="41"/>
      <c r="B24" s="39" t="s">
        <v>22</v>
      </c>
      <c r="C24" s="16" t="s">
        <v>15</v>
      </c>
      <c r="D24" s="17" t="n">
        <f>9207.0</f>
        <v>9207.0</v>
      </c>
      <c r="E24" s="18" t="n">
        <f>0.0</f>
        <v>0.0</v>
      </c>
      <c r="F24" s="19" t="n">
        <f>0.011</f>
        <v>0.011</v>
      </c>
      <c r="G24" s="17" t="n">
        <f>85451317200.0</f>
        <v>8.54513172E10</v>
      </c>
      <c r="H24" s="18" t="n">
        <f>0.0</f>
        <v>0.0</v>
      </c>
      <c r="I24" s="19" t="n">
        <f>0.016</f>
        <v>0.016</v>
      </c>
    </row>
    <row r="25" spans="1:9" ht="24.9" customHeight="1">
      <c r="A25" s="41"/>
      <c r="B25" s="39"/>
      <c r="C25" s="20" t="s">
        <v>16</v>
      </c>
      <c r="D25" s="21" t="n">
        <f>4660.0</f>
        <v>4660.0</v>
      </c>
      <c r="E25" s="22" t="n">
        <f>0.0</f>
        <v>0.0</v>
      </c>
      <c r="F25" s="23" t="n">
        <f>0.009</f>
        <v>0.009</v>
      </c>
      <c r="G25" s="21" t="n">
        <f>43286306850.0</f>
        <v>4.328630685E10</v>
      </c>
      <c r="H25" s="22" t="n">
        <f>0.0</f>
        <v>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5655.0</f>
        <v>5655.0</v>
      </c>
      <c r="E26" s="22" t="n">
        <f>14.0</f>
        <v>14.0</v>
      </c>
      <c r="F26" s="23" t="n">
        <f>0.011</f>
        <v>0.011</v>
      </c>
      <c r="G26" s="21" t="n">
        <f>44538192300.0</f>
        <v>4.45381923E10</v>
      </c>
      <c r="H26" s="22" t="n">
        <f>143410000.0</f>
        <v>1.4341E8</v>
      </c>
      <c r="I26" s="23" t="n">
        <f>0.006</f>
        <v>0.006</v>
      </c>
    </row>
    <row r="27" spans="1:9" ht="24.9" customHeight="1">
      <c r="A27" s="42"/>
      <c r="B27" s="39"/>
      <c r="C27" s="24" t="s">
        <v>18</v>
      </c>
      <c r="D27" s="25" t="n">
        <f>19522.0</f>
        <v>19522.0</v>
      </c>
      <c r="E27" s="26" t="n">
        <f>14.0</f>
        <v>14.0</v>
      </c>
      <c r="F27" s="27" t="n">
        <f>0.011</f>
        <v>0.011</v>
      </c>
      <c r="G27" s="25" t="n">
        <f>173275816350.0</f>
        <v>1.7327581635E11</v>
      </c>
      <c r="H27" s="26" t="n">
        <f>143410000.0</f>
        <v>1.4341E8</v>
      </c>
      <c r="I27" s="27" t="n">
        <f>0.01</f>
        <v>0.01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309.0</f>
        <v>309.0</v>
      </c>
      <c r="E28" s="18" t="n">
        <f>0.0</f>
        <v>0.0</v>
      </c>
      <c r="F28" s="19" t="n">
        <f>0.0</f>
        <v>0.0</v>
      </c>
      <c r="G28" s="17" t="n">
        <f>1098754000.0</f>
        <v>1.098754E9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399.0</f>
        <v>399.0</v>
      </c>
      <c r="E29" s="22" t="n">
        <f>0.0</f>
        <v>0.0</v>
      </c>
      <c r="F29" s="23" t="n">
        <f>0.001</f>
        <v>0.001</v>
      </c>
      <c r="G29" s="21" t="n">
        <f>1424104500.0</f>
        <v>1.4241045E9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1601.0</f>
        <v>1601.0</v>
      </c>
      <c r="E30" s="22" t="n">
        <f>15.0</f>
        <v>15.0</v>
      </c>
      <c r="F30" s="23" t="n">
        <f>0.003</f>
        <v>0.003</v>
      </c>
      <c r="G30" s="21" t="n">
        <f>5718853780.0</f>
        <v>5.71885378E9</v>
      </c>
      <c r="H30" s="22" t="n">
        <f>8168280.0</f>
        <v>8168280.0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2309.0</f>
        <v>2309.0</v>
      </c>
      <c r="E31" s="26" t="n">
        <f>15.0</f>
        <v>15.0</v>
      </c>
      <c r="F31" s="27" t="n">
        <f>0.001</f>
        <v>0.001</v>
      </c>
      <c r="G31" s="25" t="n">
        <f>8241712280.0</f>
        <v>8.24171228E9</v>
      </c>
      <c r="H31" s="26" t="n">
        <f>8168280.0</f>
        <v>8168280.0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46238.0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46238.0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20314</f>
        <v>20314.0</v>
      </c>
      <c r="E11" s="18" t="n">
        <f>2415</f>
        <v>2415.0</v>
      </c>
      <c r="F11" s="19" t="n">
        <f>1</f>
        <v>1.0</v>
      </c>
      <c r="G11" s="17" t="n">
        <f>2771851470</f>
        <v>2.77185147E9</v>
      </c>
      <c r="H11" s="18" t="n">
        <f>1154035470</f>
        <v>1.15403547E9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36448</f>
        <v>36448.0</v>
      </c>
      <c r="E12" s="22" t="n">
        <f>5078</f>
        <v>5078.0</v>
      </c>
      <c r="F12" s="23" t="n">
        <f>1</f>
        <v>1.0</v>
      </c>
      <c r="G12" s="21" t="n">
        <f>5956397918</f>
        <v>5.956397918E9</v>
      </c>
      <c r="H12" s="22" t="n">
        <f>3814630640</f>
        <v>3.81463064E9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68682</f>
        <v>68682.0</v>
      </c>
      <c r="E13" s="22" t="n">
        <f>22082</f>
        <v>22082.0</v>
      </c>
      <c r="F13" s="23" t="n">
        <f>1</f>
        <v>1.0</v>
      </c>
      <c r="G13" s="21" t="n">
        <f>24047653365</f>
        <v>2.4047653365E10</v>
      </c>
      <c r="H13" s="22" t="n">
        <f>20454028860</f>
        <v>2.045402886E10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125444</f>
        <v>125444.0</v>
      </c>
      <c r="E14" s="26" t="n">
        <f>29575</f>
        <v>29575.0</v>
      </c>
      <c r="F14" s="27" t="n">
        <f>1</f>
        <v>1.0</v>
      </c>
      <c r="G14" s="25" t="n">
        <f>32775902753</f>
        <v>3.2775902753E10</v>
      </c>
      <c r="H14" s="26" t="n">
        <f>25422694970</f>
        <v>2.542269497E10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20</f>
        <v>20.0</v>
      </c>
      <c r="E15" s="18" t="n">
        <f>0</f>
        <v>0.0</v>
      </c>
      <c r="F15" s="19" t="n">
        <f>0.001</f>
        <v>0.001</v>
      </c>
      <c r="G15" s="17" t="n">
        <f>2400000</f>
        <v>2400000.0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16</f>
        <v>16.0</v>
      </c>
      <c r="E16" s="22" t="n">
        <f>0</f>
        <v>0.0</v>
      </c>
      <c r="F16" s="23" t="n">
        <f>0</f>
        <v>0.0</v>
      </c>
      <c r="G16" s="21" t="n">
        <f>2010000</f>
        <v>2010000.0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336</f>
        <v>336.0</v>
      </c>
      <c r="E17" s="22" t="n">
        <f>260</f>
        <v>260.0</v>
      </c>
      <c r="F17" s="23" t="n">
        <f>0.005</f>
        <v>0.005</v>
      </c>
      <c r="G17" s="21" t="n">
        <f>65350000</f>
        <v>6.535E7</v>
      </c>
      <c r="H17" s="22" t="n">
        <f>50400000</f>
        <v>5.04E7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372</f>
        <v>372.0</v>
      </c>
      <c r="E18" s="26" t="n">
        <f>260</f>
        <v>260.0</v>
      </c>
      <c r="F18" s="27" t="n">
        <f>0.003</f>
        <v>0.003</v>
      </c>
      <c r="G18" s="25" t="n">
        <f>69760000</f>
        <v>6.976E7</v>
      </c>
      <c r="H18" s="26" t="n">
        <f>50400000</f>
        <v>5.04E7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20294</f>
        <v>20294.0</v>
      </c>
      <c r="E19" s="18" t="n">
        <f>2415</f>
        <v>2415.0</v>
      </c>
      <c r="F19" s="19" t="n">
        <f>0.999</f>
        <v>0.999</v>
      </c>
      <c r="G19" s="17" t="n">
        <f>2769451470</f>
        <v>2.76945147E9</v>
      </c>
      <c r="H19" s="18" t="n">
        <f>1154035470</f>
        <v>1.15403547E9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21819</f>
        <v>21819.0</v>
      </c>
      <c r="E20" s="22" t="n">
        <f>5078</f>
        <v>5078.0</v>
      </c>
      <c r="F20" s="23" t="n">
        <f>0.599</f>
        <v>0.599</v>
      </c>
      <c r="G20" s="21" t="n">
        <f>5838253340</f>
        <v>5.83825334E9</v>
      </c>
      <c r="H20" s="22" t="n">
        <f>3814630640</f>
        <v>3.81463064E9</v>
      </c>
      <c r="I20" s="23" t="n">
        <f>0.98</f>
        <v>0.98</v>
      </c>
    </row>
    <row r="21" spans="1:9" ht="24.9" customHeight="1">
      <c r="A21" s="41"/>
      <c r="B21" s="39"/>
      <c r="C21" s="20" t="s">
        <v>17</v>
      </c>
      <c r="D21" s="21" t="n">
        <f>38755</f>
        <v>38755.0</v>
      </c>
      <c r="E21" s="22" t="n">
        <f>21518</f>
        <v>21518.0</v>
      </c>
      <c r="F21" s="23" t="n">
        <f>0.564</f>
        <v>0.564</v>
      </c>
      <c r="G21" s="21" t="n">
        <f>23813603860</f>
        <v>2.381360386E10</v>
      </c>
      <c r="H21" s="22" t="n">
        <f>20268673860</f>
        <v>2.026867386E10</v>
      </c>
      <c r="I21" s="23" t="n">
        <f>0.99</f>
        <v>0.99</v>
      </c>
    </row>
    <row r="22" spans="1:9" ht="24.9" customHeight="1">
      <c r="A22" s="41"/>
      <c r="B22" s="39"/>
      <c r="C22" s="24" t="s">
        <v>18</v>
      </c>
      <c r="D22" s="25" t="n">
        <f>80868</f>
        <v>80868.0</v>
      </c>
      <c r="E22" s="26" t="n">
        <f>29011</f>
        <v>29011.0</v>
      </c>
      <c r="F22" s="27" t="n">
        <f>0.645</f>
        <v>0.645</v>
      </c>
      <c r="G22" s="25" t="n">
        <f>32421308670</f>
        <v>3.242130867E10</v>
      </c>
      <c r="H22" s="26" t="n">
        <f>25237339970</f>
        <v>2.523733997E10</v>
      </c>
      <c r="I22" s="27" t="n">
        <f>0.989</f>
        <v>0.989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14613</f>
        <v>14613.0</v>
      </c>
      <c r="E24" s="22" t="n">
        <f>0</f>
        <v>0.0</v>
      </c>
      <c r="F24" s="23" t="n">
        <f>0.401</f>
        <v>0.401</v>
      </c>
      <c r="G24" s="21" t="n">
        <f>116134578</f>
        <v>1.16134578E8</v>
      </c>
      <c r="H24" s="22" t="n">
        <f>0</f>
        <v>0.0</v>
      </c>
      <c r="I24" s="23" t="n">
        <f>0.019</f>
        <v>0.019</v>
      </c>
    </row>
    <row r="25" spans="1:9" ht="24.9" customHeight="1">
      <c r="A25" s="41"/>
      <c r="B25" s="39"/>
      <c r="C25" s="20" t="s">
        <v>17</v>
      </c>
      <c r="D25" s="21" t="n">
        <f>29591</f>
        <v>29591.0</v>
      </c>
      <c r="E25" s="22" t="n">
        <f>304</f>
        <v>304.0</v>
      </c>
      <c r="F25" s="23" t="n">
        <f>0.431</f>
        <v>0.431</v>
      </c>
      <c r="G25" s="21" t="n">
        <f>168699505</f>
        <v>1.68699505E8</v>
      </c>
      <c r="H25" s="22" t="n">
        <f>134955000</f>
        <v>1.34955E8</v>
      </c>
      <c r="I25" s="23" t="n">
        <f>0.007</f>
        <v>0.007</v>
      </c>
    </row>
    <row r="26" spans="1:9" ht="24.9" customHeight="1">
      <c r="A26" s="41"/>
      <c r="B26" s="39"/>
      <c r="C26" s="24" t="s">
        <v>18</v>
      </c>
      <c r="D26" s="25" t="n">
        <f>44204</f>
        <v>44204.0</v>
      </c>
      <c r="E26" s="26" t="n">
        <f>304</f>
        <v>304.0</v>
      </c>
      <c r="F26" s="27" t="n">
        <f>0.352</f>
        <v>0.352</v>
      </c>
      <c r="G26" s="25" t="n">
        <f>284834083</f>
        <v>2.84834083E8</v>
      </c>
      <c r="H26" s="26" t="n">
        <f>134955000</f>
        <v>1.34955E8</v>
      </c>
      <c r="I26" s="27" t="n">
        <f>0.009</f>
        <v>0.009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46238.0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46238.0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14739.0</v>
      </c>
      <c r="F12" s="18" t="n">
        <f>1097</f>
        <v>1097.0</v>
      </c>
      <c r="G12" s="17" t="n">
        <v>9.276182207E11</v>
      </c>
      <c r="H12" s="18" t="n">
        <f>69047780700</f>
        <v>6.90477807E10</v>
      </c>
    </row>
    <row r="13" spans="1:8" ht="24.9" customHeight="1">
      <c r="A13" s="51"/>
      <c r="B13" s="57"/>
      <c r="C13" s="39"/>
      <c r="D13" s="20" t="s">
        <v>16</v>
      </c>
      <c r="E13" s="21" t="n">
        <v>12332.0</v>
      </c>
      <c r="F13" s="22" t="n">
        <f>1454</f>
        <v>1454.0</v>
      </c>
      <c r="G13" s="21" t="n">
        <v>7.83493083E11</v>
      </c>
      <c r="H13" s="22" t="n">
        <f>92486058000</f>
        <v>9.2486058E10</v>
      </c>
    </row>
    <row r="14" spans="1:8" ht="24.9" customHeight="1">
      <c r="A14" s="51"/>
      <c r="B14" s="57"/>
      <c r="C14" s="39"/>
      <c r="D14" s="20" t="s">
        <v>17</v>
      </c>
      <c r="E14" s="21" t="n">
        <v>15996.0</v>
      </c>
      <c r="F14" s="22" t="n">
        <f>4466</f>
        <v>4466.0</v>
      </c>
      <c r="G14" s="21" t="n">
        <v>1.01827168639E12</v>
      </c>
      <c r="H14" s="22" t="n">
        <f>284024434390</f>
        <v>2.8402443439E11</v>
      </c>
    </row>
    <row r="15" spans="1:8" ht="24.9" customHeight="1">
      <c r="A15" s="51"/>
      <c r="B15" s="57"/>
      <c r="C15" s="39"/>
      <c r="D15" s="24" t="s">
        <v>18</v>
      </c>
      <c r="E15" s="25" t="n">
        <v>43067.0</v>
      </c>
      <c r="F15" s="26" t="n">
        <f>7017</f>
        <v>7017.0</v>
      </c>
      <c r="G15" s="25" t="n">
        <v>2.72938299009E12</v>
      </c>
      <c r="H15" s="26" t="n">
        <f>445558273090</f>
        <v>4.4555827309E11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289399.0</v>
      </c>
      <c r="F16" s="18" t="n">
        <f>32321</f>
        <v>32321.0</v>
      </c>
      <c r="G16" s="17" t="n">
        <v>1.821162523979E12</v>
      </c>
      <c r="H16" s="18" t="n">
        <f>203396068979</f>
        <v>2.03396068979E11</v>
      </c>
    </row>
    <row r="17" spans="1:8" ht="24.9" customHeight="1">
      <c r="A17" s="51"/>
      <c r="B17" s="57"/>
      <c r="C17" s="39"/>
      <c r="D17" s="20" t="s">
        <v>16</v>
      </c>
      <c r="E17" s="21" t="n">
        <v>199976.0</v>
      </c>
      <c r="F17" s="22" t="n">
        <f>20060</f>
        <v>20060.0</v>
      </c>
      <c r="G17" s="21" t="n">
        <v>1.27071118733E12</v>
      </c>
      <c r="H17" s="22" t="n">
        <f>127421259330</f>
        <v>1.2742125933E11</v>
      </c>
    </row>
    <row r="18" spans="1:8" ht="24.9" customHeight="1">
      <c r="A18" s="51"/>
      <c r="B18" s="57"/>
      <c r="C18" s="39"/>
      <c r="D18" s="20" t="s">
        <v>17</v>
      </c>
      <c r="E18" s="21" t="n">
        <v>189554.0</v>
      </c>
      <c r="F18" s="22" t="n">
        <f>25083</f>
        <v>25083.0</v>
      </c>
      <c r="G18" s="21" t="n">
        <v>1.20625454401E12</v>
      </c>
      <c r="H18" s="22" t="n">
        <f>159528297510</f>
        <v>1.5952829751E11</v>
      </c>
    </row>
    <row r="19" spans="1:8" ht="24.9" customHeight="1">
      <c r="A19" s="51"/>
      <c r="B19" s="57"/>
      <c r="C19" s="39"/>
      <c r="D19" s="24" t="s">
        <v>18</v>
      </c>
      <c r="E19" s="25" t="n">
        <v>678929.0</v>
      </c>
      <c r="F19" s="26" t="n">
        <f>77464</f>
        <v>77464.0</v>
      </c>
      <c r="G19" s="25" t="n">
        <v>4.298128255319E12</v>
      </c>
      <c r="H19" s="26" t="n">
        <f>490345625819</f>
        <v>4.90345625819E11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443417.0</v>
      </c>
      <c r="F20" s="18" t="str">
        <f>"－"</f>
        <v>－</v>
      </c>
      <c r="G20" s="17" t="n">
        <v>2.789879055E11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262583.0</v>
      </c>
      <c r="F21" s="22" t="str">
        <f>"－"</f>
        <v>－</v>
      </c>
      <c r="G21" s="21" t="n">
        <v>1.668292132E11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210277.0</v>
      </c>
      <c r="F22" s="22" t="str">
        <f>"－"</f>
        <v>－</v>
      </c>
      <c r="G22" s="21" t="n">
        <v>1.3376664975E11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916277.0</v>
      </c>
      <c r="F23" s="26" t="str">
        <f>"－"</f>
        <v>－</v>
      </c>
      <c r="G23" s="25" t="n">
        <v>5.7958376845E11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22157.0</v>
      </c>
      <c r="F24" s="18" t="n">
        <f>110</f>
        <v>110.0</v>
      </c>
      <c r="G24" s="17" t="n">
        <v>8.688109831E11</v>
      </c>
      <c r="H24" s="18" t="n">
        <f>4337373100</f>
        <v>4.3373731E9</v>
      </c>
    </row>
    <row r="25" spans="1:8" ht="24.9" customHeight="1">
      <c r="A25" s="51"/>
      <c r="B25" s="57"/>
      <c r="C25" s="39"/>
      <c r="D25" s="20" t="s">
        <v>16</v>
      </c>
      <c r="E25" s="21" t="n">
        <v>23740.0</v>
      </c>
      <c r="F25" s="22" t="n">
        <f>233</f>
        <v>233.0</v>
      </c>
      <c r="G25" s="21" t="n">
        <v>9.375856855E11</v>
      </c>
      <c r="H25" s="22" t="n">
        <f>9203385500</f>
        <v>9.2033855E9</v>
      </c>
    </row>
    <row r="26" spans="1:8" ht="24.9" customHeight="1">
      <c r="A26" s="51"/>
      <c r="B26" s="57"/>
      <c r="C26" s="39"/>
      <c r="D26" s="20" t="s">
        <v>17</v>
      </c>
      <c r="E26" s="21" t="n">
        <v>34354.0</v>
      </c>
      <c r="F26" s="22" t="n">
        <f>6328</f>
        <v>6328.0</v>
      </c>
      <c r="G26" s="21" t="n">
        <v>1.3592151437E12</v>
      </c>
      <c r="H26" s="22" t="n">
        <f>250883708700</f>
        <v>2.508837087E11</v>
      </c>
    </row>
    <row r="27" spans="1:8" ht="24.9" customHeight="1">
      <c r="A27" s="51"/>
      <c r="B27" s="57"/>
      <c r="C27" s="39"/>
      <c r="D27" s="24" t="s">
        <v>18</v>
      </c>
      <c r="E27" s="25" t="n">
        <v>80251.0</v>
      </c>
      <c r="F27" s="26" t="n">
        <f>6671</f>
        <v>6671.0</v>
      </c>
      <c r="G27" s="25" t="n">
        <v>3.1656118123E12</v>
      </c>
      <c r="H27" s="26" t="n">
        <f>264424467300</f>
        <v>2.644244673E11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5608.0</v>
      </c>
      <c r="F28" s="18" t="n">
        <f>360</f>
        <v>360.0</v>
      </c>
      <c r="G28" s="17" t="n">
        <v>2.199008545E10</v>
      </c>
      <c r="H28" s="18" t="n">
        <f>1410212700</f>
        <v>1.4102127E9</v>
      </c>
    </row>
    <row r="29" spans="1:8" ht="24.9" customHeight="1">
      <c r="A29" s="51"/>
      <c r="B29" s="57"/>
      <c r="C29" s="39"/>
      <c r="D29" s="20" t="s">
        <v>16</v>
      </c>
      <c r="E29" s="21" t="n">
        <v>8408.0</v>
      </c>
      <c r="F29" s="22" t="n">
        <f>310</f>
        <v>310.0</v>
      </c>
      <c r="G29" s="21" t="n">
        <v>3.321136445E10</v>
      </c>
      <c r="H29" s="22" t="n">
        <f>1224416950</f>
        <v>1.22441695E9</v>
      </c>
    </row>
    <row r="30" spans="1:8" ht="24.9" customHeight="1">
      <c r="A30" s="51"/>
      <c r="B30" s="57"/>
      <c r="C30" s="39"/>
      <c r="D30" s="20" t="s">
        <v>17</v>
      </c>
      <c r="E30" s="21" t="n">
        <v>7505.0</v>
      </c>
      <c r="F30" s="22" t="n">
        <f>142</f>
        <v>142.0</v>
      </c>
      <c r="G30" s="21" t="n">
        <v>2.968532115E10</v>
      </c>
      <c r="H30" s="22" t="n">
        <f>561478150</f>
        <v>5.6147815E8</v>
      </c>
    </row>
    <row r="31" spans="1:8" ht="24.9" customHeight="1">
      <c r="A31" s="51"/>
      <c r="B31" s="57"/>
      <c r="C31" s="39"/>
      <c r="D31" s="24" t="s">
        <v>18</v>
      </c>
      <c r="E31" s="25" t="n">
        <v>21521.0</v>
      </c>
      <c r="F31" s="26" t="n">
        <f>812</f>
        <v>812.0</v>
      </c>
      <c r="G31" s="25" t="n">
        <v>8.488677105E10</v>
      </c>
      <c r="H31" s="26" t="n">
        <f>3196107800</f>
        <v>3.1961078E9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1200.0</v>
      </c>
      <c r="F36" s="18" t="n">
        <f>2</f>
        <v>2.0</v>
      </c>
      <c r="G36" s="17" t="n">
        <v>4.2444465E9</v>
      </c>
      <c r="H36" s="18" t="n">
        <f>7077000</f>
        <v>7077000.0</v>
      </c>
    </row>
    <row r="37" spans="1:8" ht="24.9" customHeight="1">
      <c r="A37" s="51"/>
      <c r="B37" s="57"/>
      <c r="C37" s="39"/>
      <c r="D37" s="20" t="s">
        <v>16</v>
      </c>
      <c r="E37" s="21" t="n">
        <v>1253.0</v>
      </c>
      <c r="F37" s="22" t="n">
        <f>2</f>
        <v>2.0</v>
      </c>
      <c r="G37" s="21" t="n">
        <v>4.48167749E9</v>
      </c>
      <c r="H37" s="22" t="n">
        <f>7148490</f>
        <v>7148490.0</v>
      </c>
    </row>
    <row r="38" spans="1:8" ht="24.9" customHeight="1">
      <c r="A38" s="51"/>
      <c r="B38" s="57"/>
      <c r="C38" s="39"/>
      <c r="D38" s="20" t="s">
        <v>17</v>
      </c>
      <c r="E38" s="21" t="n">
        <v>919.0</v>
      </c>
      <c r="F38" s="22" t="n">
        <f>56</f>
        <v>56.0</v>
      </c>
      <c r="G38" s="21" t="n">
        <v>3.28726701E9</v>
      </c>
      <c r="H38" s="22" t="n">
        <f>200116510</f>
        <v>2.0011651E8</v>
      </c>
    </row>
    <row r="39" spans="1:8" ht="24.9" customHeight="1">
      <c r="A39" s="51"/>
      <c r="B39" s="57"/>
      <c r="C39" s="39"/>
      <c r="D39" s="24" t="s">
        <v>18</v>
      </c>
      <c r="E39" s="25" t="n">
        <v>3372.0</v>
      </c>
      <c r="F39" s="26" t="n">
        <f>60</f>
        <v>60.0</v>
      </c>
      <c r="G39" s="25" t="n">
        <v>1.2013391E10</v>
      </c>
      <c r="H39" s="26" t="n">
        <f>214342000</f>
        <v>2.14342E8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9.0</v>
      </c>
      <c r="F46" s="22" t="n">
        <f>9</f>
        <v>9.0</v>
      </c>
      <c r="G46" s="21" t="n">
        <v>6.45012E7</v>
      </c>
      <c r="H46" s="22" t="n">
        <f>64501200</f>
        <v>6.45012E7</v>
      </c>
    </row>
    <row r="47" spans="1:8" ht="24.9" customHeight="1">
      <c r="A47" s="51"/>
      <c r="B47" s="57"/>
      <c r="C47" s="39"/>
      <c r="D47" s="24" t="s">
        <v>18</v>
      </c>
      <c r="E47" s="25" t="n">
        <v>9.0</v>
      </c>
      <c r="F47" s="26" t="n">
        <f>9</f>
        <v>9.0</v>
      </c>
      <c r="G47" s="25" t="n">
        <v>6.45012E7</v>
      </c>
      <c r="H47" s="26" t="n">
        <f>64501200</f>
        <v>6.45012E7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145.0</v>
      </c>
      <c r="F48" s="18" t="n">
        <f>144</f>
        <v>144.0</v>
      </c>
      <c r="G48" s="17" t="n">
        <v>2.619755E8</v>
      </c>
      <c r="H48" s="18" t="n">
        <f>260156000</f>
        <v>2.60156E8</v>
      </c>
    </row>
    <row r="49" spans="1:8" ht="24.9" customHeight="1">
      <c r="A49" s="51"/>
      <c r="B49" s="57"/>
      <c r="C49" s="39"/>
      <c r="D49" s="20" t="s">
        <v>16</v>
      </c>
      <c r="E49" s="21" t="n">
        <v>69.0</v>
      </c>
      <c r="F49" s="22" t="n">
        <f>0</f>
        <v>0.0</v>
      </c>
      <c r="G49" s="21" t="n">
        <v>1.250275E8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316.0</v>
      </c>
      <c r="F50" s="22" t="n">
        <f>263</f>
        <v>263.0</v>
      </c>
      <c r="G50" s="21" t="n">
        <v>5.6686973E8</v>
      </c>
      <c r="H50" s="22" t="n">
        <f>471730230</f>
        <v>4.7173023E8</v>
      </c>
    </row>
    <row r="51" spans="1:8" ht="24.9" customHeight="1">
      <c r="A51" s="51"/>
      <c r="B51" s="57"/>
      <c r="C51" s="39"/>
      <c r="D51" s="24" t="s">
        <v>18</v>
      </c>
      <c r="E51" s="25" t="n">
        <v>530.0</v>
      </c>
      <c r="F51" s="26" t="n">
        <f>407</f>
        <v>407.0</v>
      </c>
      <c r="G51" s="25" t="n">
        <v>9.5387273E8</v>
      </c>
      <c r="H51" s="26" t="n">
        <f>731886230</f>
        <v>7.3188623E8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371.0</v>
      </c>
      <c r="F56" s="18" t="n">
        <f>19</f>
        <v>19.0</v>
      </c>
      <c r="G56" s="17" t="n">
        <v>2.499809E8</v>
      </c>
      <c r="H56" s="18" t="n">
        <f>12788900</f>
        <v>1.27889E7</v>
      </c>
    </row>
    <row r="57" spans="1:8" ht="24.9" customHeight="1">
      <c r="A57" s="51"/>
      <c r="B57" s="57"/>
      <c r="C57" s="39"/>
      <c r="D57" s="20" t="s">
        <v>16</v>
      </c>
      <c r="E57" s="21" t="n">
        <v>1294.0</v>
      </c>
      <c r="F57" s="22" t="n">
        <f>37</f>
        <v>37.0</v>
      </c>
      <c r="G57" s="21" t="n">
        <v>8.903192E8</v>
      </c>
      <c r="H57" s="22" t="n">
        <f>25502200</f>
        <v>2.55022E7</v>
      </c>
    </row>
    <row r="58" spans="1:8" ht="24.9" customHeight="1">
      <c r="A58" s="51"/>
      <c r="B58" s="57"/>
      <c r="C58" s="39"/>
      <c r="D58" s="20" t="s">
        <v>17</v>
      </c>
      <c r="E58" s="21" t="n">
        <v>904.0</v>
      </c>
      <c r="F58" s="22" t="n">
        <f>44</f>
        <v>44.0</v>
      </c>
      <c r="G58" s="21" t="n">
        <v>6.2902758E8</v>
      </c>
      <c r="H58" s="22" t="n">
        <f>30730580</f>
        <v>3.073058E7</v>
      </c>
    </row>
    <row r="59" spans="1:8" ht="24.9" customHeight="1">
      <c r="A59" s="51"/>
      <c r="B59" s="57"/>
      <c r="C59" s="39"/>
      <c r="D59" s="24" t="s">
        <v>18</v>
      </c>
      <c r="E59" s="25" t="n">
        <v>2569.0</v>
      </c>
      <c r="F59" s="26" t="n">
        <f>100</f>
        <v>100.0</v>
      </c>
      <c r="G59" s="25" t="n">
        <v>1.76932768E9</v>
      </c>
      <c r="H59" s="26" t="n">
        <f>69021680</f>
        <v>6.902168E7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283.0</v>
      </c>
      <c r="F60" s="18" t="n">
        <f>18</f>
        <v>18.0</v>
      </c>
      <c r="G60" s="17" t="n">
        <v>1.50546194E9</v>
      </c>
      <c r="H60" s="18" t="n">
        <f>95690740</f>
        <v>9.569074E7</v>
      </c>
    </row>
    <row r="61" spans="1:8" ht="24.9" customHeight="1">
      <c r="A61" s="51"/>
      <c r="B61" s="57"/>
      <c r="C61" s="39"/>
      <c r="D61" s="20" t="s">
        <v>16</v>
      </c>
      <c r="E61" s="21" t="n">
        <v>81.0</v>
      </c>
      <c r="F61" s="22" t="n">
        <f>2</f>
        <v>2.0</v>
      </c>
      <c r="G61" s="21" t="n">
        <v>4.3283392E8</v>
      </c>
      <c r="H61" s="22" t="n">
        <f>10684420</f>
        <v>1.068442E7</v>
      </c>
    </row>
    <row r="62" spans="1:8" ht="24.9" customHeight="1">
      <c r="A62" s="51"/>
      <c r="B62" s="57"/>
      <c r="C62" s="39"/>
      <c r="D62" s="20" t="s">
        <v>17</v>
      </c>
      <c r="E62" s="21" t="n">
        <v>12.0</v>
      </c>
      <c r="F62" s="22" t="n">
        <f>0</f>
        <v>0.0</v>
      </c>
      <c r="G62" s="21" t="n">
        <v>6.41502E7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376.0</v>
      </c>
      <c r="F63" s="26" t="n">
        <f>20</f>
        <v>20.0</v>
      </c>
      <c r="G63" s="25" t="n">
        <v>2.00244606E9</v>
      </c>
      <c r="H63" s="26" t="n">
        <f>106375160</f>
        <v>1.0637516E8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26.0</v>
      </c>
      <c r="F77" s="22" t="n">
        <f>0</f>
        <v>0.0</v>
      </c>
      <c r="G77" s="21" t="n">
        <v>9621500.0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37.0</v>
      </c>
      <c r="F78" s="22" t="n">
        <f>0</f>
        <v>0.0</v>
      </c>
      <c r="G78" s="21" t="n">
        <v>1.33425E7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63.0</v>
      </c>
      <c r="F79" s="26" t="n">
        <f>0</f>
        <v>0.0</v>
      </c>
      <c r="G79" s="25" t="n">
        <v>2.2964E7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1371.0</v>
      </c>
      <c r="F92" s="18" t="n">
        <f>0</f>
        <v>0.0</v>
      </c>
      <c r="G92" s="17" t="n">
        <v>2.1419182E9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42.0</v>
      </c>
      <c r="F93" s="22" t="n">
        <f>0</f>
        <v>0.0</v>
      </c>
      <c r="G93" s="21" t="n">
        <v>6.59304E7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268.0</v>
      </c>
      <c r="F94" s="22" t="n">
        <f>0</f>
        <v>0.0</v>
      </c>
      <c r="G94" s="21" t="n">
        <v>4.21132E8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1681.0</v>
      </c>
      <c r="F95" s="26" t="n">
        <f>0</f>
        <v>0.0</v>
      </c>
      <c r="G95" s="25" t="n">
        <v>2.6289806E9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527.0</v>
      </c>
      <c r="F96" s="18" t="n">
        <f>0</f>
        <v>0.0</v>
      </c>
      <c r="G96" s="17" t="n">
        <v>1.2224821E9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9.0</v>
      </c>
      <c r="F97" s="22" t="n">
        <f>0</f>
        <v>0.0</v>
      </c>
      <c r="G97" s="21" t="n">
        <v>2.09574E7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80.0</v>
      </c>
      <c r="F98" s="22" t="n">
        <f>0</f>
        <v>0.0</v>
      </c>
      <c r="G98" s="21" t="n">
        <v>1.865744E8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616.0</v>
      </c>
      <c r="F99" s="26" t="n">
        <f>0</f>
        <v>0.0</v>
      </c>
      <c r="G99" s="25" t="n">
        <v>1.4300139E9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50.0</v>
      </c>
      <c r="F100" s="18" t="n">
        <f>0</f>
        <v>0.0</v>
      </c>
      <c r="G100" s="17" t="n">
        <v>9.0302E7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100.0</v>
      </c>
      <c r="F102" s="22" t="n">
        <f>0</f>
        <v>0.0</v>
      </c>
      <c r="G102" s="21" t="n">
        <v>1.81105E8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150.0</v>
      </c>
      <c r="F103" s="26" t="n">
        <f>0</f>
        <v>0.0</v>
      </c>
      <c r="G103" s="25" t="n">
        <v>2.71407E8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9397.0</v>
      </c>
      <c r="F108" s="18" t="n">
        <f>491</f>
        <v>491.0</v>
      </c>
      <c r="G108" s="17" t="n">
        <v>1.191174215E12</v>
      </c>
      <c r="H108" s="18" t="n">
        <f>62219535000</f>
        <v>6.2219535E10</v>
      </c>
    </row>
    <row r="109" spans="1:8" ht="24.9" customHeight="1">
      <c r="A109" s="51"/>
      <c r="B109" s="57"/>
      <c r="C109" s="39"/>
      <c r="D109" s="20" t="s">
        <v>16</v>
      </c>
      <c r="E109" s="21" t="n">
        <v>14313.0</v>
      </c>
      <c r="F109" s="22" t="n">
        <f>647</f>
        <v>647.0</v>
      </c>
      <c r="G109" s="21" t="n">
        <v>1.81658016E12</v>
      </c>
      <c r="H109" s="22" t="n">
        <f>82119780000</f>
        <v>8.211978E10</v>
      </c>
    </row>
    <row r="110" spans="1:8" ht="24.9" customHeight="1">
      <c r="A110" s="51"/>
      <c r="B110" s="57"/>
      <c r="C110" s="39"/>
      <c r="D110" s="20" t="s">
        <v>17</v>
      </c>
      <c r="E110" s="21" t="n">
        <v>25052.0</v>
      </c>
      <c r="F110" s="22" t="n">
        <f>2098</f>
        <v>2098.0</v>
      </c>
      <c r="G110" s="21" t="n">
        <v>3.173950885E12</v>
      </c>
      <c r="H110" s="22" t="n">
        <f>265906285000</f>
        <v>2.65906285E11</v>
      </c>
    </row>
    <row r="111" spans="1:8" ht="24.9" customHeight="1">
      <c r="A111" s="51"/>
      <c r="B111" s="57"/>
      <c r="C111" s="39"/>
      <c r="D111" s="24" t="s">
        <v>18</v>
      </c>
      <c r="E111" s="25" t="n">
        <v>48762.0</v>
      </c>
      <c r="F111" s="26" t="n">
        <f>3236</f>
        <v>3236.0</v>
      </c>
      <c r="G111" s="25" t="n">
        <v>6.18170526E12</v>
      </c>
      <c r="H111" s="26" t="n">
        <f>410245600000</f>
        <v>4.102456E11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455.0</v>
      </c>
      <c r="F113" s="22" t="n">
        <f>0</f>
        <v>0.0</v>
      </c>
      <c r="G113" s="21" t="n">
        <v>5.77398E9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277.0</v>
      </c>
      <c r="F114" s="22" t="n">
        <f>0</f>
        <v>0.0</v>
      </c>
      <c r="G114" s="21" t="n">
        <v>3.509949E9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732.0</v>
      </c>
      <c r="F115" s="26" t="n">
        <f>0</f>
        <v>0.0</v>
      </c>
      <c r="G115" s="25" t="n">
        <v>9.283929E9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30.0</v>
      </c>
      <c r="F118" s="22" t="n">
        <f>0</f>
        <v>0.0</v>
      </c>
      <c r="G118" s="21" t="n">
        <v>2.7075E8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30.0</v>
      </c>
      <c r="F119" s="26" t="n">
        <f>0</f>
        <v>0.0</v>
      </c>
      <c r="G119" s="25" t="n">
        <v>2.7075E8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4351.0</v>
      </c>
      <c r="F120" s="18" t="n">
        <f>0</f>
        <v>0.0</v>
      </c>
      <c r="G120" s="17" t="n">
        <v>1.0754784875E11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1869.0</v>
      </c>
      <c r="F121" s="22" t="n">
        <f>0</f>
        <v>0.0</v>
      </c>
      <c r="G121" s="21" t="n">
        <v>4.6202918125E10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726.0</v>
      </c>
      <c r="F122" s="22" t="n">
        <f>0</f>
        <v>0.0</v>
      </c>
      <c r="G122" s="21" t="n">
        <v>1.793343125E10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6946.0</v>
      </c>
      <c r="F123" s="26" t="n">
        <f>0</f>
        <v>0.0</v>
      </c>
      <c r="G123" s="25" t="n">
        <v>1.71684198125E11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3463.0</v>
      </c>
      <c r="F124" s="18" t="n">
        <f>0</f>
        <v>0.0</v>
      </c>
      <c r="G124" s="17" t="n">
        <v>7.2223682E10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1740.0</v>
      </c>
      <c r="F125" s="22" t="n">
        <f>0</f>
        <v>0.0</v>
      </c>
      <c r="G125" s="21" t="n">
        <v>3.653591E10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1660.0</v>
      </c>
      <c r="F126" s="22" t="n">
        <f>6</f>
        <v>6.0</v>
      </c>
      <c r="G126" s="21" t="n">
        <v>3.4910531E10</v>
      </c>
      <c r="H126" s="22" t="n">
        <f>126570000</f>
        <v>1.2657E8</v>
      </c>
    </row>
    <row r="127" spans="1:8" ht="24.9" customHeight="1">
      <c r="A127" s="51"/>
      <c r="B127" s="57"/>
      <c r="C127" s="39"/>
      <c r="D127" s="24" t="s">
        <v>18</v>
      </c>
      <c r="E127" s="25" t="n">
        <v>6863.0</v>
      </c>
      <c r="F127" s="26" t="n">
        <f>6</f>
        <v>6.0</v>
      </c>
      <c r="G127" s="25" t="n">
        <v>1.43670123E11</v>
      </c>
      <c r="H127" s="26" t="n">
        <f>126570000</f>
        <v>1.2657E8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28.0</v>
      </c>
      <c r="F128" s="18" t="n">
        <f>0</f>
        <v>0.0</v>
      </c>
      <c r="G128" s="17" t="n">
        <v>5.8097E7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75.0</v>
      </c>
      <c r="F129" s="22" t="n">
        <f>0</f>
        <v>0.0</v>
      </c>
      <c r="G129" s="21" t="n">
        <v>1.566237E8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188.0</v>
      </c>
      <c r="F130" s="22" t="n">
        <f>0</f>
        <v>0.0</v>
      </c>
      <c r="G130" s="21" t="n">
        <v>3.936069E8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291.0</v>
      </c>
      <c r="F131" s="26" t="n">
        <f>0</f>
        <v>0.0</v>
      </c>
      <c r="G131" s="25" t="n">
        <v>6.083276E8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3352.0</v>
      </c>
      <c r="F132" s="18" t="n">
        <f>0</f>
        <v>0.0</v>
      </c>
      <c r="G132" s="17" t="n">
        <v>6.9993515E9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1363.0</v>
      </c>
      <c r="F133" s="22" t="n">
        <f>0</f>
        <v>0.0</v>
      </c>
      <c r="G133" s="21" t="n">
        <v>2.86746585E9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1320.0</v>
      </c>
      <c r="F134" s="22" t="n">
        <f>0</f>
        <v>0.0</v>
      </c>
      <c r="G134" s="21" t="n">
        <v>2.78164255E9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6035.0</v>
      </c>
      <c r="F135" s="26" t="n">
        <f>0</f>
        <v>0.0</v>
      </c>
      <c r="G135" s="25" t="n">
        <v>1.26484599E10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110.0</v>
      </c>
      <c r="F136" s="18" t="n">
        <f>0</f>
        <v>0.0</v>
      </c>
      <c r="G136" s="17" t="n">
        <v>2.274557E8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13.0</v>
      </c>
      <c r="F137" s="22" t="n">
        <f>0</f>
        <v>0.0</v>
      </c>
      <c r="G137" s="21" t="n">
        <v>2.7017E7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44.0</v>
      </c>
      <c r="F138" s="22" t="n">
        <f>0</f>
        <v>0.0</v>
      </c>
      <c r="G138" s="21" t="n">
        <v>9.14331E7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167.0</v>
      </c>
      <c r="F139" s="26" t="n">
        <f>0</f>
        <v>0.0</v>
      </c>
      <c r="G139" s="25" t="n">
        <v>3.459058E8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1222.0</v>
      </c>
      <c r="F144" s="18" t="n">
        <f>0</f>
        <v>0.0</v>
      </c>
      <c r="G144" s="17" t="n">
        <v>4.964819E9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599.0</v>
      </c>
      <c r="F145" s="22" t="n">
        <f>0</f>
        <v>0.0</v>
      </c>
      <c r="G145" s="21" t="n">
        <v>2.4596525E9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1231.0</v>
      </c>
      <c r="F146" s="22" t="n">
        <f>0</f>
        <v>0.0</v>
      </c>
      <c r="G146" s="21" t="n">
        <v>5.0929245E9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3052.0</v>
      </c>
      <c r="F147" s="26" t="n">
        <f>0</f>
        <v>0.0</v>
      </c>
      <c r="G147" s="25" t="n">
        <v>1.2517396E10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216.0</v>
      </c>
      <c r="F148" s="18" t="n">
        <f>0</f>
        <v>0.0</v>
      </c>
      <c r="G148" s="17" t="n">
        <v>1.807133E8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38.0</v>
      </c>
      <c r="F149" s="22" t="n">
        <f>0</f>
        <v>0.0</v>
      </c>
      <c r="G149" s="21" t="n">
        <v>3.18917E7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330.0</v>
      </c>
      <c r="F150" s="22" t="n">
        <f>0</f>
        <v>0.0</v>
      </c>
      <c r="G150" s="21" t="n">
        <v>2.78651E8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584.0</v>
      </c>
      <c r="F151" s="26" t="n">
        <f>0</f>
        <v>0.0</v>
      </c>
      <c r="G151" s="25" t="n">
        <v>4.91256E8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502.0</v>
      </c>
      <c r="F152" s="18" t="n">
        <f>0</f>
        <v>0.0</v>
      </c>
      <c r="G152" s="17" t="n">
        <v>4.110316E8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154.0</v>
      </c>
      <c r="F153" s="22" t="n">
        <f>0</f>
        <v>0.0</v>
      </c>
      <c r="G153" s="21" t="n">
        <v>1.263969E8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236.0</v>
      </c>
      <c r="F154" s="22" t="n">
        <f>0</f>
        <v>0.0</v>
      </c>
      <c r="G154" s="21" t="n">
        <v>1.9492625E8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892.0</v>
      </c>
      <c r="F155" s="26" t="n">
        <f>0</f>
        <v>0.0</v>
      </c>
      <c r="G155" s="25" t="n">
        <v>7.3235475E8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210.0</v>
      </c>
      <c r="F156" s="18" t="n">
        <f>0</f>
        <v>0.0</v>
      </c>
      <c r="G156" s="17" t="n">
        <v>1.723326E8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243.0</v>
      </c>
      <c r="F157" s="22" t="n">
        <f>0</f>
        <v>0.0</v>
      </c>
      <c r="G157" s="21" t="n">
        <v>1.980842E8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441.0</v>
      </c>
      <c r="F158" s="22" t="n">
        <f>0</f>
        <v>0.0</v>
      </c>
      <c r="G158" s="21" t="n">
        <v>3.648125E8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894.0</v>
      </c>
      <c r="F159" s="26" t="n">
        <f>0</f>
        <v>0.0</v>
      </c>
      <c r="G159" s="25" t="n">
        <v>7.352293E8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104.0</v>
      </c>
      <c r="F168" s="18" t="n">
        <f>0</f>
        <v>0.0</v>
      </c>
      <c r="G168" s="17" t="n">
        <v>2.138345E8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371.0</v>
      </c>
      <c r="F169" s="22" t="n">
        <f>0</f>
        <v>0.0</v>
      </c>
      <c r="G169" s="21" t="n">
        <v>7.71083E8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205.0</v>
      </c>
      <c r="F170" s="22" t="n">
        <f>8</f>
        <v>8.0</v>
      </c>
      <c r="G170" s="21" t="n">
        <v>4.296645E8</v>
      </c>
      <c r="H170" s="22" t="n">
        <f>16840000</f>
        <v>1.684E7</v>
      </c>
    </row>
    <row r="171" spans="1:8" ht="24.9" customHeight="1">
      <c r="A171" s="51"/>
      <c r="B171" s="57"/>
      <c r="C171" s="39"/>
      <c r="D171" s="24" t="s">
        <v>18</v>
      </c>
      <c r="E171" s="25" t="n">
        <v>680.0</v>
      </c>
      <c r="F171" s="26" t="n">
        <f>8</f>
        <v>8.0</v>
      </c>
      <c r="G171" s="25" t="n">
        <v>1.414582E9</v>
      </c>
      <c r="H171" s="26" t="n">
        <f>16840000</f>
        <v>1.684E7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64.0</v>
      </c>
      <c r="F177" s="22" t="n">
        <f>0</f>
        <v>0.0</v>
      </c>
      <c r="G177" s="21" t="n">
        <v>1.12182E8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64.0</v>
      </c>
      <c r="F179" s="26" t="n">
        <f>0</f>
        <v>0.0</v>
      </c>
      <c r="G179" s="25" t="n">
        <v>1.12182E8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309.0</v>
      </c>
      <c r="F204" s="18" t="n">
        <f>0</f>
        <v>0.0</v>
      </c>
      <c r="G204" s="17" t="n">
        <v>1.098754E9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399.0</v>
      </c>
      <c r="F205" s="22" t="n">
        <f>0</f>
        <v>0.0</v>
      </c>
      <c r="G205" s="21" t="n">
        <v>1.4241045E9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1586.0</v>
      </c>
      <c r="F206" s="22" t="n">
        <f>0</f>
        <v>0.0</v>
      </c>
      <c r="G206" s="21" t="n">
        <v>5.7106855E9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2294.0</v>
      </c>
      <c r="F207" s="26" t="n">
        <f>0</f>
        <v>0.0</v>
      </c>
      <c r="G207" s="25" t="n">
        <v>8.233544E9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15.0</v>
      </c>
      <c r="F222" s="22" t="n">
        <f>15</f>
        <v>15.0</v>
      </c>
      <c r="G222" s="21" t="n">
        <v>8168280.0</v>
      </c>
      <c r="H222" s="22" t="n">
        <f>8168280</f>
        <v>8168280.0</v>
      </c>
    </row>
    <row r="223" spans="1:8" ht="24.9" customHeight="1">
      <c r="A223" s="57"/>
      <c r="B223" s="59"/>
      <c r="C223" s="39"/>
      <c r="D223" s="24" t="s">
        <v>18</v>
      </c>
      <c r="E223" s="25" t="n">
        <v>15.0</v>
      </c>
      <c r="F223" s="26" t="n">
        <f>15</f>
        <v>15.0</v>
      </c>
      <c r="G223" s="25" t="n">
        <v>8168280.0</v>
      </c>
      <c r="H223" s="26" t="n">
        <f>8168280</f>
        <v>8168280.0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46238.0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46238.0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3201</f>
        <v>3201.0</v>
      </c>
      <c r="E12" s="35" t="n">
        <f>1468</f>
        <v>1468.0</v>
      </c>
      <c r="F12" s="17" t="n">
        <f>2700</f>
        <v>2700.0</v>
      </c>
      <c r="G12" s="35" t="n">
        <f>427</f>
        <v>427.0</v>
      </c>
      <c r="H12" s="17" t="n">
        <f>5901</f>
        <v>5901.0</v>
      </c>
      <c r="I12" s="35" t="n">
        <f>1895</f>
        <v>1895.0</v>
      </c>
      <c r="J12" s="17" t="n">
        <f>1444774580</f>
        <v>1.44477458E9</v>
      </c>
      <c r="K12" s="35" t="n">
        <f>929945580</f>
        <v>9.2994558E8</v>
      </c>
      <c r="L12" s="17" t="n">
        <f>689294820</f>
        <v>6.8929482E8</v>
      </c>
      <c r="M12" s="35" t="n">
        <f>203815820</f>
        <v>2.0381582E8</v>
      </c>
      <c r="N12" s="17" t="n">
        <f>2134069400</f>
        <v>2.1340694E9</v>
      </c>
      <c r="O12" s="35" t="n">
        <f>1133761400</f>
        <v>1.1337614E9</v>
      </c>
    </row>
    <row r="13" spans="1:15" ht="24.9" customHeight="1">
      <c r="A13" s="38"/>
      <c r="B13" s="62"/>
      <c r="C13" s="20" t="s">
        <v>16</v>
      </c>
      <c r="D13" s="21" t="n">
        <f>7463</f>
        <v>7463.0</v>
      </c>
      <c r="E13" s="36" t="n">
        <f>3834</f>
        <v>3834.0</v>
      </c>
      <c r="F13" s="21" t="n">
        <f>3354</f>
        <v>3354.0</v>
      </c>
      <c r="G13" s="36" t="n">
        <f>744</f>
        <v>744.0</v>
      </c>
      <c r="H13" s="21" t="n">
        <f>10817</f>
        <v>10817.0</v>
      </c>
      <c r="I13" s="36" t="n">
        <f>4578</f>
        <v>4578.0</v>
      </c>
      <c r="J13" s="21" t="n">
        <f>3715767090</f>
        <v>3.71576709E9</v>
      </c>
      <c r="K13" s="36" t="n">
        <f>2868743090</f>
        <v>2.86874309E9</v>
      </c>
      <c r="L13" s="21" t="n">
        <f>1827179230</f>
        <v>1.82717923E9</v>
      </c>
      <c r="M13" s="36" t="n">
        <f>937981230</f>
        <v>9.3798123E8</v>
      </c>
      <c r="N13" s="21" t="n">
        <f>5542946320</f>
        <v>5.54294632E9</v>
      </c>
      <c r="O13" s="36" t="n">
        <f>3806724320</f>
        <v>3.80672432E9</v>
      </c>
    </row>
    <row r="14" spans="1:15" ht="24.9" customHeight="1">
      <c r="A14" s="38"/>
      <c r="B14" s="62"/>
      <c r="C14" s="20" t="s">
        <v>17</v>
      </c>
      <c r="D14" s="21" t="n">
        <f>19986</f>
        <v>19986.0</v>
      </c>
      <c r="E14" s="36" t="n">
        <f>14171</f>
        <v>14171.0</v>
      </c>
      <c r="F14" s="21" t="n">
        <f>8981</f>
        <v>8981.0</v>
      </c>
      <c r="G14" s="36" t="n">
        <f>6506</f>
        <v>6506.0</v>
      </c>
      <c r="H14" s="21" t="n">
        <f>28967</f>
        <v>28967.0</v>
      </c>
      <c r="I14" s="36" t="n">
        <f>20677</f>
        <v>20677.0</v>
      </c>
      <c r="J14" s="21" t="n">
        <f>14754243940</f>
        <v>1.475424394E10</v>
      </c>
      <c r="K14" s="36" t="n">
        <f>12530136940</f>
        <v>1.253013694E10</v>
      </c>
      <c r="L14" s="21" t="n">
        <f>8499966130</f>
        <v>8.49996613E9</v>
      </c>
      <c r="M14" s="36" t="n">
        <f>7411576130</f>
        <v>7.41157613E9</v>
      </c>
      <c r="N14" s="21" t="n">
        <f>23254210070</f>
        <v>2.325421007E10</v>
      </c>
      <c r="O14" s="36" t="n">
        <f>19941713070</f>
        <v>1.994171307E10</v>
      </c>
    </row>
    <row r="15" spans="1:15" ht="24.9" customHeight="1">
      <c r="A15" s="38"/>
      <c r="B15" s="62"/>
      <c r="C15" s="24" t="s">
        <v>18</v>
      </c>
      <c r="D15" s="25" t="n">
        <f>30650</f>
        <v>30650.0</v>
      </c>
      <c r="E15" s="37" t="n">
        <f>19473</f>
        <v>19473.0</v>
      </c>
      <c r="F15" s="25" t="n">
        <f>15035</f>
        <v>15035.0</v>
      </c>
      <c r="G15" s="37" t="n">
        <f>7677</f>
        <v>7677.0</v>
      </c>
      <c r="H15" s="25" t="n">
        <f>45685</f>
        <v>45685.0</v>
      </c>
      <c r="I15" s="37" t="n">
        <f>27150</f>
        <v>27150.0</v>
      </c>
      <c r="J15" s="25" t="n">
        <f>19914785610</f>
        <v>1.991478561E10</v>
      </c>
      <c r="K15" s="37" t="n">
        <f>16328825610</f>
        <v>1.632882561E10</v>
      </c>
      <c r="L15" s="25" t="n">
        <f>11016440180</f>
        <v>1.101644018E10</v>
      </c>
      <c r="M15" s="37" t="n">
        <f>8553373180</f>
        <v>8.55337318E9</v>
      </c>
      <c r="N15" s="25" t="n">
        <f>30931225790</f>
        <v>3.093122579E10</v>
      </c>
      <c r="O15" s="37" t="n">
        <f>24882198790</f>
        <v>2.488219879E10</v>
      </c>
    </row>
    <row r="16" spans="1:15" ht="24.9" customHeight="1">
      <c r="A16" s="38"/>
      <c r="B16" s="61" t="s">
        <v>105</v>
      </c>
      <c r="C16" s="16" t="s">
        <v>15</v>
      </c>
      <c r="D16" s="17" t="n">
        <f>7076</f>
        <v>7076.0</v>
      </c>
      <c r="E16" s="35" t="n">
        <f>270</f>
        <v>270.0</v>
      </c>
      <c r="F16" s="17" t="n">
        <f>7317</f>
        <v>7317.0</v>
      </c>
      <c r="G16" s="35" t="n">
        <f>250</f>
        <v>250.0</v>
      </c>
      <c r="H16" s="17" t="n">
        <f>14393</f>
        <v>14393.0</v>
      </c>
      <c r="I16" s="35" t="n">
        <f>520</f>
        <v>520.0</v>
      </c>
      <c r="J16" s="17" t="n">
        <f>437965300</f>
        <v>4.379653E8</v>
      </c>
      <c r="K16" s="35" t="n">
        <f>15444500</f>
        <v>1.54445E7</v>
      </c>
      <c r="L16" s="17" t="n">
        <f>197416770</f>
        <v>1.9741677E8</v>
      </c>
      <c r="M16" s="35" t="n">
        <f>4829570</f>
        <v>4829570.0</v>
      </c>
      <c r="N16" s="17" t="n">
        <f>635382070</f>
        <v>6.3538207E8</v>
      </c>
      <c r="O16" s="35" t="n">
        <f>20274070</f>
        <v>2.027407E7</v>
      </c>
    </row>
    <row r="17" spans="1:15" ht="24.9" customHeight="1">
      <c r="A17" s="38"/>
      <c r="B17" s="62"/>
      <c r="C17" s="20" t="s">
        <v>16</v>
      </c>
      <c r="D17" s="21" t="n">
        <f>5605</f>
        <v>5605.0</v>
      </c>
      <c r="E17" s="36" t="n">
        <f>280</f>
        <v>280.0</v>
      </c>
      <c r="F17" s="21" t="n">
        <f>5397</f>
        <v>5397.0</v>
      </c>
      <c r="G17" s="36" t="n">
        <f>220</f>
        <v>220.0</v>
      </c>
      <c r="H17" s="21" t="n">
        <f>11002</f>
        <v>11002.0</v>
      </c>
      <c r="I17" s="36" t="n">
        <f>500</f>
        <v>500.0</v>
      </c>
      <c r="J17" s="21" t="n">
        <f>152330350</f>
        <v>1.5233035E8</v>
      </c>
      <c r="K17" s="36" t="n">
        <f>4583750</f>
        <v>4583750.0</v>
      </c>
      <c r="L17" s="21" t="n">
        <f>142976670</f>
        <v>1.4297667E8</v>
      </c>
      <c r="M17" s="36" t="n">
        <f>3322570</f>
        <v>3322570.0</v>
      </c>
      <c r="N17" s="21" t="n">
        <f>295307020</f>
        <v>2.9530702E8</v>
      </c>
      <c r="O17" s="36" t="n">
        <f>7906320</f>
        <v>7906320.0</v>
      </c>
    </row>
    <row r="18" spans="1:15" ht="24.9" customHeight="1">
      <c r="A18" s="38"/>
      <c r="B18" s="62"/>
      <c r="C18" s="20" t="s">
        <v>17</v>
      </c>
      <c r="D18" s="21" t="n">
        <f>5489</f>
        <v>5489.0</v>
      </c>
      <c r="E18" s="36" t="n">
        <f>250</f>
        <v>250.0</v>
      </c>
      <c r="F18" s="21" t="n">
        <f>3803</f>
        <v>3803.0</v>
      </c>
      <c r="G18" s="36" t="n">
        <f>110</f>
        <v>110.0</v>
      </c>
      <c r="H18" s="21" t="n">
        <f>9292</f>
        <v>9292.0</v>
      </c>
      <c r="I18" s="36" t="n">
        <f>360</f>
        <v>360.0</v>
      </c>
      <c r="J18" s="21" t="n">
        <f>134061170</f>
        <v>1.3406117E8</v>
      </c>
      <c r="K18" s="36" t="n">
        <f>1498370</f>
        <v>1498370.0</v>
      </c>
      <c r="L18" s="21" t="n">
        <f>91299620</f>
        <v>9.129962E7</v>
      </c>
      <c r="M18" s="36" t="n">
        <f>354420</f>
        <v>354420.0</v>
      </c>
      <c r="N18" s="21" t="n">
        <f>225360790</f>
        <v>2.2536079E8</v>
      </c>
      <c r="O18" s="36" t="n">
        <f>1852790</f>
        <v>1852790.0</v>
      </c>
    </row>
    <row r="19" spans="1:15" ht="24.9" customHeight="1">
      <c r="A19" s="38"/>
      <c r="B19" s="62"/>
      <c r="C19" s="24" t="s">
        <v>18</v>
      </c>
      <c r="D19" s="25" t="n">
        <f>18170</f>
        <v>18170.0</v>
      </c>
      <c r="E19" s="37" t="n">
        <f>800</f>
        <v>800.0</v>
      </c>
      <c r="F19" s="25" t="n">
        <f>16517</f>
        <v>16517.0</v>
      </c>
      <c r="G19" s="37" t="n">
        <f>580</f>
        <v>580.0</v>
      </c>
      <c r="H19" s="25" t="n">
        <f>34687</f>
        <v>34687.0</v>
      </c>
      <c r="I19" s="37" t="n">
        <f>1380</f>
        <v>1380.0</v>
      </c>
      <c r="J19" s="25" t="n">
        <f>724356820</f>
        <v>7.2435682E8</v>
      </c>
      <c r="K19" s="37" t="n">
        <f>21526620</f>
        <v>2.152662E7</v>
      </c>
      <c r="L19" s="25" t="n">
        <f>431693060</f>
        <v>4.3169306E8</v>
      </c>
      <c r="M19" s="37" t="n">
        <f>8506560</f>
        <v>8506560.0</v>
      </c>
      <c r="N19" s="25" t="n">
        <f>1156049880</f>
        <v>1.15604988E9</v>
      </c>
      <c r="O19" s="37" t="n">
        <f>30033180</f>
        <v>3.003318E7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386</f>
        <v>386.0</v>
      </c>
      <c r="E22" s="36" t="n">
        <f>371</f>
        <v>371.0</v>
      </c>
      <c r="F22" s="21" t="n">
        <f>110</f>
        <v>110.0</v>
      </c>
      <c r="G22" s="36" t="n">
        <f>110</f>
        <v>110.0</v>
      </c>
      <c r="H22" s="21" t="n">
        <f>496</f>
        <v>496.0</v>
      </c>
      <c r="I22" s="36" t="n">
        <f>481</f>
        <v>481.0</v>
      </c>
      <c r="J22" s="21" t="n">
        <f>211033000</f>
        <v>2.11033E8</v>
      </c>
      <c r="K22" s="36" t="n">
        <f>202108000</f>
        <v>2.02108E8</v>
      </c>
      <c r="L22" s="21" t="n">
        <f>123000000</f>
        <v>1.23E8</v>
      </c>
      <c r="M22" s="36" t="n">
        <f>123000000</f>
        <v>1.23E8</v>
      </c>
      <c r="N22" s="21" t="n">
        <f>334033000</f>
        <v>3.34033E8</v>
      </c>
      <c r="O22" s="36" t="n">
        <f>325108000</f>
        <v>3.25108E8</v>
      </c>
    </row>
    <row r="23" spans="1:15" ht="24.9" customHeight="1">
      <c r="A23" s="38"/>
      <c r="B23" s="62"/>
      <c r="C23" s="24" t="s">
        <v>18</v>
      </c>
      <c r="D23" s="25" t="n">
        <f>386</f>
        <v>386.0</v>
      </c>
      <c r="E23" s="37" t="n">
        <f>371</f>
        <v>371.0</v>
      </c>
      <c r="F23" s="25" t="n">
        <f>110</f>
        <v>110.0</v>
      </c>
      <c r="G23" s="37" t="n">
        <f>110</f>
        <v>110.0</v>
      </c>
      <c r="H23" s="25" t="n">
        <f>496</f>
        <v>496.0</v>
      </c>
      <c r="I23" s="37" t="n">
        <f>481</f>
        <v>481.0</v>
      </c>
      <c r="J23" s="25" t="n">
        <f>211033000</f>
        <v>2.11033E8</v>
      </c>
      <c r="K23" s="37" t="n">
        <f>202108000</f>
        <v>2.02108E8</v>
      </c>
      <c r="L23" s="25" t="n">
        <f>123000000</f>
        <v>1.23E8</v>
      </c>
      <c r="M23" s="37" t="n">
        <f>123000000</f>
        <v>1.23E8</v>
      </c>
      <c r="N23" s="25" t="n">
        <f>334033000</f>
        <v>3.34033E8</v>
      </c>
      <c r="O23" s="37" t="n">
        <f>325108000</f>
        <v>3.25108E8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16</f>
        <v>16.0</v>
      </c>
      <c r="E36" s="18" t="n">
        <f>0</f>
        <v>0.0</v>
      </c>
      <c r="F36" s="17" t="n">
        <f>4</f>
        <v>4.0</v>
      </c>
      <c r="G36" s="18" t="n">
        <f>0</f>
        <v>0.0</v>
      </c>
      <c r="H36" s="17" t="n">
        <f>20</f>
        <v>20.0</v>
      </c>
      <c r="I36" s="18" t="n">
        <f>0</f>
        <v>0.0</v>
      </c>
      <c r="J36" s="17" t="n">
        <f>1400000</f>
        <v>1400000.0</v>
      </c>
      <c r="K36" s="18" t="n">
        <f>0</f>
        <v>0.0</v>
      </c>
      <c r="L36" s="17" t="n">
        <f>1000000</f>
        <v>1000000.0</v>
      </c>
      <c r="M36" s="18" t="n">
        <f>0</f>
        <v>0.0</v>
      </c>
      <c r="N36" s="17" t="n">
        <f>2400000</f>
        <v>2400000.0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</f>
        <v>7.0</v>
      </c>
      <c r="E37" s="22" t="n">
        <f>0</f>
        <v>0.0</v>
      </c>
      <c r="F37" s="21" t="n">
        <f>9</f>
        <v>9.0</v>
      </c>
      <c r="G37" s="22" t="n">
        <f>0</f>
        <v>0.0</v>
      </c>
      <c r="H37" s="21" t="n">
        <f>16</f>
        <v>16.0</v>
      </c>
      <c r="I37" s="22" t="n">
        <f>0</f>
        <v>0.0</v>
      </c>
      <c r="J37" s="21" t="n">
        <f>1020000</f>
        <v>1020000.0</v>
      </c>
      <c r="K37" s="22" t="n">
        <f>0</f>
        <v>0.0</v>
      </c>
      <c r="L37" s="21" t="n">
        <f>990000</f>
        <v>990000.0</v>
      </c>
      <c r="M37" s="22" t="n">
        <f>0</f>
        <v>0.0</v>
      </c>
      <c r="N37" s="21" t="n">
        <f>2010000</f>
        <v>2010000.0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182</f>
        <v>182.0</v>
      </c>
      <c r="E38" s="36" t="n">
        <f>130</f>
        <v>130.0</v>
      </c>
      <c r="F38" s="21" t="n">
        <f>154</f>
        <v>154.0</v>
      </c>
      <c r="G38" s="36" t="n">
        <f>130</f>
        <v>130.0</v>
      </c>
      <c r="H38" s="21" t="n">
        <f>336</f>
        <v>336.0</v>
      </c>
      <c r="I38" s="36" t="n">
        <f>260</f>
        <v>260.0</v>
      </c>
      <c r="J38" s="21" t="n">
        <f>35090000</f>
        <v>3.509E7</v>
      </c>
      <c r="K38" s="36" t="n">
        <f>26100000</f>
        <v>2.61E7</v>
      </c>
      <c r="L38" s="21" t="n">
        <f>30260000</f>
        <v>3.026E7</v>
      </c>
      <c r="M38" s="36" t="n">
        <f>24300000</f>
        <v>2.43E7</v>
      </c>
      <c r="N38" s="21" t="n">
        <f>65350000</f>
        <v>6.535E7</v>
      </c>
      <c r="O38" s="36" t="n">
        <f>50400000</f>
        <v>5.04E7</v>
      </c>
    </row>
    <row r="39" spans="1:15" ht="24.9" customHeight="1">
      <c r="A39" s="38"/>
      <c r="B39" s="62"/>
      <c r="C39" s="24" t="s">
        <v>18</v>
      </c>
      <c r="D39" s="25" t="n">
        <f>205</f>
        <v>205.0</v>
      </c>
      <c r="E39" s="37" t="n">
        <f>130</f>
        <v>130.0</v>
      </c>
      <c r="F39" s="25" t="n">
        <f>167</f>
        <v>167.0</v>
      </c>
      <c r="G39" s="37" t="n">
        <f>130</f>
        <v>130.0</v>
      </c>
      <c r="H39" s="25" t="n">
        <f>372</f>
        <v>372.0</v>
      </c>
      <c r="I39" s="37" t="n">
        <f>260</f>
        <v>260.0</v>
      </c>
      <c r="J39" s="25" t="n">
        <f>37510000</f>
        <v>3.751E7</v>
      </c>
      <c r="K39" s="37" t="n">
        <f>26100000</f>
        <v>2.61E7</v>
      </c>
      <c r="L39" s="25" t="n">
        <f>32250000</f>
        <v>3.225E7</v>
      </c>
      <c r="M39" s="37" t="n">
        <f>24300000</f>
        <v>2.43E7</v>
      </c>
      <c r="N39" s="25" t="n">
        <f>69760000</f>
        <v>6.976E7</v>
      </c>
      <c r="O39" s="37" t="n">
        <f>50400000</f>
        <v>5.04E7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960</f>
        <v>960.0</v>
      </c>
      <c r="E41" s="36" t="n">
        <f>0</f>
        <v>0.0</v>
      </c>
      <c r="F41" s="21" t="n">
        <f>13653</f>
        <v>13653.0</v>
      </c>
      <c r="G41" s="36" t="n">
        <f>0</f>
        <v>0.0</v>
      </c>
      <c r="H41" s="21" t="n">
        <f>14613</f>
        <v>14613.0</v>
      </c>
      <c r="I41" s="36" t="n">
        <f>0</f>
        <v>0.0</v>
      </c>
      <c r="J41" s="21" t="n">
        <f>74421178</f>
        <v>7.4421178E7</v>
      </c>
      <c r="K41" s="36" t="n">
        <f>0</f>
        <v>0.0</v>
      </c>
      <c r="L41" s="21" t="n">
        <f>41713400</f>
        <v>4.17134E7</v>
      </c>
      <c r="M41" s="36" t="n">
        <f>0</f>
        <v>0.0</v>
      </c>
      <c r="N41" s="21" t="n">
        <f>116134578</f>
        <v>1.16134578E8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19385</f>
        <v>19385.0</v>
      </c>
      <c r="E42" s="36" t="n">
        <f>0</f>
        <v>0.0</v>
      </c>
      <c r="F42" s="21" t="n">
        <f>10206</f>
        <v>10206.0</v>
      </c>
      <c r="G42" s="36" t="n">
        <f>304</f>
        <v>304.0</v>
      </c>
      <c r="H42" s="21" t="n">
        <f>29591</f>
        <v>29591.0</v>
      </c>
      <c r="I42" s="36" t="n">
        <f>304</f>
        <v>304.0</v>
      </c>
      <c r="J42" s="21" t="n">
        <f>20347655</f>
        <v>2.0347655E7</v>
      </c>
      <c r="K42" s="36" t="n">
        <f>0</f>
        <v>0.0</v>
      </c>
      <c r="L42" s="21" t="n">
        <f>148351850</f>
        <v>1.4835185E8</v>
      </c>
      <c r="M42" s="36" t="n">
        <f>134955000</f>
        <v>1.34955E8</v>
      </c>
      <c r="N42" s="21" t="n">
        <f>168699505</f>
        <v>1.68699505E8</v>
      </c>
      <c r="O42" s="36" t="n">
        <f>134955000</f>
        <v>1.34955E8</v>
      </c>
    </row>
    <row r="43" spans="1:15" ht="24.9" customHeight="1">
      <c r="A43" s="38"/>
      <c r="B43" s="62"/>
      <c r="C43" s="24" t="s">
        <v>18</v>
      </c>
      <c r="D43" s="25" t="n">
        <f>20345</f>
        <v>20345.0</v>
      </c>
      <c r="E43" s="37" t="n">
        <f>0</f>
        <v>0.0</v>
      </c>
      <c r="F43" s="25" t="n">
        <f>23859</f>
        <v>23859.0</v>
      </c>
      <c r="G43" s="37" t="n">
        <f>304</f>
        <v>304.0</v>
      </c>
      <c r="H43" s="25" t="n">
        <f>44204</f>
        <v>44204.0</v>
      </c>
      <c r="I43" s="37" t="n">
        <f>304</f>
        <v>304.0</v>
      </c>
      <c r="J43" s="25" t="n">
        <f>94768833</f>
        <v>9.4768833E7</v>
      </c>
      <c r="K43" s="37" t="n">
        <f>0</f>
        <v>0.0</v>
      </c>
      <c r="L43" s="25" t="n">
        <f>190065250</f>
        <v>1.9006525E8</v>
      </c>
      <c r="M43" s="37" t="n">
        <f>134955000</f>
        <v>1.34955E8</v>
      </c>
      <c r="N43" s="25" t="n">
        <f>284834083</f>
        <v>2.84834083E8</v>
      </c>
      <c r="O43" s="37" t="n">
        <f>134955000</f>
        <v>1.34955E8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